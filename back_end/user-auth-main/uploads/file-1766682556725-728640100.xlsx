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man\Desktop\"/>
    </mc:Choice>
  </mc:AlternateContent>
  <xr:revisionPtr revIDLastSave="0" documentId="8_{38A94544-5651-47ED-90DF-A22A94D8E1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SIANN-CDR" sheetId="1" r:id="rId1"/>
    <sheet name="ERA5" sheetId="2" r:id="rId2"/>
    <sheet name="CHIRPS" sheetId="3" r:id="rId3"/>
    <sheet name="IMERG-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5" i="4" l="1"/>
  <c r="E366" i="4" s="1"/>
  <c r="G366" i="4" s="1"/>
  <c r="C375" i="4"/>
  <c r="D368" i="4" s="1"/>
  <c r="O372" i="4"/>
  <c r="L371" i="4"/>
  <c r="Q370" i="4"/>
  <c r="P370" i="4"/>
  <c r="R370" i="4" s="1"/>
  <c r="N370" i="4"/>
  <c r="O370" i="4" s="1"/>
  <c r="M370" i="4"/>
  <c r="K370" i="4"/>
  <c r="I370" i="4"/>
  <c r="J370" i="4" s="1"/>
  <c r="Q369" i="4"/>
  <c r="P369" i="4"/>
  <c r="R369" i="4" s="1"/>
  <c r="N369" i="4"/>
  <c r="O369" i="4" s="1"/>
  <c r="M369" i="4"/>
  <c r="K369" i="4"/>
  <c r="I369" i="4"/>
  <c r="J369" i="4" s="1"/>
  <c r="R368" i="4"/>
  <c r="Q368" i="4"/>
  <c r="P368" i="4"/>
  <c r="N368" i="4"/>
  <c r="M368" i="4"/>
  <c r="K368" i="4"/>
  <c r="I368" i="4"/>
  <c r="J368" i="4" s="1"/>
  <c r="E368" i="4"/>
  <c r="G368" i="4" s="1"/>
  <c r="R367" i="4"/>
  <c r="Q367" i="4"/>
  <c r="P367" i="4"/>
  <c r="N367" i="4"/>
  <c r="M367" i="4"/>
  <c r="K367" i="4"/>
  <c r="I367" i="4"/>
  <c r="J367" i="4" s="1"/>
  <c r="Q366" i="4"/>
  <c r="P366" i="4"/>
  <c r="R366" i="4" s="1"/>
  <c r="O366" i="4"/>
  <c r="N366" i="4"/>
  <c r="M366" i="4"/>
  <c r="K366" i="4"/>
  <c r="I366" i="4"/>
  <c r="J366" i="4" s="1"/>
  <c r="R365" i="4"/>
  <c r="Q365" i="4"/>
  <c r="P365" i="4"/>
  <c r="N365" i="4"/>
  <c r="M365" i="4"/>
  <c r="O365" i="4" s="1"/>
  <c r="K365" i="4"/>
  <c r="I365" i="4"/>
  <c r="J365" i="4" s="1"/>
  <c r="E365" i="4"/>
  <c r="G365" i="4" s="1"/>
  <c r="D365" i="4"/>
  <c r="Q364" i="4"/>
  <c r="P364" i="4"/>
  <c r="R364" i="4" s="1"/>
  <c r="N364" i="4"/>
  <c r="O364" i="4" s="1"/>
  <c r="M364" i="4"/>
  <c r="K364" i="4"/>
  <c r="I364" i="4"/>
  <c r="J364" i="4" s="1"/>
  <c r="Q363" i="4"/>
  <c r="P363" i="4"/>
  <c r="R363" i="4" s="1"/>
  <c r="N363" i="4"/>
  <c r="M363" i="4"/>
  <c r="K363" i="4"/>
  <c r="I363" i="4"/>
  <c r="J363" i="4" s="1"/>
  <c r="D363" i="4"/>
  <c r="F363" i="4" s="1"/>
  <c r="R362" i="4"/>
  <c r="Q362" i="4"/>
  <c r="P362" i="4"/>
  <c r="N362" i="4"/>
  <c r="M362" i="4"/>
  <c r="K362" i="4"/>
  <c r="J362" i="4"/>
  <c r="I362" i="4"/>
  <c r="R361" i="4"/>
  <c r="Q361" i="4"/>
  <c r="P361" i="4"/>
  <c r="N361" i="4"/>
  <c r="M361" i="4"/>
  <c r="O361" i="4" s="1"/>
  <c r="K361" i="4"/>
  <c r="I361" i="4"/>
  <c r="J361" i="4" s="1"/>
  <c r="Q360" i="4"/>
  <c r="P360" i="4"/>
  <c r="R360" i="4" s="1"/>
  <c r="O360" i="4"/>
  <c r="N360" i="4"/>
  <c r="M360" i="4"/>
  <c r="K360" i="4"/>
  <c r="I360" i="4"/>
  <c r="J360" i="4" s="1"/>
  <c r="R359" i="4"/>
  <c r="Q359" i="4"/>
  <c r="P359" i="4"/>
  <c r="N359" i="4"/>
  <c r="M359" i="4"/>
  <c r="K359" i="4"/>
  <c r="I359" i="4"/>
  <c r="J359" i="4" s="1"/>
  <c r="D359" i="4"/>
  <c r="Q358" i="4"/>
  <c r="P358" i="4"/>
  <c r="R358" i="4" s="1"/>
  <c r="N358" i="4"/>
  <c r="M358" i="4"/>
  <c r="K358" i="4"/>
  <c r="I358" i="4"/>
  <c r="J358" i="4" s="1"/>
  <c r="Q357" i="4"/>
  <c r="P357" i="4"/>
  <c r="R357" i="4" s="1"/>
  <c r="N357" i="4"/>
  <c r="O357" i="4" s="1"/>
  <c r="M357" i="4"/>
  <c r="K357" i="4"/>
  <c r="I357" i="4"/>
  <c r="J357" i="4" s="1"/>
  <c r="D357" i="4"/>
  <c r="F357" i="4" s="1"/>
  <c r="R356" i="4"/>
  <c r="Q356" i="4"/>
  <c r="P356" i="4"/>
  <c r="N356" i="4"/>
  <c r="O356" i="4" s="1"/>
  <c r="M356" i="4"/>
  <c r="K356" i="4"/>
  <c r="I356" i="4"/>
  <c r="J356" i="4" s="1"/>
  <c r="F356" i="4"/>
  <c r="D356" i="4"/>
  <c r="R355" i="4"/>
  <c r="Q355" i="4"/>
  <c r="P355" i="4"/>
  <c r="N355" i="4"/>
  <c r="M355" i="4"/>
  <c r="O355" i="4" s="1"/>
  <c r="K355" i="4"/>
  <c r="I355" i="4"/>
  <c r="J355" i="4" s="1"/>
  <c r="F355" i="4"/>
  <c r="D355" i="4"/>
  <c r="Q354" i="4"/>
  <c r="P354" i="4"/>
  <c r="R354" i="4" s="1"/>
  <c r="N354" i="4"/>
  <c r="O354" i="4" s="1"/>
  <c r="M354" i="4"/>
  <c r="K354" i="4"/>
  <c r="I354" i="4"/>
  <c r="J354" i="4" s="1"/>
  <c r="F354" i="4"/>
  <c r="D354" i="4"/>
  <c r="R353" i="4"/>
  <c r="Q353" i="4"/>
  <c r="P353" i="4"/>
  <c r="N353" i="4"/>
  <c r="M353" i="4"/>
  <c r="K353" i="4"/>
  <c r="I353" i="4"/>
  <c r="J353" i="4" s="1"/>
  <c r="D353" i="4"/>
  <c r="Q352" i="4"/>
  <c r="P352" i="4"/>
  <c r="R352" i="4" s="1"/>
  <c r="N352" i="4"/>
  <c r="M352" i="4"/>
  <c r="K352" i="4"/>
  <c r="I352" i="4"/>
  <c r="J352" i="4" s="1"/>
  <c r="F352" i="4"/>
  <c r="D352" i="4"/>
  <c r="Q351" i="4"/>
  <c r="P351" i="4"/>
  <c r="R351" i="4" s="1"/>
  <c r="N351" i="4"/>
  <c r="O351" i="4" s="1"/>
  <c r="M351" i="4"/>
  <c r="K351" i="4"/>
  <c r="I351" i="4"/>
  <c r="J351" i="4" s="1"/>
  <c r="D351" i="4"/>
  <c r="F351" i="4" s="1"/>
  <c r="R350" i="4"/>
  <c r="Q350" i="4"/>
  <c r="P350" i="4"/>
  <c r="O350" i="4"/>
  <c r="N350" i="4"/>
  <c r="M350" i="4"/>
  <c r="K350" i="4"/>
  <c r="J350" i="4"/>
  <c r="I350" i="4"/>
  <c r="F350" i="4"/>
  <c r="D350" i="4"/>
  <c r="R349" i="4"/>
  <c r="Q349" i="4"/>
  <c r="P349" i="4"/>
  <c r="N349" i="4"/>
  <c r="M349" i="4"/>
  <c r="K349" i="4"/>
  <c r="I349" i="4"/>
  <c r="J349" i="4" s="1"/>
  <c r="F349" i="4"/>
  <c r="D349" i="4"/>
  <c r="Q348" i="4"/>
  <c r="P348" i="4"/>
  <c r="R348" i="4" s="1"/>
  <c r="N348" i="4"/>
  <c r="M348" i="4"/>
  <c r="O348" i="4" s="1"/>
  <c r="K348" i="4"/>
  <c r="I348" i="4"/>
  <c r="J348" i="4" s="1"/>
  <c r="F348" i="4"/>
  <c r="D348" i="4"/>
  <c r="R347" i="4"/>
  <c r="Q347" i="4"/>
  <c r="P347" i="4"/>
  <c r="N347" i="4"/>
  <c r="M347" i="4"/>
  <c r="K347" i="4"/>
  <c r="I347" i="4"/>
  <c r="J347" i="4" s="1"/>
  <c r="D347" i="4"/>
  <c r="Q346" i="4"/>
  <c r="P346" i="4"/>
  <c r="R346" i="4" s="1"/>
  <c r="N346" i="4"/>
  <c r="M346" i="4"/>
  <c r="K346" i="4"/>
  <c r="I346" i="4"/>
  <c r="J346" i="4" s="1"/>
  <c r="F346" i="4"/>
  <c r="D346" i="4"/>
  <c r="Q345" i="4"/>
  <c r="P345" i="4"/>
  <c r="R345" i="4" s="1"/>
  <c r="N345" i="4"/>
  <c r="O345" i="4" s="1"/>
  <c r="M345" i="4"/>
  <c r="K345" i="4"/>
  <c r="I345" i="4"/>
  <c r="J345" i="4" s="1"/>
  <c r="D345" i="4"/>
  <c r="F345" i="4" s="1"/>
  <c r="R344" i="4"/>
  <c r="Q344" i="4"/>
  <c r="P344" i="4"/>
  <c r="O344" i="4"/>
  <c r="N344" i="4"/>
  <c r="M344" i="4"/>
  <c r="K344" i="4"/>
  <c r="J344" i="4"/>
  <c r="I344" i="4"/>
  <c r="F344" i="4"/>
  <c r="D344" i="4"/>
  <c r="R343" i="4"/>
  <c r="Q343" i="4"/>
  <c r="P343" i="4"/>
  <c r="N343" i="4"/>
  <c r="M343" i="4"/>
  <c r="K343" i="4"/>
  <c r="I343" i="4"/>
  <c r="J343" i="4" s="1"/>
  <c r="F343" i="4"/>
  <c r="D343" i="4"/>
  <c r="Q342" i="4"/>
  <c r="P342" i="4"/>
  <c r="R342" i="4" s="1"/>
  <c r="O342" i="4"/>
  <c r="N342" i="4"/>
  <c r="M342" i="4"/>
  <c r="K342" i="4"/>
  <c r="I342" i="4"/>
  <c r="J342" i="4" s="1"/>
  <c r="F342" i="4"/>
  <c r="D342" i="4"/>
  <c r="R341" i="4"/>
  <c r="Q341" i="4"/>
  <c r="P341" i="4"/>
  <c r="N341" i="4"/>
  <c r="M341" i="4"/>
  <c r="K341" i="4"/>
  <c r="I341" i="4"/>
  <c r="J341" i="4" s="1"/>
  <c r="D341" i="4"/>
  <c r="Q340" i="4"/>
  <c r="P340" i="4"/>
  <c r="R340" i="4" s="1"/>
  <c r="N340" i="4"/>
  <c r="M340" i="4"/>
  <c r="K340" i="4"/>
  <c r="J340" i="4"/>
  <c r="I340" i="4"/>
  <c r="F340" i="4"/>
  <c r="D340" i="4"/>
  <c r="Q339" i="4"/>
  <c r="P339" i="4"/>
  <c r="R339" i="4" s="1"/>
  <c r="N339" i="4"/>
  <c r="O339" i="4" s="1"/>
  <c r="M339" i="4"/>
  <c r="K339" i="4"/>
  <c r="I339" i="4"/>
  <c r="J339" i="4" s="1"/>
  <c r="H339" i="4"/>
  <c r="E339" i="4"/>
  <c r="G339" i="4" s="1"/>
  <c r="D339" i="4"/>
  <c r="F339" i="4" s="1"/>
  <c r="R338" i="4"/>
  <c r="Q338" i="4"/>
  <c r="P338" i="4"/>
  <c r="N338" i="4"/>
  <c r="M338" i="4"/>
  <c r="O338" i="4" s="1"/>
  <c r="K338" i="4"/>
  <c r="J338" i="4"/>
  <c r="I338" i="4"/>
  <c r="F338" i="4"/>
  <c r="E338" i="4"/>
  <c r="G338" i="4" s="1"/>
  <c r="D338" i="4"/>
  <c r="R337" i="4"/>
  <c r="Q337" i="4"/>
  <c r="P337" i="4"/>
  <c r="N337" i="4"/>
  <c r="M337" i="4"/>
  <c r="O337" i="4" s="1"/>
  <c r="K337" i="4"/>
  <c r="I337" i="4"/>
  <c r="J337" i="4" s="1"/>
  <c r="H337" i="4"/>
  <c r="G337" i="4"/>
  <c r="F337" i="4"/>
  <c r="E337" i="4"/>
  <c r="D337" i="4"/>
  <c r="Q336" i="4"/>
  <c r="P336" i="4"/>
  <c r="R336" i="4" s="1"/>
  <c r="N336" i="4"/>
  <c r="M336" i="4"/>
  <c r="O336" i="4" s="1"/>
  <c r="K336" i="4"/>
  <c r="I336" i="4"/>
  <c r="J336" i="4" s="1"/>
  <c r="H336" i="4"/>
  <c r="G336" i="4"/>
  <c r="F336" i="4"/>
  <c r="E336" i="4"/>
  <c r="D336" i="4"/>
  <c r="R335" i="4"/>
  <c r="Q335" i="4"/>
  <c r="P335" i="4"/>
  <c r="N335" i="4"/>
  <c r="M335" i="4"/>
  <c r="O335" i="4" s="1"/>
  <c r="K335" i="4"/>
  <c r="I335" i="4"/>
  <c r="J335" i="4" s="1"/>
  <c r="E335" i="4"/>
  <c r="G335" i="4" s="1"/>
  <c r="D335" i="4"/>
  <c r="Q334" i="4"/>
  <c r="P334" i="4"/>
  <c r="R334" i="4" s="1"/>
  <c r="N334" i="4"/>
  <c r="O334" i="4" s="1"/>
  <c r="M334" i="4"/>
  <c r="K334" i="4"/>
  <c r="J334" i="4"/>
  <c r="I334" i="4"/>
  <c r="F334" i="4"/>
  <c r="D334" i="4"/>
  <c r="Q333" i="4"/>
  <c r="P333" i="4"/>
  <c r="R333" i="4" s="1"/>
  <c r="N333" i="4"/>
  <c r="O333" i="4" s="1"/>
  <c r="M333" i="4"/>
  <c r="K333" i="4"/>
  <c r="I333" i="4"/>
  <c r="J333" i="4" s="1"/>
  <c r="D333" i="4"/>
  <c r="F333" i="4" s="1"/>
  <c r="R332" i="4"/>
  <c r="Q332" i="4"/>
  <c r="P332" i="4"/>
  <c r="O332" i="4"/>
  <c r="N332" i="4"/>
  <c r="M332" i="4"/>
  <c r="K332" i="4"/>
  <c r="J332" i="4"/>
  <c r="I332" i="4"/>
  <c r="F332" i="4"/>
  <c r="D332" i="4"/>
  <c r="R331" i="4"/>
  <c r="Q331" i="4"/>
  <c r="P331" i="4"/>
  <c r="N331" i="4"/>
  <c r="M331" i="4"/>
  <c r="K331" i="4"/>
  <c r="I331" i="4"/>
  <c r="J331" i="4" s="1"/>
  <c r="F331" i="4"/>
  <c r="D331" i="4"/>
  <c r="Q330" i="4"/>
  <c r="P330" i="4"/>
  <c r="R330" i="4" s="1"/>
  <c r="O330" i="4"/>
  <c r="N330" i="4"/>
  <c r="M330" i="4"/>
  <c r="K330" i="4"/>
  <c r="I330" i="4"/>
  <c r="J330" i="4" s="1"/>
  <c r="F330" i="4"/>
  <c r="D330" i="4"/>
  <c r="R329" i="4"/>
  <c r="Q329" i="4"/>
  <c r="P329" i="4"/>
  <c r="N329" i="4"/>
  <c r="M329" i="4"/>
  <c r="K329" i="4"/>
  <c r="I329" i="4"/>
  <c r="J329" i="4" s="1"/>
  <c r="E329" i="4"/>
  <c r="G329" i="4" s="1"/>
  <c r="D329" i="4"/>
  <c r="Q328" i="4"/>
  <c r="P328" i="4"/>
  <c r="R328" i="4" s="1"/>
  <c r="N328" i="4"/>
  <c r="M328" i="4"/>
  <c r="K328" i="4"/>
  <c r="J328" i="4"/>
  <c r="I328" i="4"/>
  <c r="G328" i="4"/>
  <c r="F328" i="4"/>
  <c r="E328" i="4"/>
  <c r="D328" i="4"/>
  <c r="Q327" i="4"/>
  <c r="P327" i="4"/>
  <c r="R327" i="4" s="1"/>
  <c r="N327" i="4"/>
  <c r="M327" i="4"/>
  <c r="K327" i="4"/>
  <c r="I327" i="4"/>
  <c r="J327" i="4" s="1"/>
  <c r="H327" i="4"/>
  <c r="E327" i="4"/>
  <c r="G327" i="4" s="1"/>
  <c r="D327" i="4"/>
  <c r="F327" i="4" s="1"/>
  <c r="R326" i="4"/>
  <c r="Q326" i="4"/>
  <c r="P326" i="4"/>
  <c r="O326" i="4"/>
  <c r="N326" i="4"/>
  <c r="M326" i="4"/>
  <c r="K326" i="4"/>
  <c r="J326" i="4"/>
  <c r="I326" i="4"/>
  <c r="F326" i="4"/>
  <c r="E326" i="4"/>
  <c r="G326" i="4" s="1"/>
  <c r="D326" i="4"/>
  <c r="R325" i="4"/>
  <c r="Q325" i="4"/>
  <c r="P325" i="4"/>
  <c r="N325" i="4"/>
  <c r="M325" i="4"/>
  <c r="K325" i="4"/>
  <c r="I325" i="4"/>
  <c r="J325" i="4" s="1"/>
  <c r="F325" i="4"/>
  <c r="E325" i="4"/>
  <c r="H325" i="4" s="1"/>
  <c r="D325" i="4"/>
  <c r="Q324" i="4"/>
  <c r="P324" i="4"/>
  <c r="R324" i="4" s="1"/>
  <c r="O324" i="4"/>
  <c r="N324" i="4"/>
  <c r="M324" i="4"/>
  <c r="K324" i="4"/>
  <c r="I324" i="4"/>
  <c r="J324" i="4" s="1"/>
  <c r="F324" i="4"/>
  <c r="E324" i="4"/>
  <c r="H324" i="4" s="1"/>
  <c r="D324" i="4"/>
  <c r="R323" i="4"/>
  <c r="Q323" i="4"/>
  <c r="P323" i="4"/>
  <c r="N323" i="4"/>
  <c r="M323" i="4"/>
  <c r="K323" i="4"/>
  <c r="I323" i="4"/>
  <c r="J323" i="4" s="1"/>
  <c r="E323" i="4"/>
  <c r="G323" i="4" s="1"/>
  <c r="D323" i="4"/>
  <c r="Q322" i="4"/>
  <c r="P322" i="4"/>
  <c r="R322" i="4" s="1"/>
  <c r="N322" i="4"/>
  <c r="O322" i="4" s="1"/>
  <c r="M322" i="4"/>
  <c r="K322" i="4"/>
  <c r="J322" i="4"/>
  <c r="I322" i="4"/>
  <c r="F322" i="4"/>
  <c r="E322" i="4"/>
  <c r="G322" i="4" s="1"/>
  <c r="D322" i="4"/>
  <c r="Q321" i="4"/>
  <c r="P321" i="4"/>
  <c r="R321" i="4" s="1"/>
  <c r="N321" i="4"/>
  <c r="O321" i="4" s="1"/>
  <c r="M321" i="4"/>
  <c r="K321" i="4"/>
  <c r="I321" i="4"/>
  <c r="J321" i="4" s="1"/>
  <c r="H321" i="4"/>
  <c r="E321" i="4"/>
  <c r="G321" i="4" s="1"/>
  <c r="D321" i="4"/>
  <c r="F321" i="4" s="1"/>
  <c r="R320" i="4"/>
  <c r="Q320" i="4"/>
  <c r="P320" i="4"/>
  <c r="N320" i="4"/>
  <c r="M320" i="4"/>
  <c r="O320" i="4" s="1"/>
  <c r="K320" i="4"/>
  <c r="J320" i="4"/>
  <c r="I320" i="4"/>
  <c r="F320" i="4"/>
  <c r="E320" i="4"/>
  <c r="G320" i="4" s="1"/>
  <c r="D320" i="4"/>
  <c r="R319" i="4"/>
  <c r="Q319" i="4"/>
  <c r="P319" i="4"/>
  <c r="N319" i="4"/>
  <c r="M319" i="4"/>
  <c r="O319" i="4" s="1"/>
  <c r="K319" i="4"/>
  <c r="I319" i="4"/>
  <c r="J319" i="4" s="1"/>
  <c r="H319" i="4"/>
  <c r="G319" i="4"/>
  <c r="F319" i="4"/>
  <c r="E319" i="4"/>
  <c r="D319" i="4"/>
  <c r="Q318" i="4"/>
  <c r="P318" i="4"/>
  <c r="R318" i="4" s="1"/>
  <c r="N318" i="4"/>
  <c r="M318" i="4"/>
  <c r="O318" i="4" s="1"/>
  <c r="K318" i="4"/>
  <c r="I318" i="4"/>
  <c r="J318" i="4" s="1"/>
  <c r="H318" i="4"/>
  <c r="G318" i="4"/>
  <c r="F318" i="4"/>
  <c r="E318" i="4"/>
  <c r="D318" i="4"/>
  <c r="R317" i="4"/>
  <c r="Q317" i="4"/>
  <c r="P317" i="4"/>
  <c r="N317" i="4"/>
  <c r="M317" i="4"/>
  <c r="O317" i="4" s="1"/>
  <c r="K317" i="4"/>
  <c r="I317" i="4"/>
  <c r="J317" i="4" s="1"/>
  <c r="E317" i="4"/>
  <c r="G317" i="4" s="1"/>
  <c r="D317" i="4"/>
  <c r="Q316" i="4"/>
  <c r="P316" i="4"/>
  <c r="R316" i="4" s="1"/>
  <c r="N316" i="4"/>
  <c r="O316" i="4" s="1"/>
  <c r="M316" i="4"/>
  <c r="K316" i="4"/>
  <c r="J316" i="4"/>
  <c r="I316" i="4"/>
  <c r="G316" i="4"/>
  <c r="F316" i="4"/>
  <c r="E316" i="4"/>
  <c r="D316" i="4"/>
  <c r="Q315" i="4"/>
  <c r="P315" i="4"/>
  <c r="R315" i="4" s="1"/>
  <c r="N315" i="4"/>
  <c r="O315" i="4" s="1"/>
  <c r="M315" i="4"/>
  <c r="K315" i="4"/>
  <c r="I315" i="4"/>
  <c r="J315" i="4" s="1"/>
  <c r="H315" i="4"/>
  <c r="E315" i="4"/>
  <c r="G315" i="4" s="1"/>
  <c r="D315" i="4"/>
  <c r="F315" i="4" s="1"/>
  <c r="R314" i="4"/>
  <c r="Q314" i="4"/>
  <c r="P314" i="4"/>
  <c r="O314" i="4"/>
  <c r="N314" i="4"/>
  <c r="M314" i="4"/>
  <c r="K314" i="4"/>
  <c r="I314" i="4"/>
  <c r="J314" i="4" s="1"/>
  <c r="F314" i="4"/>
  <c r="E314" i="4"/>
  <c r="G314" i="4" s="1"/>
  <c r="D314" i="4"/>
  <c r="R313" i="4"/>
  <c r="Q313" i="4"/>
  <c r="P313" i="4"/>
  <c r="N313" i="4"/>
  <c r="M313" i="4"/>
  <c r="K313" i="4"/>
  <c r="I313" i="4"/>
  <c r="J313" i="4" s="1"/>
  <c r="G313" i="4"/>
  <c r="F313" i="4"/>
  <c r="E313" i="4"/>
  <c r="H313" i="4" s="1"/>
  <c r="D313" i="4"/>
  <c r="Q312" i="4"/>
  <c r="P312" i="4"/>
  <c r="R312" i="4" s="1"/>
  <c r="O312" i="4"/>
  <c r="N312" i="4"/>
  <c r="M312" i="4"/>
  <c r="K312" i="4"/>
  <c r="I312" i="4"/>
  <c r="J312" i="4" s="1"/>
  <c r="G312" i="4"/>
  <c r="F312" i="4"/>
  <c r="E312" i="4"/>
  <c r="H312" i="4" s="1"/>
  <c r="D312" i="4"/>
  <c r="R311" i="4"/>
  <c r="Q311" i="4"/>
  <c r="P311" i="4"/>
  <c r="N311" i="4"/>
  <c r="M311" i="4"/>
  <c r="K311" i="4"/>
  <c r="I311" i="4"/>
  <c r="J311" i="4" s="1"/>
  <c r="E311" i="4"/>
  <c r="G311" i="4" s="1"/>
  <c r="D311" i="4"/>
  <c r="H311" i="4" s="1"/>
  <c r="Q310" i="4"/>
  <c r="P310" i="4"/>
  <c r="R310" i="4" s="1"/>
  <c r="N310" i="4"/>
  <c r="O310" i="4" s="1"/>
  <c r="M310" i="4"/>
  <c r="K310" i="4"/>
  <c r="J310" i="4"/>
  <c r="I310" i="4"/>
  <c r="G310" i="4"/>
  <c r="F310" i="4"/>
  <c r="E310" i="4"/>
  <c r="D310" i="4"/>
  <c r="Q309" i="4"/>
  <c r="P309" i="4"/>
  <c r="R309" i="4" s="1"/>
  <c r="N309" i="4"/>
  <c r="M309" i="4"/>
  <c r="K309" i="4"/>
  <c r="I309" i="4"/>
  <c r="J309" i="4" s="1"/>
  <c r="H309" i="4"/>
  <c r="E309" i="4"/>
  <c r="G309" i="4" s="1"/>
  <c r="D309" i="4"/>
  <c r="F309" i="4" s="1"/>
  <c r="R308" i="4"/>
  <c r="Q308" i="4"/>
  <c r="P308" i="4"/>
  <c r="O308" i="4"/>
  <c r="N308" i="4"/>
  <c r="M308" i="4"/>
  <c r="K308" i="4"/>
  <c r="J308" i="4"/>
  <c r="I308" i="4"/>
  <c r="F308" i="4"/>
  <c r="E308" i="4"/>
  <c r="G308" i="4" s="1"/>
  <c r="D308" i="4"/>
  <c r="R307" i="4"/>
  <c r="Q307" i="4"/>
  <c r="P307" i="4"/>
  <c r="N307" i="4"/>
  <c r="M307" i="4"/>
  <c r="K307" i="4"/>
  <c r="I307" i="4"/>
  <c r="J307" i="4" s="1"/>
  <c r="H307" i="4"/>
  <c r="G307" i="4"/>
  <c r="F307" i="4"/>
  <c r="E307" i="4"/>
  <c r="D307" i="4"/>
  <c r="Q306" i="4"/>
  <c r="P306" i="4"/>
  <c r="R306" i="4" s="1"/>
  <c r="N306" i="4"/>
  <c r="M306" i="4"/>
  <c r="O306" i="4" s="1"/>
  <c r="K306" i="4"/>
  <c r="I306" i="4"/>
  <c r="J306" i="4" s="1"/>
  <c r="H306" i="4"/>
  <c r="G306" i="4"/>
  <c r="F306" i="4"/>
  <c r="E306" i="4"/>
  <c r="D306" i="4"/>
  <c r="R305" i="4"/>
  <c r="Q305" i="4"/>
  <c r="P305" i="4"/>
  <c r="N305" i="4"/>
  <c r="M305" i="4"/>
  <c r="K305" i="4"/>
  <c r="I305" i="4"/>
  <c r="J305" i="4" s="1"/>
  <c r="E305" i="4"/>
  <c r="G305" i="4" s="1"/>
  <c r="D305" i="4"/>
  <c r="Q304" i="4"/>
  <c r="P304" i="4"/>
  <c r="R304" i="4" s="1"/>
  <c r="N304" i="4"/>
  <c r="M304" i="4"/>
  <c r="K304" i="4"/>
  <c r="I304" i="4"/>
  <c r="J304" i="4" s="1"/>
  <c r="G304" i="4"/>
  <c r="F304" i="4"/>
  <c r="E304" i="4"/>
  <c r="D304" i="4"/>
  <c r="H304" i="4" s="1"/>
  <c r="Q303" i="4"/>
  <c r="P303" i="4"/>
  <c r="R303" i="4" s="1"/>
  <c r="N303" i="4"/>
  <c r="M303" i="4"/>
  <c r="K303" i="4"/>
  <c r="I303" i="4"/>
  <c r="J303" i="4" s="1"/>
  <c r="H303" i="4"/>
  <c r="E303" i="4"/>
  <c r="G303" i="4" s="1"/>
  <c r="D303" i="4"/>
  <c r="F303" i="4" s="1"/>
  <c r="R302" i="4"/>
  <c r="Q302" i="4"/>
  <c r="P302" i="4"/>
  <c r="N302" i="4"/>
  <c r="O302" i="4" s="1"/>
  <c r="M302" i="4"/>
  <c r="K302" i="4"/>
  <c r="J302" i="4"/>
  <c r="I302" i="4"/>
  <c r="F302" i="4"/>
  <c r="E302" i="4"/>
  <c r="G302" i="4" s="1"/>
  <c r="D302" i="4"/>
  <c r="R301" i="4"/>
  <c r="Q301" i="4"/>
  <c r="P301" i="4"/>
  <c r="N301" i="4"/>
  <c r="M301" i="4"/>
  <c r="K301" i="4"/>
  <c r="I301" i="4"/>
  <c r="J301" i="4" s="1"/>
  <c r="H301" i="4"/>
  <c r="G301" i="4"/>
  <c r="F301" i="4"/>
  <c r="E301" i="4"/>
  <c r="D301" i="4"/>
  <c r="Q300" i="4"/>
  <c r="P300" i="4"/>
  <c r="R300" i="4" s="1"/>
  <c r="N300" i="4"/>
  <c r="M300" i="4"/>
  <c r="O300" i="4" s="1"/>
  <c r="K300" i="4"/>
  <c r="I300" i="4"/>
  <c r="J300" i="4" s="1"/>
  <c r="H300" i="4"/>
  <c r="G300" i="4"/>
  <c r="F300" i="4"/>
  <c r="E300" i="4"/>
  <c r="D300" i="4"/>
  <c r="R299" i="4"/>
  <c r="Q299" i="4"/>
  <c r="P299" i="4"/>
  <c r="N299" i="4"/>
  <c r="M299" i="4"/>
  <c r="K299" i="4"/>
  <c r="I299" i="4"/>
  <c r="J299" i="4" s="1"/>
  <c r="E299" i="4"/>
  <c r="G299" i="4" s="1"/>
  <c r="D299" i="4"/>
  <c r="Q298" i="4"/>
  <c r="P298" i="4"/>
  <c r="R298" i="4" s="1"/>
  <c r="N298" i="4"/>
  <c r="M298" i="4"/>
  <c r="K298" i="4"/>
  <c r="I298" i="4"/>
  <c r="J298" i="4" s="1"/>
  <c r="G298" i="4"/>
  <c r="F298" i="4"/>
  <c r="E298" i="4"/>
  <c r="D298" i="4"/>
  <c r="Q297" i="4"/>
  <c r="P297" i="4"/>
  <c r="R297" i="4" s="1"/>
  <c r="N297" i="4"/>
  <c r="O297" i="4" s="1"/>
  <c r="M297" i="4"/>
  <c r="K297" i="4"/>
  <c r="I297" i="4"/>
  <c r="J297" i="4" s="1"/>
  <c r="H297" i="4"/>
  <c r="E297" i="4"/>
  <c r="G297" i="4" s="1"/>
  <c r="D297" i="4"/>
  <c r="F297" i="4" s="1"/>
  <c r="R296" i="4"/>
  <c r="Q296" i="4"/>
  <c r="P296" i="4"/>
  <c r="N296" i="4"/>
  <c r="O296" i="4" s="1"/>
  <c r="M296" i="4"/>
  <c r="K296" i="4"/>
  <c r="J296" i="4"/>
  <c r="I296" i="4"/>
  <c r="F296" i="4"/>
  <c r="E296" i="4"/>
  <c r="G296" i="4" s="1"/>
  <c r="D296" i="4"/>
  <c r="R295" i="4"/>
  <c r="Q295" i="4"/>
  <c r="P295" i="4"/>
  <c r="N295" i="4"/>
  <c r="M295" i="4"/>
  <c r="K295" i="4"/>
  <c r="I295" i="4"/>
  <c r="J295" i="4" s="1"/>
  <c r="H295" i="4"/>
  <c r="F295" i="4"/>
  <c r="E295" i="4"/>
  <c r="G295" i="4" s="1"/>
  <c r="D295" i="4"/>
  <c r="Q294" i="4"/>
  <c r="P294" i="4"/>
  <c r="R294" i="4" s="1"/>
  <c r="O294" i="4"/>
  <c r="N294" i="4"/>
  <c r="M294" i="4"/>
  <c r="K294" i="4"/>
  <c r="I294" i="4"/>
  <c r="J294" i="4" s="1"/>
  <c r="F294" i="4"/>
  <c r="E294" i="4"/>
  <c r="H294" i="4" s="1"/>
  <c r="D294" i="4"/>
  <c r="R293" i="4"/>
  <c r="Q293" i="4"/>
  <c r="P293" i="4"/>
  <c r="N293" i="4"/>
  <c r="M293" i="4"/>
  <c r="O293" i="4" s="1"/>
  <c r="K293" i="4"/>
  <c r="I293" i="4"/>
  <c r="J293" i="4" s="1"/>
  <c r="E293" i="4"/>
  <c r="G293" i="4" s="1"/>
  <c r="D293" i="4"/>
  <c r="Q292" i="4"/>
  <c r="P292" i="4"/>
  <c r="R292" i="4" s="1"/>
  <c r="N292" i="4"/>
  <c r="M292" i="4"/>
  <c r="K292" i="4"/>
  <c r="J292" i="4"/>
  <c r="I292" i="4"/>
  <c r="G292" i="4"/>
  <c r="F292" i="4"/>
  <c r="E292" i="4"/>
  <c r="D292" i="4"/>
  <c r="Q291" i="4"/>
  <c r="P291" i="4"/>
  <c r="R291" i="4" s="1"/>
  <c r="N291" i="4"/>
  <c r="O291" i="4" s="1"/>
  <c r="M291" i="4"/>
  <c r="K291" i="4"/>
  <c r="I291" i="4"/>
  <c r="J291" i="4" s="1"/>
  <c r="H291" i="4"/>
  <c r="E291" i="4"/>
  <c r="G291" i="4" s="1"/>
  <c r="D291" i="4"/>
  <c r="F291" i="4" s="1"/>
  <c r="R290" i="4"/>
  <c r="Q290" i="4"/>
  <c r="P290" i="4"/>
  <c r="N290" i="4"/>
  <c r="M290" i="4"/>
  <c r="O290" i="4" s="1"/>
  <c r="K290" i="4"/>
  <c r="J290" i="4"/>
  <c r="I290" i="4"/>
  <c r="F290" i="4"/>
  <c r="E290" i="4"/>
  <c r="G290" i="4" s="1"/>
  <c r="D290" i="4"/>
  <c r="H290" i="4" s="1"/>
  <c r="R289" i="4"/>
  <c r="Q289" i="4"/>
  <c r="P289" i="4"/>
  <c r="N289" i="4"/>
  <c r="M289" i="4"/>
  <c r="O289" i="4" s="1"/>
  <c r="K289" i="4"/>
  <c r="I289" i="4"/>
  <c r="J289" i="4" s="1"/>
  <c r="H289" i="4"/>
  <c r="F289" i="4"/>
  <c r="E289" i="4"/>
  <c r="G289" i="4" s="1"/>
  <c r="D289" i="4"/>
  <c r="Q288" i="4"/>
  <c r="P288" i="4"/>
  <c r="R288" i="4" s="1"/>
  <c r="N288" i="4"/>
  <c r="M288" i="4"/>
  <c r="O288" i="4" s="1"/>
  <c r="K288" i="4"/>
  <c r="I288" i="4"/>
  <c r="J288" i="4" s="1"/>
  <c r="H288" i="4"/>
  <c r="F288" i="4"/>
  <c r="E288" i="4"/>
  <c r="G288" i="4" s="1"/>
  <c r="D288" i="4"/>
  <c r="R287" i="4"/>
  <c r="Q287" i="4"/>
  <c r="P287" i="4"/>
  <c r="N287" i="4"/>
  <c r="M287" i="4"/>
  <c r="K287" i="4"/>
  <c r="I287" i="4"/>
  <c r="J287" i="4" s="1"/>
  <c r="E287" i="4"/>
  <c r="G287" i="4" s="1"/>
  <c r="D287" i="4"/>
  <c r="Q286" i="4"/>
  <c r="P286" i="4"/>
  <c r="R286" i="4" s="1"/>
  <c r="N286" i="4"/>
  <c r="M286" i="4"/>
  <c r="K286" i="4"/>
  <c r="I286" i="4"/>
  <c r="J286" i="4" s="1"/>
  <c r="F286" i="4"/>
  <c r="E286" i="4"/>
  <c r="G286" i="4" s="1"/>
  <c r="D286" i="4"/>
  <c r="Q285" i="4"/>
  <c r="P285" i="4"/>
  <c r="R285" i="4" s="1"/>
  <c r="N285" i="4"/>
  <c r="O285" i="4" s="1"/>
  <c r="M285" i="4"/>
  <c r="K285" i="4"/>
  <c r="I285" i="4"/>
  <c r="J285" i="4" s="1"/>
  <c r="E285" i="4"/>
  <c r="G285" i="4" s="1"/>
  <c r="D285" i="4"/>
  <c r="F285" i="4" s="1"/>
  <c r="R284" i="4"/>
  <c r="Q284" i="4"/>
  <c r="P284" i="4"/>
  <c r="N284" i="4"/>
  <c r="M284" i="4"/>
  <c r="O284" i="4" s="1"/>
  <c r="K284" i="4"/>
  <c r="J284" i="4"/>
  <c r="I284" i="4"/>
  <c r="F284" i="4"/>
  <c r="E284" i="4"/>
  <c r="G284" i="4" s="1"/>
  <c r="D284" i="4"/>
  <c r="R283" i="4"/>
  <c r="Q283" i="4"/>
  <c r="P283" i="4"/>
  <c r="N283" i="4"/>
  <c r="M283" i="4"/>
  <c r="K283" i="4"/>
  <c r="I283" i="4"/>
  <c r="J283" i="4" s="1"/>
  <c r="H283" i="4"/>
  <c r="F283" i="4"/>
  <c r="E283" i="4"/>
  <c r="G283" i="4" s="1"/>
  <c r="D283" i="4"/>
  <c r="Q282" i="4"/>
  <c r="P282" i="4"/>
  <c r="R282" i="4" s="1"/>
  <c r="N282" i="4"/>
  <c r="M282" i="4"/>
  <c r="O282" i="4" s="1"/>
  <c r="K282" i="4"/>
  <c r="I282" i="4"/>
  <c r="J282" i="4" s="1"/>
  <c r="H282" i="4"/>
  <c r="F282" i="4"/>
  <c r="E282" i="4"/>
  <c r="G282" i="4" s="1"/>
  <c r="D282" i="4"/>
  <c r="R281" i="4"/>
  <c r="Q281" i="4"/>
  <c r="P281" i="4"/>
  <c r="N281" i="4"/>
  <c r="M281" i="4"/>
  <c r="O281" i="4" s="1"/>
  <c r="K281" i="4"/>
  <c r="I281" i="4"/>
  <c r="J281" i="4" s="1"/>
  <c r="E281" i="4"/>
  <c r="G281" i="4" s="1"/>
  <c r="D281" i="4"/>
  <c r="Q280" i="4"/>
  <c r="P280" i="4"/>
  <c r="R280" i="4" s="1"/>
  <c r="N280" i="4"/>
  <c r="M280" i="4"/>
  <c r="K280" i="4"/>
  <c r="J280" i="4"/>
  <c r="I280" i="4"/>
  <c r="G280" i="4"/>
  <c r="F280" i="4"/>
  <c r="E280" i="4"/>
  <c r="D280" i="4"/>
  <c r="Q279" i="4"/>
  <c r="P279" i="4"/>
  <c r="R279" i="4" s="1"/>
  <c r="N279" i="4"/>
  <c r="O279" i="4" s="1"/>
  <c r="M279" i="4"/>
  <c r="K279" i="4"/>
  <c r="I279" i="4"/>
  <c r="J279" i="4" s="1"/>
  <c r="H279" i="4"/>
  <c r="E279" i="4"/>
  <c r="G279" i="4" s="1"/>
  <c r="D279" i="4"/>
  <c r="F279" i="4" s="1"/>
  <c r="R278" i="4"/>
  <c r="Q278" i="4"/>
  <c r="P278" i="4"/>
  <c r="N278" i="4"/>
  <c r="M278" i="4"/>
  <c r="O278" i="4" s="1"/>
  <c r="K278" i="4"/>
  <c r="J278" i="4"/>
  <c r="I278" i="4"/>
  <c r="F278" i="4"/>
  <c r="E278" i="4"/>
  <c r="G278" i="4" s="1"/>
  <c r="D278" i="4"/>
  <c r="H278" i="4" s="1"/>
  <c r="R277" i="4"/>
  <c r="Q277" i="4"/>
  <c r="P277" i="4"/>
  <c r="N277" i="4"/>
  <c r="M277" i="4"/>
  <c r="O277" i="4" s="1"/>
  <c r="K277" i="4"/>
  <c r="I277" i="4"/>
  <c r="J277" i="4" s="1"/>
  <c r="H277" i="4"/>
  <c r="F277" i="4"/>
  <c r="E277" i="4"/>
  <c r="G277" i="4" s="1"/>
  <c r="D277" i="4"/>
  <c r="Q276" i="4"/>
  <c r="P276" i="4"/>
  <c r="R276" i="4" s="1"/>
  <c r="N276" i="4"/>
  <c r="M276" i="4"/>
  <c r="O276" i="4" s="1"/>
  <c r="K276" i="4"/>
  <c r="I276" i="4"/>
  <c r="J276" i="4" s="1"/>
  <c r="H276" i="4"/>
  <c r="F276" i="4"/>
  <c r="E276" i="4"/>
  <c r="G276" i="4" s="1"/>
  <c r="D276" i="4"/>
  <c r="R275" i="4"/>
  <c r="Q275" i="4"/>
  <c r="P275" i="4"/>
  <c r="N275" i="4"/>
  <c r="M275" i="4"/>
  <c r="K275" i="4"/>
  <c r="I275" i="4"/>
  <c r="J275" i="4" s="1"/>
  <c r="E275" i="4"/>
  <c r="G275" i="4" s="1"/>
  <c r="D275" i="4"/>
  <c r="Q274" i="4"/>
  <c r="P274" i="4"/>
  <c r="R274" i="4" s="1"/>
  <c r="N274" i="4"/>
  <c r="M274" i="4"/>
  <c r="K274" i="4"/>
  <c r="I274" i="4"/>
  <c r="J274" i="4" s="1"/>
  <c r="F274" i="4"/>
  <c r="E274" i="4"/>
  <c r="G274" i="4" s="1"/>
  <c r="D274" i="4"/>
  <c r="Q273" i="4"/>
  <c r="P273" i="4"/>
  <c r="N273" i="4"/>
  <c r="O273" i="4" s="1"/>
  <c r="M273" i="4"/>
  <c r="K273" i="4"/>
  <c r="I273" i="4"/>
  <c r="J273" i="4" s="1"/>
  <c r="E273" i="4"/>
  <c r="G273" i="4" s="1"/>
  <c r="D273" i="4"/>
  <c r="F273" i="4" s="1"/>
  <c r="R272" i="4"/>
  <c r="Q272" i="4"/>
  <c r="P272" i="4"/>
  <c r="O272" i="4"/>
  <c r="N272" i="4"/>
  <c r="M272" i="4"/>
  <c r="K272" i="4"/>
  <c r="I272" i="4"/>
  <c r="J272" i="4" s="1"/>
  <c r="F272" i="4"/>
  <c r="E272" i="4"/>
  <c r="G272" i="4" s="1"/>
  <c r="D272" i="4"/>
  <c r="R271" i="4"/>
  <c r="Q271" i="4"/>
  <c r="P271" i="4"/>
  <c r="N271" i="4"/>
  <c r="M271" i="4"/>
  <c r="K271" i="4"/>
  <c r="J271" i="4"/>
  <c r="I271" i="4"/>
  <c r="H271" i="4"/>
  <c r="F271" i="4"/>
  <c r="E271" i="4"/>
  <c r="G271" i="4" s="1"/>
  <c r="D271" i="4"/>
  <c r="Q270" i="4"/>
  <c r="P270" i="4"/>
  <c r="R270" i="4" s="1"/>
  <c r="O270" i="4"/>
  <c r="N270" i="4"/>
  <c r="M270" i="4"/>
  <c r="K270" i="4"/>
  <c r="I270" i="4"/>
  <c r="J270" i="4" s="1"/>
  <c r="H270" i="4"/>
  <c r="G270" i="4"/>
  <c r="F270" i="4"/>
  <c r="E270" i="4"/>
  <c r="D270" i="4"/>
  <c r="R269" i="4"/>
  <c r="Q269" i="4"/>
  <c r="P269" i="4"/>
  <c r="N269" i="4"/>
  <c r="M269" i="4"/>
  <c r="K269" i="4"/>
  <c r="I269" i="4"/>
  <c r="J269" i="4" s="1"/>
  <c r="E269" i="4"/>
  <c r="G269" i="4" s="1"/>
  <c r="D269" i="4"/>
  <c r="Q268" i="4"/>
  <c r="P268" i="4"/>
  <c r="R268" i="4" s="1"/>
  <c r="O268" i="4"/>
  <c r="N268" i="4"/>
  <c r="M268" i="4"/>
  <c r="K268" i="4"/>
  <c r="J268" i="4"/>
  <c r="I268" i="4"/>
  <c r="G268" i="4"/>
  <c r="F268" i="4"/>
  <c r="E268" i="4"/>
  <c r="D268" i="4"/>
  <c r="H268" i="4" s="1"/>
  <c r="Q267" i="4"/>
  <c r="P267" i="4"/>
  <c r="R267" i="4" s="1"/>
  <c r="O267" i="4"/>
  <c r="N267" i="4"/>
  <c r="M267" i="4"/>
  <c r="K267" i="4"/>
  <c r="I267" i="4"/>
  <c r="J267" i="4" s="1"/>
  <c r="E267" i="4"/>
  <c r="G267" i="4" s="1"/>
  <c r="D267" i="4"/>
  <c r="F267" i="4" s="1"/>
  <c r="Q266" i="4"/>
  <c r="P266" i="4"/>
  <c r="O266" i="4"/>
  <c r="N266" i="4"/>
  <c r="M266" i="4"/>
  <c r="K266" i="4"/>
  <c r="J266" i="4"/>
  <c r="I266" i="4"/>
  <c r="E266" i="4"/>
  <c r="G266" i="4" s="1"/>
  <c r="D266" i="4"/>
  <c r="Q265" i="4"/>
  <c r="R265" i="4" s="1"/>
  <c r="P265" i="4"/>
  <c r="N265" i="4"/>
  <c r="M265" i="4"/>
  <c r="K265" i="4"/>
  <c r="J265" i="4"/>
  <c r="I265" i="4"/>
  <c r="F265" i="4"/>
  <c r="E265" i="4"/>
  <c r="H265" i="4" s="1"/>
  <c r="D265" i="4"/>
  <c r="Q264" i="4"/>
  <c r="P264" i="4"/>
  <c r="R264" i="4" s="1"/>
  <c r="N264" i="4"/>
  <c r="M264" i="4"/>
  <c r="O264" i="4" s="1"/>
  <c r="K264" i="4"/>
  <c r="J264" i="4"/>
  <c r="I264" i="4"/>
  <c r="H264" i="4"/>
  <c r="G264" i="4"/>
  <c r="F264" i="4"/>
  <c r="E264" i="4"/>
  <c r="D264" i="4"/>
  <c r="Q263" i="4"/>
  <c r="R263" i="4" s="1"/>
  <c r="P263" i="4"/>
  <c r="N263" i="4"/>
  <c r="O263" i="4" s="1"/>
  <c r="M263" i="4"/>
  <c r="K263" i="4"/>
  <c r="J263" i="4"/>
  <c r="I263" i="4"/>
  <c r="E263" i="4"/>
  <c r="G263" i="4" s="1"/>
  <c r="D263" i="4"/>
  <c r="Q262" i="4"/>
  <c r="P262" i="4"/>
  <c r="R262" i="4" s="1"/>
  <c r="O262" i="4"/>
  <c r="N262" i="4"/>
  <c r="M262" i="4"/>
  <c r="K262" i="4"/>
  <c r="I262" i="4"/>
  <c r="J262" i="4" s="1"/>
  <c r="G262" i="4"/>
  <c r="E262" i="4"/>
  <c r="D262" i="4"/>
  <c r="Q261" i="4"/>
  <c r="P261" i="4"/>
  <c r="R261" i="4" s="1"/>
  <c r="O261" i="4"/>
  <c r="N261" i="4"/>
  <c r="M261" i="4"/>
  <c r="K261" i="4"/>
  <c r="I261" i="4"/>
  <c r="J261" i="4" s="1"/>
  <c r="E261" i="4"/>
  <c r="G261" i="4" s="1"/>
  <c r="D261" i="4"/>
  <c r="Q260" i="4"/>
  <c r="P260" i="4"/>
  <c r="R260" i="4" s="1"/>
  <c r="O260" i="4"/>
  <c r="N260" i="4"/>
  <c r="M260" i="4"/>
  <c r="K260" i="4"/>
  <c r="J260" i="4"/>
  <c r="I260" i="4"/>
  <c r="F260" i="4"/>
  <c r="E260" i="4"/>
  <c r="G260" i="4" s="1"/>
  <c r="D260" i="4"/>
  <c r="R259" i="4"/>
  <c r="Q259" i="4"/>
  <c r="P259" i="4"/>
  <c r="N259" i="4"/>
  <c r="M259" i="4"/>
  <c r="K259" i="4"/>
  <c r="I259" i="4"/>
  <c r="J259" i="4" s="1"/>
  <c r="G259" i="4"/>
  <c r="E259" i="4"/>
  <c r="D259" i="4"/>
  <c r="F259" i="4" s="1"/>
  <c r="Q258" i="4"/>
  <c r="P258" i="4"/>
  <c r="R258" i="4" s="1"/>
  <c r="N258" i="4"/>
  <c r="M258" i="4"/>
  <c r="K258" i="4"/>
  <c r="J258" i="4"/>
  <c r="I258" i="4"/>
  <c r="F258" i="4"/>
  <c r="E258" i="4"/>
  <c r="G258" i="4" s="1"/>
  <c r="D258" i="4"/>
  <c r="R257" i="4"/>
  <c r="Q257" i="4"/>
  <c r="P257" i="4"/>
  <c r="N257" i="4"/>
  <c r="M257" i="4"/>
  <c r="K257" i="4"/>
  <c r="J257" i="4"/>
  <c r="I257" i="4"/>
  <c r="G257" i="4"/>
  <c r="E257" i="4"/>
  <c r="H257" i="4" s="1"/>
  <c r="D257" i="4"/>
  <c r="F257" i="4" s="1"/>
  <c r="Q256" i="4"/>
  <c r="P256" i="4"/>
  <c r="N256" i="4"/>
  <c r="M256" i="4"/>
  <c r="O256" i="4" s="1"/>
  <c r="K256" i="4"/>
  <c r="I256" i="4"/>
  <c r="J256" i="4" s="1"/>
  <c r="F256" i="4"/>
  <c r="E256" i="4"/>
  <c r="G256" i="4" s="1"/>
  <c r="D256" i="4"/>
  <c r="Q255" i="4"/>
  <c r="P255" i="4"/>
  <c r="R255" i="4" s="1"/>
  <c r="N255" i="4"/>
  <c r="O255" i="4" s="1"/>
  <c r="M255" i="4"/>
  <c r="K255" i="4"/>
  <c r="I255" i="4"/>
  <c r="J255" i="4" s="1"/>
  <c r="F255" i="4"/>
  <c r="E255" i="4"/>
  <c r="G255" i="4" s="1"/>
  <c r="D255" i="4"/>
  <c r="Q254" i="4"/>
  <c r="P254" i="4"/>
  <c r="R254" i="4" s="1"/>
  <c r="N254" i="4"/>
  <c r="O254" i="4" s="1"/>
  <c r="M254" i="4"/>
  <c r="K254" i="4"/>
  <c r="I254" i="4"/>
  <c r="J254" i="4" s="1"/>
  <c r="H254" i="4"/>
  <c r="F254" i="4"/>
  <c r="E254" i="4"/>
  <c r="G254" i="4" s="1"/>
  <c r="D254" i="4"/>
  <c r="Q253" i="4"/>
  <c r="P253" i="4"/>
  <c r="R253" i="4" s="1"/>
  <c r="N253" i="4"/>
  <c r="M253" i="4"/>
  <c r="K253" i="4"/>
  <c r="I253" i="4"/>
  <c r="J253" i="4" s="1"/>
  <c r="G253" i="4"/>
  <c r="E253" i="4"/>
  <c r="D253" i="4"/>
  <c r="R252" i="4"/>
  <c r="Q252" i="4"/>
  <c r="P252" i="4"/>
  <c r="O252" i="4"/>
  <c r="N252" i="4"/>
  <c r="M252" i="4"/>
  <c r="K252" i="4"/>
  <c r="I252" i="4"/>
  <c r="J252" i="4" s="1"/>
  <c r="H252" i="4"/>
  <c r="G252" i="4"/>
  <c r="F252" i="4"/>
  <c r="E252" i="4"/>
  <c r="D252" i="4"/>
  <c r="Q251" i="4"/>
  <c r="R251" i="4" s="1"/>
  <c r="P251" i="4"/>
  <c r="O251" i="4"/>
  <c r="N251" i="4"/>
  <c r="M251" i="4"/>
  <c r="K251" i="4"/>
  <c r="J251" i="4"/>
  <c r="I251" i="4"/>
  <c r="E251" i="4"/>
  <c r="H251" i="4" s="1"/>
  <c r="D251" i="4"/>
  <c r="F251" i="4" s="1"/>
  <c r="Q250" i="4"/>
  <c r="P250" i="4"/>
  <c r="N250" i="4"/>
  <c r="M250" i="4"/>
  <c r="O250" i="4" s="1"/>
  <c r="K250" i="4"/>
  <c r="J250" i="4"/>
  <c r="I250" i="4"/>
  <c r="G250" i="4"/>
  <c r="E250" i="4"/>
  <c r="D250" i="4"/>
  <c r="H250" i="4" s="1"/>
  <c r="R249" i="4"/>
  <c r="Q249" i="4"/>
  <c r="P249" i="4"/>
  <c r="N249" i="4"/>
  <c r="M249" i="4"/>
  <c r="O249" i="4" s="1"/>
  <c r="K249" i="4"/>
  <c r="I249" i="4"/>
  <c r="J249" i="4" s="1"/>
  <c r="E249" i="4"/>
  <c r="G249" i="4" s="1"/>
  <c r="D249" i="4"/>
  <c r="Q248" i="4"/>
  <c r="P248" i="4"/>
  <c r="R248" i="4" s="1"/>
  <c r="N248" i="4"/>
  <c r="O248" i="4" s="1"/>
  <c r="M248" i="4"/>
  <c r="K248" i="4"/>
  <c r="J248" i="4"/>
  <c r="I248" i="4"/>
  <c r="F248" i="4"/>
  <c r="E248" i="4"/>
  <c r="G248" i="4" s="1"/>
  <c r="D248" i="4"/>
  <c r="R247" i="4"/>
  <c r="Q247" i="4"/>
  <c r="P247" i="4"/>
  <c r="N247" i="4"/>
  <c r="M247" i="4"/>
  <c r="K247" i="4"/>
  <c r="J247" i="4"/>
  <c r="I247" i="4"/>
  <c r="F247" i="4"/>
  <c r="E247" i="4"/>
  <c r="G247" i="4" s="1"/>
  <c r="D247" i="4"/>
  <c r="R246" i="4"/>
  <c r="Q246" i="4"/>
  <c r="P246" i="4"/>
  <c r="N246" i="4"/>
  <c r="M246" i="4"/>
  <c r="K246" i="4"/>
  <c r="J246" i="4"/>
  <c r="I246" i="4"/>
  <c r="G246" i="4"/>
  <c r="F246" i="4"/>
  <c r="E246" i="4"/>
  <c r="H246" i="4" s="1"/>
  <c r="D246" i="4"/>
  <c r="Q245" i="4"/>
  <c r="R245" i="4" s="1"/>
  <c r="P245" i="4"/>
  <c r="N245" i="4"/>
  <c r="M245" i="4"/>
  <c r="K245" i="4"/>
  <c r="J245" i="4"/>
  <c r="I245" i="4"/>
  <c r="E245" i="4"/>
  <c r="G245" i="4" s="1"/>
  <c r="D245" i="4"/>
  <c r="Q244" i="4"/>
  <c r="P244" i="4"/>
  <c r="R244" i="4" s="1"/>
  <c r="N244" i="4"/>
  <c r="M244" i="4"/>
  <c r="K244" i="4"/>
  <c r="J244" i="4"/>
  <c r="I244" i="4"/>
  <c r="F244" i="4"/>
  <c r="E244" i="4"/>
  <c r="D244" i="4"/>
  <c r="Q243" i="4"/>
  <c r="P243" i="4"/>
  <c r="R243" i="4" s="1"/>
  <c r="N243" i="4"/>
  <c r="M243" i="4"/>
  <c r="K243" i="4"/>
  <c r="J243" i="4"/>
  <c r="I243" i="4"/>
  <c r="E243" i="4"/>
  <c r="G243" i="4" s="1"/>
  <c r="D243" i="4"/>
  <c r="Q242" i="4"/>
  <c r="P242" i="4"/>
  <c r="R242" i="4" s="1"/>
  <c r="O242" i="4"/>
  <c r="N242" i="4"/>
  <c r="M242" i="4"/>
  <c r="K242" i="4"/>
  <c r="I242" i="4"/>
  <c r="J242" i="4" s="1"/>
  <c r="E242" i="4"/>
  <c r="G242" i="4" s="1"/>
  <c r="D242" i="4"/>
  <c r="Q241" i="4"/>
  <c r="P241" i="4"/>
  <c r="R241" i="4" s="1"/>
  <c r="N241" i="4"/>
  <c r="M241" i="4"/>
  <c r="K241" i="4"/>
  <c r="J241" i="4"/>
  <c r="I241" i="4"/>
  <c r="F241" i="4"/>
  <c r="E241" i="4"/>
  <c r="G241" i="4" s="1"/>
  <c r="D241" i="4"/>
  <c r="H241" i="4" s="1"/>
  <c r="R240" i="4"/>
  <c r="Q240" i="4"/>
  <c r="P240" i="4"/>
  <c r="N240" i="4"/>
  <c r="M240" i="4"/>
  <c r="K240" i="4"/>
  <c r="J240" i="4"/>
  <c r="I240" i="4"/>
  <c r="H240" i="4"/>
  <c r="F240" i="4"/>
  <c r="E240" i="4"/>
  <c r="G240" i="4" s="1"/>
  <c r="D240" i="4"/>
  <c r="R239" i="4"/>
  <c r="Q239" i="4"/>
  <c r="P239" i="4"/>
  <c r="N239" i="4"/>
  <c r="M239" i="4"/>
  <c r="K239" i="4"/>
  <c r="J239" i="4"/>
  <c r="I239" i="4"/>
  <c r="G239" i="4"/>
  <c r="F239" i="4"/>
  <c r="E239" i="4"/>
  <c r="H239" i="4" s="1"/>
  <c r="D239" i="4"/>
  <c r="Q238" i="4"/>
  <c r="P238" i="4"/>
  <c r="R238" i="4" s="1"/>
  <c r="N238" i="4"/>
  <c r="M238" i="4"/>
  <c r="K238" i="4"/>
  <c r="I238" i="4"/>
  <c r="J238" i="4" s="1"/>
  <c r="H238" i="4"/>
  <c r="G238" i="4"/>
  <c r="F238" i="4"/>
  <c r="E238" i="4"/>
  <c r="D238" i="4"/>
  <c r="Q237" i="4"/>
  <c r="P237" i="4"/>
  <c r="R237" i="4" s="1"/>
  <c r="N237" i="4"/>
  <c r="M237" i="4"/>
  <c r="K237" i="4"/>
  <c r="J237" i="4"/>
  <c r="I237" i="4"/>
  <c r="E237" i="4"/>
  <c r="G237" i="4" s="1"/>
  <c r="D237" i="4"/>
  <c r="Q236" i="4"/>
  <c r="P236" i="4"/>
  <c r="R236" i="4" s="1"/>
  <c r="O236" i="4"/>
  <c r="N236" i="4"/>
  <c r="M236" i="4"/>
  <c r="K236" i="4"/>
  <c r="J236" i="4"/>
  <c r="I236" i="4"/>
  <c r="G236" i="4"/>
  <c r="E236" i="4"/>
  <c r="D236" i="4"/>
  <c r="Q235" i="4"/>
  <c r="P235" i="4"/>
  <c r="R235" i="4" s="1"/>
  <c r="N235" i="4"/>
  <c r="O235" i="4" s="1"/>
  <c r="M235" i="4"/>
  <c r="K235" i="4"/>
  <c r="J235" i="4"/>
  <c r="I235" i="4"/>
  <c r="E235" i="4"/>
  <c r="G235" i="4" s="1"/>
  <c r="D235" i="4"/>
  <c r="Q234" i="4"/>
  <c r="P234" i="4"/>
  <c r="R234" i="4" s="1"/>
  <c r="N234" i="4"/>
  <c r="O234" i="4" s="1"/>
  <c r="M234" i="4"/>
  <c r="K234" i="4"/>
  <c r="J234" i="4"/>
  <c r="I234" i="4"/>
  <c r="F234" i="4"/>
  <c r="E234" i="4"/>
  <c r="G234" i="4" s="1"/>
  <c r="D234" i="4"/>
  <c r="R233" i="4"/>
  <c r="Q233" i="4"/>
  <c r="P233" i="4"/>
  <c r="N233" i="4"/>
  <c r="M233" i="4"/>
  <c r="O233" i="4" s="1"/>
  <c r="K233" i="4"/>
  <c r="J233" i="4"/>
  <c r="I233" i="4"/>
  <c r="F233" i="4"/>
  <c r="E233" i="4"/>
  <c r="G233" i="4" s="1"/>
  <c r="D233" i="4"/>
  <c r="R232" i="4"/>
  <c r="Q232" i="4"/>
  <c r="P232" i="4"/>
  <c r="N232" i="4"/>
  <c r="M232" i="4"/>
  <c r="O232" i="4" s="1"/>
  <c r="K232" i="4"/>
  <c r="J232" i="4"/>
  <c r="I232" i="4"/>
  <c r="G232" i="4"/>
  <c r="F232" i="4"/>
  <c r="E232" i="4"/>
  <c r="H232" i="4" s="1"/>
  <c r="D232" i="4"/>
  <c r="Q231" i="4"/>
  <c r="R231" i="4" s="1"/>
  <c r="P231" i="4"/>
  <c r="N231" i="4"/>
  <c r="M231" i="4"/>
  <c r="O231" i="4" s="1"/>
  <c r="K231" i="4"/>
  <c r="J231" i="4"/>
  <c r="I231" i="4"/>
  <c r="E231" i="4"/>
  <c r="G231" i="4" s="1"/>
  <c r="D231" i="4"/>
  <c r="Q230" i="4"/>
  <c r="P230" i="4"/>
  <c r="R230" i="4" s="1"/>
  <c r="O230" i="4"/>
  <c r="N230" i="4"/>
  <c r="M230" i="4"/>
  <c r="K230" i="4"/>
  <c r="I230" i="4"/>
  <c r="J230" i="4" s="1"/>
  <c r="G230" i="4"/>
  <c r="E230" i="4"/>
  <c r="D230" i="4"/>
  <c r="H230" i="4" s="1"/>
  <c r="Q229" i="4"/>
  <c r="P229" i="4"/>
  <c r="O229" i="4"/>
  <c r="N229" i="4"/>
  <c r="M229" i="4"/>
  <c r="K229" i="4"/>
  <c r="J229" i="4"/>
  <c r="I229" i="4"/>
  <c r="E229" i="4"/>
  <c r="G229" i="4" s="1"/>
  <c r="D229" i="4"/>
  <c r="Q228" i="4"/>
  <c r="P228" i="4"/>
  <c r="R228" i="4" s="1"/>
  <c r="N228" i="4"/>
  <c r="M228" i="4"/>
  <c r="O228" i="4" s="1"/>
  <c r="K228" i="4"/>
  <c r="J228" i="4"/>
  <c r="I228" i="4"/>
  <c r="F228" i="4"/>
  <c r="E228" i="4"/>
  <c r="G228" i="4" s="1"/>
  <c r="D228" i="4"/>
  <c r="H228" i="4" s="1"/>
  <c r="R227" i="4"/>
  <c r="Q227" i="4"/>
  <c r="P227" i="4"/>
  <c r="N227" i="4"/>
  <c r="M227" i="4"/>
  <c r="K227" i="4"/>
  <c r="J227" i="4"/>
  <c r="I227" i="4"/>
  <c r="H227" i="4"/>
  <c r="F227" i="4"/>
  <c r="E227" i="4"/>
  <c r="G227" i="4" s="1"/>
  <c r="D227" i="4"/>
  <c r="R226" i="4"/>
  <c r="Q226" i="4"/>
  <c r="P226" i="4"/>
  <c r="N226" i="4"/>
  <c r="M226" i="4"/>
  <c r="K226" i="4"/>
  <c r="J226" i="4"/>
  <c r="I226" i="4"/>
  <c r="H226" i="4"/>
  <c r="G226" i="4"/>
  <c r="F226" i="4"/>
  <c r="E226" i="4"/>
  <c r="D226" i="4"/>
  <c r="Q225" i="4"/>
  <c r="R225" i="4" s="1"/>
  <c r="P225" i="4"/>
  <c r="N225" i="4"/>
  <c r="M225" i="4"/>
  <c r="K225" i="4"/>
  <c r="J225" i="4"/>
  <c r="I225" i="4"/>
  <c r="E225" i="4"/>
  <c r="G225" i="4" s="1"/>
  <c r="D225" i="4"/>
  <c r="Q224" i="4"/>
  <c r="P224" i="4"/>
  <c r="R224" i="4" s="1"/>
  <c r="N224" i="4"/>
  <c r="M224" i="4"/>
  <c r="O224" i="4" s="1"/>
  <c r="K224" i="4"/>
  <c r="I224" i="4"/>
  <c r="J224" i="4" s="1"/>
  <c r="G224" i="4"/>
  <c r="E224" i="4"/>
  <c r="D224" i="4"/>
  <c r="Q223" i="4"/>
  <c r="P223" i="4"/>
  <c r="O223" i="4"/>
  <c r="N223" i="4"/>
  <c r="M223" i="4"/>
  <c r="K223" i="4"/>
  <c r="J223" i="4"/>
  <c r="I223" i="4"/>
  <c r="E223" i="4"/>
  <c r="G223" i="4" s="1"/>
  <c r="D223" i="4"/>
  <c r="Q222" i="4"/>
  <c r="P222" i="4"/>
  <c r="R222" i="4" s="1"/>
  <c r="O222" i="4"/>
  <c r="N222" i="4"/>
  <c r="M222" i="4"/>
  <c r="K222" i="4"/>
  <c r="I222" i="4"/>
  <c r="J222" i="4" s="1"/>
  <c r="F222" i="4"/>
  <c r="E222" i="4"/>
  <c r="G222" i="4" s="1"/>
  <c r="D222" i="4"/>
  <c r="H222" i="4" s="1"/>
  <c r="R221" i="4"/>
  <c r="Q221" i="4"/>
  <c r="P221" i="4"/>
  <c r="N221" i="4"/>
  <c r="M221" i="4"/>
  <c r="K221" i="4"/>
  <c r="J221" i="4"/>
  <c r="I221" i="4"/>
  <c r="H221" i="4"/>
  <c r="F221" i="4"/>
  <c r="E221" i="4"/>
  <c r="G221" i="4" s="1"/>
  <c r="D221" i="4"/>
  <c r="R220" i="4"/>
  <c r="Q220" i="4"/>
  <c r="P220" i="4"/>
  <c r="N220" i="4"/>
  <c r="M220" i="4"/>
  <c r="K220" i="4"/>
  <c r="J220" i="4"/>
  <c r="I220" i="4"/>
  <c r="F220" i="4"/>
  <c r="E220" i="4"/>
  <c r="D220" i="4"/>
  <c r="Q219" i="4"/>
  <c r="R219" i="4" s="1"/>
  <c r="P219" i="4"/>
  <c r="N219" i="4"/>
  <c r="M219" i="4"/>
  <c r="K219" i="4"/>
  <c r="J219" i="4"/>
  <c r="I219" i="4"/>
  <c r="G219" i="4"/>
  <c r="E219" i="4"/>
  <c r="D219" i="4"/>
  <c r="Q218" i="4"/>
  <c r="P218" i="4"/>
  <c r="R218" i="4" s="1"/>
  <c r="N218" i="4"/>
  <c r="M218" i="4"/>
  <c r="O218" i="4" s="1"/>
  <c r="K218" i="4"/>
  <c r="I218" i="4"/>
  <c r="J218" i="4" s="1"/>
  <c r="G218" i="4"/>
  <c r="F218" i="4"/>
  <c r="E218" i="4"/>
  <c r="D218" i="4"/>
  <c r="Q217" i="4"/>
  <c r="P217" i="4"/>
  <c r="R217" i="4" s="1"/>
  <c r="O217" i="4"/>
  <c r="N217" i="4"/>
  <c r="M217" i="4"/>
  <c r="K217" i="4"/>
  <c r="I217" i="4"/>
  <c r="J217" i="4" s="1"/>
  <c r="E217" i="4"/>
  <c r="G217" i="4" s="1"/>
  <c r="D217" i="4"/>
  <c r="Q216" i="4"/>
  <c r="P216" i="4"/>
  <c r="R216" i="4" s="1"/>
  <c r="N216" i="4"/>
  <c r="M216" i="4"/>
  <c r="K216" i="4"/>
  <c r="J216" i="4"/>
  <c r="I216" i="4"/>
  <c r="F216" i="4"/>
  <c r="E216" i="4"/>
  <c r="G216" i="4" s="1"/>
  <c r="D216" i="4"/>
  <c r="H216" i="4" s="1"/>
  <c r="R215" i="4"/>
  <c r="Q215" i="4"/>
  <c r="P215" i="4"/>
  <c r="N215" i="4"/>
  <c r="M215" i="4"/>
  <c r="K215" i="4"/>
  <c r="J215" i="4"/>
  <c r="I215" i="4"/>
  <c r="H215" i="4"/>
  <c r="F215" i="4"/>
  <c r="E215" i="4"/>
  <c r="G215" i="4" s="1"/>
  <c r="D215" i="4"/>
  <c r="R214" i="4"/>
  <c r="Q214" i="4"/>
  <c r="P214" i="4"/>
  <c r="N214" i="4"/>
  <c r="M214" i="4"/>
  <c r="O214" i="4" s="1"/>
  <c r="K214" i="4"/>
  <c r="J214" i="4"/>
  <c r="I214" i="4"/>
  <c r="H214" i="4"/>
  <c r="G214" i="4"/>
  <c r="F214" i="4"/>
  <c r="E214" i="4"/>
  <c r="D214" i="4"/>
  <c r="Q213" i="4"/>
  <c r="R213" i="4" s="1"/>
  <c r="P213" i="4"/>
  <c r="N213" i="4"/>
  <c r="M213" i="4"/>
  <c r="O213" i="4" s="1"/>
  <c r="K213" i="4"/>
  <c r="J213" i="4"/>
  <c r="I213" i="4"/>
  <c r="G213" i="4"/>
  <c r="E213" i="4"/>
  <c r="D213" i="4"/>
  <c r="H213" i="4" s="1"/>
  <c r="Q212" i="4"/>
  <c r="P212" i="4"/>
  <c r="R212" i="4" s="1"/>
  <c r="N212" i="4"/>
  <c r="O212" i="4" s="1"/>
  <c r="M212" i="4"/>
  <c r="K212" i="4"/>
  <c r="I212" i="4"/>
  <c r="J212" i="4" s="1"/>
  <c r="F212" i="4"/>
  <c r="E212" i="4"/>
  <c r="G212" i="4" s="1"/>
  <c r="D212" i="4"/>
  <c r="Q211" i="4"/>
  <c r="P211" i="4"/>
  <c r="R211" i="4" s="1"/>
  <c r="N211" i="4"/>
  <c r="M211" i="4"/>
  <c r="O211" i="4" s="1"/>
  <c r="K211" i="4"/>
  <c r="J211" i="4"/>
  <c r="I211" i="4"/>
  <c r="E211" i="4"/>
  <c r="G211" i="4" s="1"/>
  <c r="D211" i="4"/>
  <c r="Q210" i="4"/>
  <c r="P210" i="4"/>
  <c r="R210" i="4" s="1"/>
  <c r="N210" i="4"/>
  <c r="O210" i="4" s="1"/>
  <c r="M210" i="4"/>
  <c r="K210" i="4"/>
  <c r="I210" i="4"/>
  <c r="J210" i="4" s="1"/>
  <c r="F210" i="4"/>
  <c r="E210" i="4"/>
  <c r="G210" i="4" s="1"/>
  <c r="D210" i="4"/>
  <c r="R209" i="4"/>
  <c r="Q209" i="4"/>
  <c r="P209" i="4"/>
  <c r="N209" i="4"/>
  <c r="M209" i="4"/>
  <c r="O209" i="4" s="1"/>
  <c r="K209" i="4"/>
  <c r="I209" i="4"/>
  <c r="J209" i="4" s="1"/>
  <c r="F209" i="4"/>
  <c r="E209" i="4"/>
  <c r="D209" i="4"/>
  <c r="R208" i="4"/>
  <c r="Q208" i="4"/>
  <c r="P208" i="4"/>
  <c r="N208" i="4"/>
  <c r="O208" i="4" s="1"/>
  <c r="M208" i="4"/>
  <c r="K208" i="4"/>
  <c r="I208" i="4"/>
  <c r="J208" i="4" s="1"/>
  <c r="G208" i="4"/>
  <c r="F208" i="4"/>
  <c r="E208" i="4"/>
  <c r="H208" i="4" s="1"/>
  <c r="D208" i="4"/>
  <c r="Q207" i="4"/>
  <c r="P207" i="4"/>
  <c r="R207" i="4" s="1"/>
  <c r="N207" i="4"/>
  <c r="M207" i="4"/>
  <c r="K207" i="4"/>
  <c r="I207" i="4"/>
  <c r="J207" i="4" s="1"/>
  <c r="E207" i="4"/>
  <c r="G207" i="4" s="1"/>
  <c r="D207" i="4"/>
  <c r="Q206" i="4"/>
  <c r="P206" i="4"/>
  <c r="R206" i="4" s="1"/>
  <c r="O206" i="4"/>
  <c r="N206" i="4"/>
  <c r="M206" i="4"/>
  <c r="K206" i="4"/>
  <c r="I206" i="4"/>
  <c r="J206" i="4" s="1"/>
  <c r="F206" i="4"/>
  <c r="E206" i="4"/>
  <c r="G206" i="4" s="1"/>
  <c r="D206" i="4"/>
  <c r="Q205" i="4"/>
  <c r="P205" i="4"/>
  <c r="N205" i="4"/>
  <c r="M205" i="4"/>
  <c r="O205" i="4" s="1"/>
  <c r="K205" i="4"/>
  <c r="J205" i="4"/>
  <c r="I205" i="4"/>
  <c r="E205" i="4"/>
  <c r="G205" i="4" s="1"/>
  <c r="D205" i="4"/>
  <c r="Q204" i="4"/>
  <c r="P204" i="4"/>
  <c r="R204" i="4" s="1"/>
  <c r="N204" i="4"/>
  <c r="O204" i="4" s="1"/>
  <c r="M204" i="4"/>
  <c r="K204" i="4"/>
  <c r="I204" i="4"/>
  <c r="J204" i="4" s="1"/>
  <c r="F204" i="4"/>
  <c r="E204" i="4"/>
  <c r="G204" i="4" s="1"/>
  <c r="D204" i="4"/>
  <c r="R203" i="4"/>
  <c r="Q203" i="4"/>
  <c r="P203" i="4"/>
  <c r="N203" i="4"/>
  <c r="M203" i="4"/>
  <c r="O203" i="4" s="1"/>
  <c r="K203" i="4"/>
  <c r="J203" i="4"/>
  <c r="I203" i="4"/>
  <c r="H203" i="4"/>
  <c r="F203" i="4"/>
  <c r="E203" i="4"/>
  <c r="G203" i="4" s="1"/>
  <c r="D203" i="4"/>
  <c r="R202" i="4"/>
  <c r="Q202" i="4"/>
  <c r="P202" i="4"/>
  <c r="N202" i="4"/>
  <c r="M202" i="4"/>
  <c r="O202" i="4" s="1"/>
  <c r="K202" i="4"/>
  <c r="I202" i="4"/>
  <c r="J202" i="4" s="1"/>
  <c r="H202" i="4"/>
  <c r="G202" i="4"/>
  <c r="F202" i="4"/>
  <c r="E202" i="4"/>
  <c r="D202" i="4"/>
  <c r="Q201" i="4"/>
  <c r="P201" i="4"/>
  <c r="R201" i="4" s="1"/>
  <c r="N201" i="4"/>
  <c r="M201" i="4"/>
  <c r="K201" i="4"/>
  <c r="I201" i="4"/>
  <c r="J201" i="4" s="1"/>
  <c r="E201" i="4"/>
  <c r="G201" i="4" s="1"/>
  <c r="D201" i="4"/>
  <c r="Q200" i="4"/>
  <c r="P200" i="4"/>
  <c r="R200" i="4" s="1"/>
  <c r="N200" i="4"/>
  <c r="M200" i="4"/>
  <c r="O200" i="4" s="1"/>
  <c r="K200" i="4"/>
  <c r="I200" i="4"/>
  <c r="J200" i="4" s="1"/>
  <c r="F200" i="4"/>
  <c r="E200" i="4"/>
  <c r="G200" i="4" s="1"/>
  <c r="D200" i="4"/>
  <c r="Q199" i="4"/>
  <c r="P199" i="4"/>
  <c r="R199" i="4" s="1"/>
  <c r="N199" i="4"/>
  <c r="M199" i="4"/>
  <c r="O199" i="4" s="1"/>
  <c r="K199" i="4"/>
  <c r="J199" i="4"/>
  <c r="I199" i="4"/>
  <c r="E199" i="4"/>
  <c r="G199" i="4" s="1"/>
  <c r="D199" i="4"/>
  <c r="Q198" i="4"/>
  <c r="P198" i="4"/>
  <c r="R198" i="4" s="1"/>
  <c r="N198" i="4"/>
  <c r="O198" i="4" s="1"/>
  <c r="M198" i="4"/>
  <c r="K198" i="4"/>
  <c r="I198" i="4"/>
  <c r="J198" i="4" s="1"/>
  <c r="F198" i="4"/>
  <c r="E198" i="4"/>
  <c r="G198" i="4" s="1"/>
  <c r="D198" i="4"/>
  <c r="R197" i="4"/>
  <c r="Q197" i="4"/>
  <c r="P197" i="4"/>
  <c r="N197" i="4"/>
  <c r="M197" i="4"/>
  <c r="O197" i="4" s="1"/>
  <c r="K197" i="4"/>
  <c r="I197" i="4"/>
  <c r="J197" i="4" s="1"/>
  <c r="F197" i="4"/>
  <c r="E197" i="4"/>
  <c r="D197" i="4"/>
  <c r="R196" i="4"/>
  <c r="Q196" i="4"/>
  <c r="P196" i="4"/>
  <c r="N196" i="4"/>
  <c r="O196" i="4" s="1"/>
  <c r="M196" i="4"/>
  <c r="K196" i="4"/>
  <c r="I196" i="4"/>
  <c r="J196" i="4" s="1"/>
  <c r="G196" i="4"/>
  <c r="F196" i="4"/>
  <c r="E196" i="4"/>
  <c r="H196" i="4" s="1"/>
  <c r="D196" i="4"/>
  <c r="Q195" i="4"/>
  <c r="P195" i="4"/>
  <c r="R195" i="4" s="1"/>
  <c r="N195" i="4"/>
  <c r="M195" i="4"/>
  <c r="K195" i="4"/>
  <c r="I195" i="4"/>
  <c r="J195" i="4" s="1"/>
  <c r="G195" i="4"/>
  <c r="E195" i="4"/>
  <c r="D195" i="4"/>
  <c r="H195" i="4" s="1"/>
  <c r="Q194" i="4"/>
  <c r="R194" i="4" s="1"/>
  <c r="P194" i="4"/>
  <c r="N194" i="4"/>
  <c r="O194" i="4" s="1"/>
  <c r="M194" i="4"/>
  <c r="K194" i="4"/>
  <c r="I194" i="4"/>
  <c r="J194" i="4" s="1"/>
  <c r="F194" i="4"/>
  <c r="E194" i="4"/>
  <c r="G194" i="4" s="1"/>
  <c r="D194" i="4"/>
  <c r="H194" i="4" s="1"/>
  <c r="Q193" i="4"/>
  <c r="P193" i="4"/>
  <c r="R193" i="4" s="1"/>
  <c r="N193" i="4"/>
  <c r="O193" i="4" s="1"/>
  <c r="M193" i="4"/>
  <c r="K193" i="4"/>
  <c r="J193" i="4"/>
  <c r="I193" i="4"/>
  <c r="G193" i="4"/>
  <c r="E193" i="4"/>
  <c r="D193" i="4"/>
  <c r="Q192" i="4"/>
  <c r="P192" i="4"/>
  <c r="R192" i="4" s="1"/>
  <c r="N192" i="4"/>
  <c r="M192" i="4"/>
  <c r="K192" i="4"/>
  <c r="J192" i="4"/>
  <c r="I192" i="4"/>
  <c r="F192" i="4"/>
  <c r="E192" i="4"/>
  <c r="G192" i="4" s="1"/>
  <c r="D192" i="4"/>
  <c r="H192" i="4" s="1"/>
  <c r="R191" i="4"/>
  <c r="Q191" i="4"/>
  <c r="P191" i="4"/>
  <c r="N191" i="4"/>
  <c r="M191" i="4"/>
  <c r="K191" i="4"/>
  <c r="J191" i="4"/>
  <c r="I191" i="4"/>
  <c r="H191" i="4"/>
  <c r="F191" i="4"/>
  <c r="E191" i="4"/>
  <c r="G191" i="4" s="1"/>
  <c r="D191" i="4"/>
  <c r="R190" i="4"/>
  <c r="Q190" i="4"/>
  <c r="P190" i="4"/>
  <c r="N190" i="4"/>
  <c r="M190" i="4"/>
  <c r="O190" i="4" s="1"/>
  <c r="K190" i="4"/>
  <c r="J190" i="4"/>
  <c r="I190" i="4"/>
  <c r="H190" i="4"/>
  <c r="G190" i="4"/>
  <c r="F190" i="4"/>
  <c r="E190" i="4"/>
  <c r="D190" i="4"/>
  <c r="Q189" i="4"/>
  <c r="P189" i="4"/>
  <c r="R189" i="4" s="1"/>
  <c r="N189" i="4"/>
  <c r="M189" i="4"/>
  <c r="O189" i="4" s="1"/>
  <c r="K189" i="4"/>
  <c r="I189" i="4"/>
  <c r="J189" i="4" s="1"/>
  <c r="E189" i="4"/>
  <c r="G189" i="4" s="1"/>
  <c r="D189" i="4"/>
  <c r="Q188" i="4"/>
  <c r="R188" i="4" s="1"/>
  <c r="P188" i="4"/>
  <c r="N188" i="4"/>
  <c r="M188" i="4"/>
  <c r="O188" i="4" s="1"/>
  <c r="K188" i="4"/>
  <c r="I188" i="4"/>
  <c r="J188" i="4" s="1"/>
  <c r="F188" i="4"/>
  <c r="E188" i="4"/>
  <c r="G188" i="4" s="1"/>
  <c r="D188" i="4"/>
  <c r="Q187" i="4"/>
  <c r="P187" i="4"/>
  <c r="R187" i="4" s="1"/>
  <c r="N187" i="4"/>
  <c r="O187" i="4" s="1"/>
  <c r="M187" i="4"/>
  <c r="K187" i="4"/>
  <c r="I187" i="4"/>
  <c r="J187" i="4" s="1"/>
  <c r="E187" i="4"/>
  <c r="G187" i="4" s="1"/>
  <c r="D187" i="4"/>
  <c r="Q186" i="4"/>
  <c r="P186" i="4"/>
  <c r="R186" i="4" s="1"/>
  <c r="N186" i="4"/>
  <c r="O186" i="4" s="1"/>
  <c r="M186" i="4"/>
  <c r="K186" i="4"/>
  <c r="J186" i="4"/>
  <c r="I186" i="4"/>
  <c r="F186" i="4"/>
  <c r="E186" i="4"/>
  <c r="G186" i="4" s="1"/>
  <c r="D186" i="4"/>
  <c r="R185" i="4"/>
  <c r="Q185" i="4"/>
  <c r="P185" i="4"/>
  <c r="N185" i="4"/>
  <c r="M185" i="4"/>
  <c r="O185" i="4" s="1"/>
  <c r="K185" i="4"/>
  <c r="J185" i="4"/>
  <c r="I185" i="4"/>
  <c r="F185" i="4"/>
  <c r="E185" i="4"/>
  <c r="G185" i="4" s="1"/>
  <c r="D185" i="4"/>
  <c r="R184" i="4"/>
  <c r="Q184" i="4"/>
  <c r="P184" i="4"/>
  <c r="N184" i="4"/>
  <c r="O184" i="4" s="1"/>
  <c r="M184" i="4"/>
  <c r="K184" i="4"/>
  <c r="J184" i="4"/>
  <c r="I184" i="4"/>
  <c r="F184" i="4"/>
  <c r="E184" i="4"/>
  <c r="D184" i="4"/>
  <c r="Q183" i="4"/>
  <c r="P183" i="4"/>
  <c r="R183" i="4" s="1"/>
  <c r="N183" i="4"/>
  <c r="M183" i="4"/>
  <c r="K183" i="4"/>
  <c r="I183" i="4"/>
  <c r="J183" i="4" s="1"/>
  <c r="E183" i="4"/>
  <c r="G183" i="4" s="1"/>
  <c r="D183" i="4"/>
  <c r="H183" i="4" s="1"/>
  <c r="Q182" i="4"/>
  <c r="R182" i="4" s="1"/>
  <c r="P182" i="4"/>
  <c r="O182" i="4"/>
  <c r="N182" i="4"/>
  <c r="M182" i="4"/>
  <c r="K182" i="4"/>
  <c r="I182" i="4"/>
  <c r="J182" i="4" s="1"/>
  <c r="F182" i="4"/>
  <c r="E182" i="4"/>
  <c r="G182" i="4" s="1"/>
  <c r="D182" i="4"/>
  <c r="Q181" i="4"/>
  <c r="P181" i="4"/>
  <c r="R181" i="4" s="1"/>
  <c r="N181" i="4"/>
  <c r="M181" i="4"/>
  <c r="K181" i="4"/>
  <c r="J181" i="4"/>
  <c r="I181" i="4"/>
  <c r="G181" i="4"/>
  <c r="E181" i="4"/>
  <c r="D181" i="4"/>
  <c r="Q180" i="4"/>
  <c r="P180" i="4"/>
  <c r="R180" i="4" s="1"/>
  <c r="N180" i="4"/>
  <c r="M180" i="4"/>
  <c r="K180" i="4"/>
  <c r="J180" i="4"/>
  <c r="I180" i="4"/>
  <c r="F180" i="4"/>
  <c r="E180" i="4"/>
  <c r="G180" i="4" s="1"/>
  <c r="D180" i="4"/>
  <c r="H180" i="4" s="1"/>
  <c r="R179" i="4"/>
  <c r="Q179" i="4"/>
  <c r="P179" i="4"/>
  <c r="N179" i="4"/>
  <c r="M179" i="4"/>
  <c r="O179" i="4" s="1"/>
  <c r="K179" i="4"/>
  <c r="I179" i="4"/>
  <c r="J179" i="4" s="1"/>
  <c r="H179" i="4"/>
  <c r="F179" i="4"/>
  <c r="E179" i="4"/>
  <c r="G179" i="4" s="1"/>
  <c r="D179" i="4"/>
  <c r="R178" i="4"/>
  <c r="Q178" i="4"/>
  <c r="P178" i="4"/>
  <c r="N178" i="4"/>
  <c r="M178" i="4"/>
  <c r="O178" i="4" s="1"/>
  <c r="K178" i="4"/>
  <c r="J178" i="4"/>
  <c r="I178" i="4"/>
  <c r="H178" i="4"/>
  <c r="G178" i="4"/>
  <c r="F178" i="4"/>
  <c r="E178" i="4"/>
  <c r="D178" i="4"/>
  <c r="Q177" i="4"/>
  <c r="P177" i="4"/>
  <c r="R177" i="4" s="1"/>
  <c r="N177" i="4"/>
  <c r="M177" i="4"/>
  <c r="O177" i="4" s="1"/>
  <c r="K177" i="4"/>
  <c r="I177" i="4"/>
  <c r="J177" i="4" s="1"/>
  <c r="G177" i="4"/>
  <c r="E177" i="4"/>
  <c r="D177" i="4"/>
  <c r="Q176" i="4"/>
  <c r="R176" i="4" s="1"/>
  <c r="P176" i="4"/>
  <c r="O176" i="4"/>
  <c r="N176" i="4"/>
  <c r="M176" i="4"/>
  <c r="K176" i="4"/>
  <c r="I176" i="4"/>
  <c r="J176" i="4" s="1"/>
  <c r="F176" i="4"/>
  <c r="E176" i="4"/>
  <c r="G176" i="4" s="1"/>
  <c r="D176" i="4"/>
  <c r="Q175" i="4"/>
  <c r="P175" i="4"/>
  <c r="R175" i="4" s="1"/>
  <c r="N175" i="4"/>
  <c r="O175" i="4" s="1"/>
  <c r="M175" i="4"/>
  <c r="K175" i="4"/>
  <c r="J175" i="4"/>
  <c r="I175" i="4"/>
  <c r="E175" i="4"/>
  <c r="G175" i="4" s="1"/>
  <c r="D175" i="4"/>
  <c r="Q174" i="4"/>
  <c r="P174" i="4"/>
  <c r="R174" i="4" s="1"/>
  <c r="N174" i="4"/>
  <c r="O174" i="4" s="1"/>
  <c r="M174" i="4"/>
  <c r="K174" i="4"/>
  <c r="I174" i="4"/>
  <c r="J174" i="4" s="1"/>
  <c r="F174" i="4"/>
  <c r="E174" i="4"/>
  <c r="G174" i="4" s="1"/>
  <c r="D174" i="4"/>
  <c r="H174" i="4" s="1"/>
  <c r="R173" i="4"/>
  <c r="Q173" i="4"/>
  <c r="P173" i="4"/>
  <c r="N173" i="4"/>
  <c r="M173" i="4"/>
  <c r="K173" i="4"/>
  <c r="J173" i="4"/>
  <c r="I173" i="4"/>
  <c r="H173" i="4"/>
  <c r="F173" i="4"/>
  <c r="E173" i="4"/>
  <c r="G173" i="4" s="1"/>
  <c r="D173" i="4"/>
  <c r="R172" i="4"/>
  <c r="Q172" i="4"/>
  <c r="P172" i="4"/>
  <c r="O172" i="4"/>
  <c r="N172" i="4"/>
  <c r="M172" i="4"/>
  <c r="K172" i="4"/>
  <c r="I172" i="4"/>
  <c r="J172" i="4" s="1"/>
  <c r="F172" i="4"/>
  <c r="E172" i="4"/>
  <c r="H172" i="4" s="1"/>
  <c r="D172" i="4"/>
  <c r="Q171" i="4"/>
  <c r="P171" i="4"/>
  <c r="R171" i="4" s="1"/>
  <c r="N171" i="4"/>
  <c r="M171" i="4"/>
  <c r="K171" i="4"/>
  <c r="I171" i="4"/>
  <c r="J171" i="4" s="1"/>
  <c r="G171" i="4"/>
  <c r="E171" i="4"/>
  <c r="D171" i="4"/>
  <c r="Q170" i="4"/>
  <c r="R170" i="4" s="1"/>
  <c r="P170" i="4"/>
  <c r="N170" i="4"/>
  <c r="M170" i="4"/>
  <c r="O170" i="4" s="1"/>
  <c r="K170" i="4"/>
  <c r="I170" i="4"/>
  <c r="J170" i="4" s="1"/>
  <c r="F170" i="4"/>
  <c r="E170" i="4"/>
  <c r="G170" i="4" s="1"/>
  <c r="D170" i="4"/>
  <c r="H170" i="4" s="1"/>
  <c r="Q169" i="4"/>
  <c r="P169" i="4"/>
  <c r="N169" i="4"/>
  <c r="M169" i="4"/>
  <c r="K169" i="4"/>
  <c r="J169" i="4"/>
  <c r="I169" i="4"/>
  <c r="G169" i="4"/>
  <c r="E169" i="4"/>
  <c r="D169" i="4"/>
  <c r="Q168" i="4"/>
  <c r="P168" i="4"/>
  <c r="R168" i="4" s="1"/>
  <c r="N168" i="4"/>
  <c r="O168" i="4" s="1"/>
  <c r="M168" i="4"/>
  <c r="K168" i="4"/>
  <c r="J168" i="4"/>
  <c r="I168" i="4"/>
  <c r="F168" i="4"/>
  <c r="E168" i="4"/>
  <c r="G168" i="4" s="1"/>
  <c r="D168" i="4"/>
  <c r="R167" i="4"/>
  <c r="Q167" i="4"/>
  <c r="P167" i="4"/>
  <c r="N167" i="4"/>
  <c r="M167" i="4"/>
  <c r="K167" i="4"/>
  <c r="I167" i="4"/>
  <c r="J167" i="4" s="1"/>
  <c r="F167" i="4"/>
  <c r="E167" i="4"/>
  <c r="G167" i="4" s="1"/>
  <c r="D167" i="4"/>
  <c r="R166" i="4"/>
  <c r="Q166" i="4"/>
  <c r="P166" i="4"/>
  <c r="O166" i="4"/>
  <c r="N166" i="4"/>
  <c r="M166" i="4"/>
  <c r="K166" i="4"/>
  <c r="J166" i="4"/>
  <c r="I166" i="4"/>
  <c r="H166" i="4"/>
  <c r="G166" i="4"/>
  <c r="F166" i="4"/>
  <c r="E166" i="4"/>
  <c r="D166" i="4"/>
  <c r="Q165" i="4"/>
  <c r="P165" i="4"/>
  <c r="R165" i="4" s="1"/>
  <c r="N165" i="4"/>
  <c r="M165" i="4"/>
  <c r="K165" i="4"/>
  <c r="I165" i="4"/>
  <c r="J165" i="4" s="1"/>
  <c r="E165" i="4"/>
  <c r="G165" i="4" s="1"/>
  <c r="D165" i="4"/>
  <c r="Q164" i="4"/>
  <c r="R164" i="4" s="1"/>
  <c r="P164" i="4"/>
  <c r="N164" i="4"/>
  <c r="M164" i="4"/>
  <c r="O164" i="4" s="1"/>
  <c r="K164" i="4"/>
  <c r="I164" i="4"/>
  <c r="J164" i="4" s="1"/>
  <c r="F164" i="4"/>
  <c r="E164" i="4"/>
  <c r="G164" i="4" s="1"/>
  <c r="D164" i="4"/>
  <c r="Q163" i="4"/>
  <c r="R163" i="4" s="1"/>
  <c r="P163" i="4"/>
  <c r="N163" i="4"/>
  <c r="O163" i="4" s="1"/>
  <c r="M163" i="4"/>
  <c r="K163" i="4"/>
  <c r="I163" i="4"/>
  <c r="J163" i="4" s="1"/>
  <c r="G163" i="4"/>
  <c r="E163" i="4"/>
  <c r="D163" i="4"/>
  <c r="Q162" i="4"/>
  <c r="P162" i="4"/>
  <c r="R162" i="4" s="1"/>
  <c r="N162" i="4"/>
  <c r="O162" i="4" s="1"/>
  <c r="M162" i="4"/>
  <c r="K162" i="4"/>
  <c r="I162" i="4"/>
  <c r="J162" i="4" s="1"/>
  <c r="G162" i="4"/>
  <c r="F162" i="4"/>
  <c r="E162" i="4"/>
  <c r="D162" i="4"/>
  <c r="R161" i="4"/>
  <c r="Q161" i="4"/>
  <c r="P161" i="4"/>
  <c r="N161" i="4"/>
  <c r="M161" i="4"/>
  <c r="K161" i="4"/>
  <c r="I161" i="4"/>
  <c r="J161" i="4" s="1"/>
  <c r="H161" i="4"/>
  <c r="F161" i="4"/>
  <c r="E161" i="4"/>
  <c r="G161" i="4" s="1"/>
  <c r="D161" i="4"/>
  <c r="R160" i="4"/>
  <c r="Q160" i="4"/>
  <c r="P160" i="4"/>
  <c r="O160" i="4"/>
  <c r="N160" i="4"/>
  <c r="M160" i="4"/>
  <c r="K160" i="4"/>
  <c r="J160" i="4"/>
  <c r="I160" i="4"/>
  <c r="H160" i="4"/>
  <c r="G160" i="4"/>
  <c r="F160" i="4"/>
  <c r="E160" i="4"/>
  <c r="D160" i="4"/>
  <c r="Q159" i="4"/>
  <c r="P159" i="4"/>
  <c r="R159" i="4" s="1"/>
  <c r="N159" i="4"/>
  <c r="M159" i="4"/>
  <c r="K159" i="4"/>
  <c r="I159" i="4"/>
  <c r="J159" i="4" s="1"/>
  <c r="E159" i="4"/>
  <c r="G159" i="4" s="1"/>
  <c r="D159" i="4"/>
  <c r="Q158" i="4"/>
  <c r="R158" i="4" s="1"/>
  <c r="P158" i="4"/>
  <c r="N158" i="4"/>
  <c r="M158" i="4"/>
  <c r="O158" i="4" s="1"/>
  <c r="K158" i="4"/>
  <c r="I158" i="4"/>
  <c r="J158" i="4" s="1"/>
  <c r="F158" i="4"/>
  <c r="E158" i="4"/>
  <c r="G158" i="4" s="1"/>
  <c r="D158" i="4"/>
  <c r="Q157" i="4"/>
  <c r="R157" i="4" s="1"/>
  <c r="P157" i="4"/>
  <c r="N157" i="4"/>
  <c r="M157" i="4"/>
  <c r="K157" i="4"/>
  <c r="I157" i="4"/>
  <c r="J157" i="4" s="1"/>
  <c r="G157" i="4"/>
  <c r="E157" i="4"/>
  <c r="D157" i="4"/>
  <c r="Q156" i="4"/>
  <c r="P156" i="4"/>
  <c r="R156" i="4" s="1"/>
  <c r="N156" i="4"/>
  <c r="O156" i="4" s="1"/>
  <c r="M156" i="4"/>
  <c r="K156" i="4"/>
  <c r="I156" i="4"/>
  <c r="J156" i="4" s="1"/>
  <c r="F156" i="4"/>
  <c r="E156" i="4"/>
  <c r="G156" i="4" s="1"/>
  <c r="D156" i="4"/>
  <c r="R155" i="4"/>
  <c r="Q155" i="4"/>
  <c r="P155" i="4"/>
  <c r="N155" i="4"/>
  <c r="M155" i="4"/>
  <c r="K155" i="4"/>
  <c r="I155" i="4"/>
  <c r="J155" i="4" s="1"/>
  <c r="F155" i="4"/>
  <c r="E155" i="4"/>
  <c r="G155" i="4" s="1"/>
  <c r="D155" i="4"/>
  <c r="R154" i="4"/>
  <c r="Q154" i="4"/>
  <c r="P154" i="4"/>
  <c r="O154" i="4"/>
  <c r="N154" i="4"/>
  <c r="M154" i="4"/>
  <c r="K154" i="4"/>
  <c r="J154" i="4"/>
  <c r="I154" i="4"/>
  <c r="H154" i="4"/>
  <c r="G154" i="4"/>
  <c r="F154" i="4"/>
  <c r="E154" i="4"/>
  <c r="D154" i="4"/>
  <c r="Q153" i="4"/>
  <c r="P153" i="4"/>
  <c r="R153" i="4" s="1"/>
  <c r="N153" i="4"/>
  <c r="M153" i="4"/>
  <c r="K153" i="4"/>
  <c r="I153" i="4"/>
  <c r="J153" i="4" s="1"/>
  <c r="E153" i="4"/>
  <c r="G153" i="4" s="1"/>
  <c r="D153" i="4"/>
  <c r="Q152" i="4"/>
  <c r="R152" i="4" s="1"/>
  <c r="P152" i="4"/>
  <c r="N152" i="4"/>
  <c r="M152" i="4"/>
  <c r="O152" i="4" s="1"/>
  <c r="K152" i="4"/>
  <c r="I152" i="4"/>
  <c r="J152" i="4" s="1"/>
  <c r="F152" i="4"/>
  <c r="E152" i="4"/>
  <c r="G152" i="4" s="1"/>
  <c r="D152" i="4"/>
  <c r="Q151" i="4"/>
  <c r="R151" i="4" s="1"/>
  <c r="P151" i="4"/>
  <c r="N151" i="4"/>
  <c r="O151" i="4" s="1"/>
  <c r="M151" i="4"/>
  <c r="K151" i="4"/>
  <c r="I151" i="4"/>
  <c r="J151" i="4" s="1"/>
  <c r="G151" i="4"/>
  <c r="E151" i="4"/>
  <c r="D151" i="4"/>
  <c r="Q150" i="4"/>
  <c r="P150" i="4"/>
  <c r="R150" i="4" s="1"/>
  <c r="N150" i="4"/>
  <c r="O150" i="4" s="1"/>
  <c r="M150" i="4"/>
  <c r="K150" i="4"/>
  <c r="I150" i="4"/>
  <c r="J150" i="4" s="1"/>
  <c r="F150" i="4"/>
  <c r="E150" i="4"/>
  <c r="G150" i="4" s="1"/>
  <c r="D150" i="4"/>
  <c r="R149" i="4"/>
  <c r="Q149" i="4"/>
  <c r="P149" i="4"/>
  <c r="N149" i="4"/>
  <c r="M149" i="4"/>
  <c r="K149" i="4"/>
  <c r="I149" i="4"/>
  <c r="J149" i="4" s="1"/>
  <c r="F149" i="4"/>
  <c r="E149" i="4"/>
  <c r="G149" i="4" s="1"/>
  <c r="D149" i="4"/>
  <c r="R148" i="4"/>
  <c r="Q148" i="4"/>
  <c r="P148" i="4"/>
  <c r="O148" i="4"/>
  <c r="N148" i="4"/>
  <c r="M148" i="4"/>
  <c r="K148" i="4"/>
  <c r="J148" i="4"/>
  <c r="I148" i="4"/>
  <c r="H148" i="4"/>
  <c r="G148" i="4"/>
  <c r="F148" i="4"/>
  <c r="E148" i="4"/>
  <c r="D148" i="4"/>
  <c r="Q147" i="4"/>
  <c r="P147" i="4"/>
  <c r="R147" i="4" s="1"/>
  <c r="N147" i="4"/>
  <c r="M147" i="4"/>
  <c r="K147" i="4"/>
  <c r="I147" i="4"/>
  <c r="J147" i="4" s="1"/>
  <c r="E147" i="4"/>
  <c r="G147" i="4" s="1"/>
  <c r="D147" i="4"/>
  <c r="Q146" i="4"/>
  <c r="R146" i="4" s="1"/>
  <c r="P146" i="4"/>
  <c r="N146" i="4"/>
  <c r="M146" i="4"/>
  <c r="O146" i="4" s="1"/>
  <c r="K146" i="4"/>
  <c r="I146" i="4"/>
  <c r="J146" i="4" s="1"/>
  <c r="F146" i="4"/>
  <c r="E146" i="4"/>
  <c r="G146" i="4" s="1"/>
  <c r="D146" i="4"/>
  <c r="Q145" i="4"/>
  <c r="R145" i="4" s="1"/>
  <c r="P145" i="4"/>
  <c r="N145" i="4"/>
  <c r="M145" i="4"/>
  <c r="K145" i="4"/>
  <c r="I145" i="4"/>
  <c r="J145" i="4" s="1"/>
  <c r="G145" i="4"/>
  <c r="E145" i="4"/>
  <c r="D145" i="4"/>
  <c r="Q144" i="4"/>
  <c r="P144" i="4"/>
  <c r="R144" i="4" s="1"/>
  <c r="N144" i="4"/>
  <c r="O144" i="4" s="1"/>
  <c r="M144" i="4"/>
  <c r="K144" i="4"/>
  <c r="I144" i="4"/>
  <c r="J144" i="4" s="1"/>
  <c r="F144" i="4"/>
  <c r="E144" i="4"/>
  <c r="G144" i="4" s="1"/>
  <c r="D144" i="4"/>
  <c r="R143" i="4"/>
  <c r="Q143" i="4"/>
  <c r="P143" i="4"/>
  <c r="N143" i="4"/>
  <c r="M143" i="4"/>
  <c r="K143" i="4"/>
  <c r="I143" i="4"/>
  <c r="J143" i="4" s="1"/>
  <c r="F143" i="4"/>
  <c r="E143" i="4"/>
  <c r="D143" i="4"/>
  <c r="R142" i="4"/>
  <c r="Q142" i="4"/>
  <c r="P142" i="4"/>
  <c r="O142" i="4"/>
  <c r="N142" i="4"/>
  <c r="M142" i="4"/>
  <c r="K142" i="4"/>
  <c r="J142" i="4"/>
  <c r="I142" i="4"/>
  <c r="H142" i="4"/>
  <c r="G142" i="4"/>
  <c r="F142" i="4"/>
  <c r="E142" i="4"/>
  <c r="D142" i="4"/>
  <c r="Q141" i="4"/>
  <c r="P141" i="4"/>
  <c r="R141" i="4" s="1"/>
  <c r="N141" i="4"/>
  <c r="M141" i="4"/>
  <c r="K141" i="4"/>
  <c r="I141" i="4"/>
  <c r="J141" i="4" s="1"/>
  <c r="E141" i="4"/>
  <c r="G141" i="4" s="1"/>
  <c r="D141" i="4"/>
  <c r="Q140" i="4"/>
  <c r="R140" i="4" s="1"/>
  <c r="P140" i="4"/>
  <c r="N140" i="4"/>
  <c r="M140" i="4"/>
  <c r="O140" i="4" s="1"/>
  <c r="K140" i="4"/>
  <c r="I140" i="4"/>
  <c r="J140" i="4" s="1"/>
  <c r="F140" i="4"/>
  <c r="E140" i="4"/>
  <c r="G140" i="4" s="1"/>
  <c r="D140" i="4"/>
  <c r="Q139" i="4"/>
  <c r="R139" i="4" s="1"/>
  <c r="P139" i="4"/>
  <c r="N139" i="4"/>
  <c r="O139" i="4" s="1"/>
  <c r="M139" i="4"/>
  <c r="K139" i="4"/>
  <c r="I139" i="4"/>
  <c r="J139" i="4" s="1"/>
  <c r="G139" i="4"/>
  <c r="E139" i="4"/>
  <c r="D139" i="4"/>
  <c r="Q138" i="4"/>
  <c r="P138" i="4"/>
  <c r="R138" i="4" s="1"/>
  <c r="N138" i="4"/>
  <c r="O138" i="4" s="1"/>
  <c r="M138" i="4"/>
  <c r="K138" i="4"/>
  <c r="I138" i="4"/>
  <c r="J138" i="4" s="1"/>
  <c r="F138" i="4"/>
  <c r="E138" i="4"/>
  <c r="G138" i="4" s="1"/>
  <c r="D138" i="4"/>
  <c r="R137" i="4"/>
  <c r="Q137" i="4"/>
  <c r="P137" i="4"/>
  <c r="N137" i="4"/>
  <c r="M137" i="4"/>
  <c r="K137" i="4"/>
  <c r="I137" i="4"/>
  <c r="J137" i="4" s="1"/>
  <c r="F137" i="4"/>
  <c r="E137" i="4"/>
  <c r="G137" i="4" s="1"/>
  <c r="D137" i="4"/>
  <c r="R136" i="4"/>
  <c r="Q136" i="4"/>
  <c r="P136" i="4"/>
  <c r="O136" i="4"/>
  <c r="N136" i="4"/>
  <c r="M136" i="4"/>
  <c r="K136" i="4"/>
  <c r="J136" i="4"/>
  <c r="I136" i="4"/>
  <c r="H136" i="4"/>
  <c r="G136" i="4"/>
  <c r="F136" i="4"/>
  <c r="E136" i="4"/>
  <c r="D136" i="4"/>
  <c r="Q135" i="4"/>
  <c r="P135" i="4"/>
  <c r="R135" i="4" s="1"/>
  <c r="N135" i="4"/>
  <c r="M135" i="4"/>
  <c r="K135" i="4"/>
  <c r="I135" i="4"/>
  <c r="J135" i="4" s="1"/>
  <c r="E135" i="4"/>
  <c r="G135" i="4" s="1"/>
  <c r="D135" i="4"/>
  <c r="Q134" i="4"/>
  <c r="R134" i="4" s="1"/>
  <c r="P134" i="4"/>
  <c r="N134" i="4"/>
  <c r="M134" i="4"/>
  <c r="O134" i="4" s="1"/>
  <c r="K134" i="4"/>
  <c r="I134" i="4"/>
  <c r="J134" i="4" s="1"/>
  <c r="F134" i="4"/>
  <c r="E134" i="4"/>
  <c r="G134" i="4" s="1"/>
  <c r="D134" i="4"/>
  <c r="Q133" i="4"/>
  <c r="R133" i="4" s="1"/>
  <c r="P133" i="4"/>
  <c r="N133" i="4"/>
  <c r="M133" i="4"/>
  <c r="K133" i="4"/>
  <c r="I133" i="4"/>
  <c r="J133" i="4" s="1"/>
  <c r="G133" i="4"/>
  <c r="E133" i="4"/>
  <c r="D133" i="4"/>
  <c r="Q132" i="4"/>
  <c r="P132" i="4"/>
  <c r="R132" i="4" s="1"/>
  <c r="N132" i="4"/>
  <c r="O132" i="4" s="1"/>
  <c r="M132" i="4"/>
  <c r="K132" i="4"/>
  <c r="I132" i="4"/>
  <c r="J132" i="4" s="1"/>
  <c r="F132" i="4"/>
  <c r="E132" i="4"/>
  <c r="G132" i="4" s="1"/>
  <c r="D132" i="4"/>
  <c r="R131" i="4"/>
  <c r="Q131" i="4"/>
  <c r="P131" i="4"/>
  <c r="N131" i="4"/>
  <c r="M131" i="4"/>
  <c r="K131" i="4"/>
  <c r="I131" i="4"/>
  <c r="J131" i="4" s="1"/>
  <c r="F131" i="4"/>
  <c r="E131" i="4"/>
  <c r="D131" i="4"/>
  <c r="R130" i="4"/>
  <c r="Q130" i="4"/>
  <c r="P130" i="4"/>
  <c r="O130" i="4"/>
  <c r="N130" i="4"/>
  <c r="M130" i="4"/>
  <c r="K130" i="4"/>
  <c r="J130" i="4"/>
  <c r="I130" i="4"/>
  <c r="H130" i="4"/>
  <c r="G130" i="4"/>
  <c r="F130" i="4"/>
  <c r="E130" i="4"/>
  <c r="D130" i="4"/>
  <c r="Q129" i="4"/>
  <c r="P129" i="4"/>
  <c r="R129" i="4" s="1"/>
  <c r="N129" i="4"/>
  <c r="M129" i="4"/>
  <c r="K129" i="4"/>
  <c r="I129" i="4"/>
  <c r="J129" i="4" s="1"/>
  <c r="E129" i="4"/>
  <c r="G129" i="4" s="1"/>
  <c r="D129" i="4"/>
  <c r="Q128" i="4"/>
  <c r="R128" i="4" s="1"/>
  <c r="P128" i="4"/>
  <c r="O128" i="4"/>
  <c r="N128" i="4"/>
  <c r="M128" i="4"/>
  <c r="K128" i="4"/>
  <c r="I128" i="4"/>
  <c r="J128" i="4" s="1"/>
  <c r="F128" i="4"/>
  <c r="E128" i="4"/>
  <c r="G128" i="4" s="1"/>
  <c r="D128" i="4"/>
  <c r="Q127" i="4"/>
  <c r="R127" i="4" s="1"/>
  <c r="P127" i="4"/>
  <c r="N127" i="4"/>
  <c r="O127" i="4" s="1"/>
  <c r="M127" i="4"/>
  <c r="K127" i="4"/>
  <c r="I127" i="4"/>
  <c r="J127" i="4" s="1"/>
  <c r="G127" i="4"/>
  <c r="E127" i="4"/>
  <c r="D127" i="4"/>
  <c r="Q126" i="4"/>
  <c r="P126" i="4"/>
  <c r="R126" i="4" s="1"/>
  <c r="N126" i="4"/>
  <c r="M126" i="4"/>
  <c r="K126" i="4"/>
  <c r="I126" i="4"/>
  <c r="J126" i="4" s="1"/>
  <c r="F126" i="4"/>
  <c r="E126" i="4"/>
  <c r="G126" i="4" s="1"/>
  <c r="D126" i="4"/>
  <c r="R125" i="4"/>
  <c r="Q125" i="4"/>
  <c r="P125" i="4"/>
  <c r="N125" i="4"/>
  <c r="M125" i="4"/>
  <c r="O125" i="4" s="1"/>
  <c r="K125" i="4"/>
  <c r="I125" i="4"/>
  <c r="J125" i="4" s="1"/>
  <c r="F125" i="4"/>
  <c r="E125" i="4"/>
  <c r="G125" i="4" s="1"/>
  <c r="D125" i="4"/>
  <c r="R124" i="4"/>
  <c r="Q124" i="4"/>
  <c r="P124" i="4"/>
  <c r="N124" i="4"/>
  <c r="M124" i="4"/>
  <c r="O124" i="4" s="1"/>
  <c r="K124" i="4"/>
  <c r="J124" i="4"/>
  <c r="I124" i="4"/>
  <c r="H124" i="4"/>
  <c r="G124" i="4"/>
  <c r="F124" i="4"/>
  <c r="E124" i="4"/>
  <c r="D124" i="4"/>
  <c r="Q123" i="4"/>
  <c r="P123" i="4"/>
  <c r="R123" i="4" s="1"/>
  <c r="N123" i="4"/>
  <c r="M123" i="4"/>
  <c r="K123" i="4"/>
  <c r="I123" i="4"/>
  <c r="J123" i="4" s="1"/>
  <c r="E123" i="4"/>
  <c r="G123" i="4" s="1"/>
  <c r="D123" i="4"/>
  <c r="Q122" i="4"/>
  <c r="R122" i="4" s="1"/>
  <c r="P122" i="4"/>
  <c r="N122" i="4"/>
  <c r="M122" i="4"/>
  <c r="O122" i="4" s="1"/>
  <c r="K122" i="4"/>
  <c r="I122" i="4"/>
  <c r="J122" i="4" s="1"/>
  <c r="E122" i="4"/>
  <c r="G122" i="4" s="1"/>
  <c r="D122" i="4"/>
  <c r="H122" i="4" s="1"/>
  <c r="Q121" i="4"/>
  <c r="R121" i="4" s="1"/>
  <c r="P121" i="4"/>
  <c r="N121" i="4"/>
  <c r="O121" i="4" s="1"/>
  <c r="M121" i="4"/>
  <c r="K121" i="4"/>
  <c r="J121" i="4"/>
  <c r="I121" i="4"/>
  <c r="G121" i="4"/>
  <c r="E121" i="4"/>
  <c r="D121" i="4"/>
  <c r="Q120" i="4"/>
  <c r="P120" i="4"/>
  <c r="R120" i="4" s="1"/>
  <c r="N120" i="4"/>
  <c r="M120" i="4"/>
  <c r="K120" i="4"/>
  <c r="I120" i="4"/>
  <c r="J120" i="4" s="1"/>
  <c r="F120" i="4"/>
  <c r="E120" i="4"/>
  <c r="G120" i="4" s="1"/>
  <c r="D120" i="4"/>
  <c r="H120" i="4" s="1"/>
  <c r="R119" i="4"/>
  <c r="Q119" i="4"/>
  <c r="P119" i="4"/>
  <c r="N119" i="4"/>
  <c r="M119" i="4"/>
  <c r="O119" i="4" s="1"/>
  <c r="K119" i="4"/>
  <c r="I119" i="4"/>
  <c r="J119" i="4" s="1"/>
  <c r="F119" i="4"/>
  <c r="E119" i="4"/>
  <c r="G119" i="4" s="1"/>
  <c r="D119" i="4"/>
  <c r="R118" i="4"/>
  <c r="Q118" i="4"/>
  <c r="P118" i="4"/>
  <c r="N118" i="4"/>
  <c r="M118" i="4"/>
  <c r="K118" i="4"/>
  <c r="J118" i="4"/>
  <c r="I118" i="4"/>
  <c r="F118" i="4"/>
  <c r="E118" i="4"/>
  <c r="D118" i="4"/>
  <c r="Q117" i="4"/>
  <c r="P117" i="4"/>
  <c r="R117" i="4" s="1"/>
  <c r="N117" i="4"/>
  <c r="M117" i="4"/>
  <c r="K117" i="4"/>
  <c r="I117" i="4"/>
  <c r="J117" i="4" s="1"/>
  <c r="E117" i="4"/>
  <c r="G117" i="4" s="1"/>
  <c r="D117" i="4"/>
  <c r="H117" i="4" s="1"/>
  <c r="Q116" i="4"/>
  <c r="R116" i="4" s="1"/>
  <c r="P116" i="4"/>
  <c r="O116" i="4"/>
  <c r="N116" i="4"/>
  <c r="M116" i="4"/>
  <c r="K116" i="4"/>
  <c r="I116" i="4"/>
  <c r="J116" i="4" s="1"/>
  <c r="E116" i="4"/>
  <c r="G116" i="4" s="1"/>
  <c r="D116" i="4"/>
  <c r="Q115" i="4"/>
  <c r="R115" i="4" s="1"/>
  <c r="P115" i="4"/>
  <c r="N115" i="4"/>
  <c r="O115" i="4" s="1"/>
  <c r="M115" i="4"/>
  <c r="K115" i="4"/>
  <c r="J115" i="4"/>
  <c r="I115" i="4"/>
  <c r="E115" i="4"/>
  <c r="G115" i="4" s="1"/>
  <c r="D115" i="4"/>
  <c r="Q114" i="4"/>
  <c r="P114" i="4"/>
  <c r="R114" i="4" s="1"/>
  <c r="N114" i="4"/>
  <c r="M114" i="4"/>
  <c r="K114" i="4"/>
  <c r="I114" i="4"/>
  <c r="J114" i="4" s="1"/>
  <c r="G114" i="4"/>
  <c r="F114" i="4"/>
  <c r="E114" i="4"/>
  <c r="D114" i="4"/>
  <c r="H114" i="4" s="1"/>
  <c r="R113" i="4"/>
  <c r="Q113" i="4"/>
  <c r="P113" i="4"/>
  <c r="N113" i="4"/>
  <c r="M113" i="4"/>
  <c r="O113" i="4" s="1"/>
  <c r="K113" i="4"/>
  <c r="I113" i="4"/>
  <c r="J113" i="4" s="1"/>
  <c r="F113" i="4"/>
  <c r="E113" i="4"/>
  <c r="G113" i="4" s="1"/>
  <c r="D113" i="4"/>
  <c r="R112" i="4"/>
  <c r="Q112" i="4"/>
  <c r="P112" i="4"/>
  <c r="N112" i="4"/>
  <c r="M112" i="4"/>
  <c r="K112" i="4"/>
  <c r="J112" i="4"/>
  <c r="I112" i="4"/>
  <c r="H112" i="4"/>
  <c r="G112" i="4"/>
  <c r="F112" i="4"/>
  <c r="E112" i="4"/>
  <c r="D112" i="4"/>
  <c r="Q111" i="4"/>
  <c r="P111" i="4"/>
  <c r="R111" i="4" s="1"/>
  <c r="N111" i="4"/>
  <c r="M111" i="4"/>
  <c r="K111" i="4"/>
  <c r="I111" i="4"/>
  <c r="J111" i="4" s="1"/>
  <c r="E111" i="4"/>
  <c r="G111" i="4" s="1"/>
  <c r="D111" i="4"/>
  <c r="H111" i="4" s="1"/>
  <c r="Q110" i="4"/>
  <c r="R110" i="4" s="1"/>
  <c r="P110" i="4"/>
  <c r="O110" i="4"/>
  <c r="N110" i="4"/>
  <c r="M110" i="4"/>
  <c r="K110" i="4"/>
  <c r="I110" i="4"/>
  <c r="J110" i="4" s="1"/>
  <c r="E110" i="4"/>
  <c r="G110" i="4" s="1"/>
  <c r="D110" i="4"/>
  <c r="H110" i="4" s="1"/>
  <c r="Q109" i="4"/>
  <c r="R109" i="4" s="1"/>
  <c r="P109" i="4"/>
  <c r="N109" i="4"/>
  <c r="O109" i="4" s="1"/>
  <c r="M109" i="4"/>
  <c r="K109" i="4"/>
  <c r="J109" i="4"/>
  <c r="I109" i="4"/>
  <c r="E109" i="4"/>
  <c r="G109" i="4" s="1"/>
  <c r="D109" i="4"/>
  <c r="Q108" i="4"/>
  <c r="P108" i="4"/>
  <c r="R108" i="4" s="1"/>
  <c r="N108" i="4"/>
  <c r="M108" i="4"/>
  <c r="K108" i="4"/>
  <c r="I108" i="4"/>
  <c r="J108" i="4" s="1"/>
  <c r="G108" i="4"/>
  <c r="E108" i="4"/>
  <c r="D108" i="4"/>
  <c r="H108" i="4" s="1"/>
  <c r="R107" i="4"/>
  <c r="Q107" i="4"/>
  <c r="P107" i="4"/>
  <c r="N107" i="4"/>
  <c r="M107" i="4"/>
  <c r="K107" i="4"/>
  <c r="J107" i="4"/>
  <c r="I107" i="4"/>
  <c r="F107" i="4"/>
  <c r="E107" i="4"/>
  <c r="G107" i="4" s="1"/>
  <c r="D107" i="4"/>
  <c r="R106" i="4"/>
  <c r="Q106" i="4"/>
  <c r="P106" i="4"/>
  <c r="N106" i="4"/>
  <c r="M106" i="4"/>
  <c r="O106" i="4" s="1"/>
  <c r="K106" i="4"/>
  <c r="I106" i="4"/>
  <c r="J106" i="4" s="1"/>
  <c r="H106" i="4"/>
  <c r="G106" i="4"/>
  <c r="F106" i="4"/>
  <c r="E106" i="4"/>
  <c r="D106" i="4"/>
  <c r="Q105" i="4"/>
  <c r="P105" i="4"/>
  <c r="N105" i="4"/>
  <c r="O105" i="4" s="1"/>
  <c r="M105" i="4"/>
  <c r="K105" i="4"/>
  <c r="I105" i="4"/>
  <c r="J105" i="4" s="1"/>
  <c r="G105" i="4"/>
  <c r="E105" i="4"/>
  <c r="D105" i="4"/>
  <c r="Q104" i="4"/>
  <c r="R104" i="4" s="1"/>
  <c r="P104" i="4"/>
  <c r="N104" i="4"/>
  <c r="M104" i="4"/>
  <c r="K104" i="4"/>
  <c r="I104" i="4"/>
  <c r="J104" i="4" s="1"/>
  <c r="E104" i="4"/>
  <c r="G104" i="4" s="1"/>
  <c r="D104" i="4"/>
  <c r="H104" i="4" s="1"/>
  <c r="Q103" i="4"/>
  <c r="R103" i="4" s="1"/>
  <c r="P103" i="4"/>
  <c r="N103" i="4"/>
  <c r="M103" i="4"/>
  <c r="K103" i="4"/>
  <c r="J103" i="4"/>
  <c r="I103" i="4"/>
  <c r="E103" i="4"/>
  <c r="G103" i="4" s="1"/>
  <c r="D103" i="4"/>
  <c r="H103" i="4" s="1"/>
  <c r="Q102" i="4"/>
  <c r="P102" i="4"/>
  <c r="N102" i="4"/>
  <c r="M102" i="4"/>
  <c r="O102" i="4" s="1"/>
  <c r="K102" i="4"/>
  <c r="I102" i="4"/>
  <c r="J102" i="4" s="1"/>
  <c r="G102" i="4"/>
  <c r="E102" i="4"/>
  <c r="D102" i="4"/>
  <c r="H102" i="4" s="1"/>
  <c r="Q101" i="4"/>
  <c r="P101" i="4"/>
  <c r="R101" i="4" s="1"/>
  <c r="N101" i="4"/>
  <c r="M101" i="4"/>
  <c r="K101" i="4"/>
  <c r="I101" i="4"/>
  <c r="J101" i="4" s="1"/>
  <c r="E101" i="4"/>
  <c r="G101" i="4" s="1"/>
  <c r="D101" i="4"/>
  <c r="H101" i="4" s="1"/>
  <c r="R100" i="4"/>
  <c r="Q100" i="4"/>
  <c r="P100" i="4"/>
  <c r="O100" i="4"/>
  <c r="N100" i="4"/>
  <c r="M100" i="4"/>
  <c r="K100" i="4"/>
  <c r="J100" i="4"/>
  <c r="I100" i="4"/>
  <c r="H100" i="4"/>
  <c r="G100" i="4"/>
  <c r="F100" i="4"/>
  <c r="E100" i="4"/>
  <c r="D100" i="4"/>
  <c r="Q99" i="4"/>
  <c r="P99" i="4"/>
  <c r="R99" i="4" s="1"/>
  <c r="N99" i="4"/>
  <c r="M99" i="4"/>
  <c r="O99" i="4" s="1"/>
  <c r="K99" i="4"/>
  <c r="I99" i="4"/>
  <c r="J99" i="4" s="1"/>
  <c r="G99" i="4"/>
  <c r="E99" i="4"/>
  <c r="H99" i="4" s="1"/>
  <c r="D99" i="4"/>
  <c r="F99" i="4" s="1"/>
  <c r="Q98" i="4"/>
  <c r="R98" i="4" s="1"/>
  <c r="P98" i="4"/>
  <c r="N98" i="4"/>
  <c r="M98" i="4"/>
  <c r="O98" i="4" s="1"/>
  <c r="K98" i="4"/>
  <c r="I98" i="4"/>
  <c r="J98" i="4" s="1"/>
  <c r="F98" i="4"/>
  <c r="E98" i="4"/>
  <c r="G98" i="4" s="1"/>
  <c r="D98" i="4"/>
  <c r="H98" i="4" s="1"/>
  <c r="Q97" i="4"/>
  <c r="R97" i="4" s="1"/>
  <c r="P97" i="4"/>
  <c r="N97" i="4"/>
  <c r="M97" i="4"/>
  <c r="K97" i="4"/>
  <c r="I97" i="4"/>
  <c r="J97" i="4" s="1"/>
  <c r="H97" i="4"/>
  <c r="G97" i="4"/>
  <c r="F97" i="4"/>
  <c r="E97" i="4"/>
  <c r="D97" i="4"/>
  <c r="Q96" i="4"/>
  <c r="P96" i="4"/>
  <c r="R96" i="4" s="1"/>
  <c r="N96" i="4"/>
  <c r="M96" i="4"/>
  <c r="O96" i="4" s="1"/>
  <c r="K96" i="4"/>
  <c r="I96" i="4"/>
  <c r="J96" i="4" s="1"/>
  <c r="E96" i="4"/>
  <c r="H96" i="4" s="1"/>
  <c r="D96" i="4"/>
  <c r="F96" i="4" s="1"/>
  <c r="R95" i="4"/>
  <c r="Q95" i="4"/>
  <c r="P95" i="4"/>
  <c r="N95" i="4"/>
  <c r="M95" i="4"/>
  <c r="O95" i="4" s="1"/>
  <c r="K95" i="4"/>
  <c r="I95" i="4"/>
  <c r="J95" i="4" s="1"/>
  <c r="E95" i="4"/>
  <c r="G95" i="4" s="1"/>
  <c r="D95" i="4"/>
  <c r="F95" i="4" s="1"/>
  <c r="R94" i="4"/>
  <c r="Q94" i="4"/>
  <c r="P94" i="4"/>
  <c r="N94" i="4"/>
  <c r="M94" i="4"/>
  <c r="O94" i="4" s="1"/>
  <c r="K94" i="4"/>
  <c r="I94" i="4"/>
  <c r="J94" i="4" s="1"/>
  <c r="F94" i="4"/>
  <c r="E94" i="4"/>
  <c r="H94" i="4" s="1"/>
  <c r="D94" i="4"/>
  <c r="Q93" i="4"/>
  <c r="P93" i="4"/>
  <c r="N93" i="4"/>
  <c r="M93" i="4"/>
  <c r="K93" i="4"/>
  <c r="I93" i="4"/>
  <c r="J93" i="4" s="1"/>
  <c r="E93" i="4"/>
  <c r="G93" i="4" s="1"/>
  <c r="D93" i="4"/>
  <c r="F93" i="4" s="1"/>
  <c r="R92" i="4"/>
  <c r="Q92" i="4"/>
  <c r="P92" i="4"/>
  <c r="N92" i="4"/>
  <c r="M92" i="4"/>
  <c r="O92" i="4" s="1"/>
  <c r="K92" i="4"/>
  <c r="I92" i="4"/>
  <c r="J92" i="4" s="1"/>
  <c r="E92" i="4"/>
  <c r="G92" i="4" s="1"/>
  <c r="D92" i="4"/>
  <c r="H92" i="4" s="1"/>
  <c r="Q91" i="4"/>
  <c r="R91" i="4" s="1"/>
  <c r="P91" i="4"/>
  <c r="N91" i="4"/>
  <c r="M91" i="4"/>
  <c r="O91" i="4" s="1"/>
  <c r="K91" i="4"/>
  <c r="J91" i="4"/>
  <c r="I91" i="4"/>
  <c r="H91" i="4"/>
  <c r="G91" i="4"/>
  <c r="F91" i="4"/>
  <c r="E91" i="4"/>
  <c r="D91" i="4"/>
  <c r="Q90" i="4"/>
  <c r="P90" i="4"/>
  <c r="N90" i="4"/>
  <c r="M90" i="4"/>
  <c r="K90" i="4"/>
  <c r="I90" i="4"/>
  <c r="J90" i="4" s="1"/>
  <c r="H90" i="4"/>
  <c r="G90" i="4"/>
  <c r="F90" i="4"/>
  <c r="E90" i="4"/>
  <c r="D90" i="4"/>
  <c r="Q89" i="4"/>
  <c r="P89" i="4"/>
  <c r="R89" i="4" s="1"/>
  <c r="N89" i="4"/>
  <c r="M89" i="4"/>
  <c r="K89" i="4"/>
  <c r="I89" i="4"/>
  <c r="J89" i="4" s="1"/>
  <c r="F89" i="4"/>
  <c r="E89" i="4"/>
  <c r="G89" i="4" s="1"/>
  <c r="D89" i="4"/>
  <c r="Q88" i="4"/>
  <c r="R88" i="4" s="1"/>
  <c r="P88" i="4"/>
  <c r="N88" i="4"/>
  <c r="M88" i="4"/>
  <c r="K88" i="4"/>
  <c r="J88" i="4"/>
  <c r="I88" i="4"/>
  <c r="H88" i="4"/>
  <c r="E88" i="4"/>
  <c r="G88" i="4" s="1"/>
  <c r="D88" i="4"/>
  <c r="F88" i="4" s="1"/>
  <c r="Q87" i="4"/>
  <c r="P87" i="4"/>
  <c r="R87" i="4" s="1"/>
  <c r="O87" i="4"/>
  <c r="N87" i="4"/>
  <c r="M87" i="4"/>
  <c r="K87" i="4"/>
  <c r="I87" i="4"/>
  <c r="J87" i="4" s="1"/>
  <c r="E87" i="4"/>
  <c r="G87" i="4" s="1"/>
  <c r="D87" i="4"/>
  <c r="Q86" i="4"/>
  <c r="R86" i="4" s="1"/>
  <c r="P86" i="4"/>
  <c r="N86" i="4"/>
  <c r="M86" i="4"/>
  <c r="O86" i="4" s="1"/>
  <c r="K86" i="4"/>
  <c r="I86" i="4"/>
  <c r="J86" i="4" s="1"/>
  <c r="E86" i="4"/>
  <c r="G86" i="4" s="1"/>
  <c r="D86" i="4"/>
  <c r="R85" i="4"/>
  <c r="Q85" i="4"/>
  <c r="P85" i="4"/>
  <c r="N85" i="4"/>
  <c r="M85" i="4"/>
  <c r="O85" i="4" s="1"/>
  <c r="K85" i="4"/>
  <c r="J85" i="4"/>
  <c r="I85" i="4"/>
  <c r="F85" i="4"/>
  <c r="E85" i="4"/>
  <c r="H85" i="4" s="1"/>
  <c r="D85" i="4"/>
  <c r="Q84" i="4"/>
  <c r="P84" i="4"/>
  <c r="N84" i="4"/>
  <c r="M84" i="4"/>
  <c r="K84" i="4"/>
  <c r="I84" i="4"/>
  <c r="J84" i="4" s="1"/>
  <c r="G84" i="4"/>
  <c r="F84" i="4"/>
  <c r="E84" i="4"/>
  <c r="H84" i="4" s="1"/>
  <c r="D84" i="4"/>
  <c r="Q83" i="4"/>
  <c r="P83" i="4"/>
  <c r="R83" i="4" s="1"/>
  <c r="N83" i="4"/>
  <c r="O83" i="4" s="1"/>
  <c r="M83" i="4"/>
  <c r="K83" i="4"/>
  <c r="I83" i="4"/>
  <c r="J83" i="4" s="1"/>
  <c r="E83" i="4"/>
  <c r="D83" i="4"/>
  <c r="F83" i="4" s="1"/>
  <c r="Q82" i="4"/>
  <c r="R82" i="4" s="1"/>
  <c r="P82" i="4"/>
  <c r="N82" i="4"/>
  <c r="M82" i="4"/>
  <c r="K82" i="4"/>
  <c r="I82" i="4"/>
  <c r="J82" i="4" s="1"/>
  <c r="E82" i="4"/>
  <c r="G82" i="4" s="1"/>
  <c r="D82" i="4"/>
  <c r="H82" i="4" s="1"/>
  <c r="Q81" i="4"/>
  <c r="P81" i="4"/>
  <c r="N81" i="4"/>
  <c r="M81" i="4"/>
  <c r="K81" i="4"/>
  <c r="J81" i="4"/>
  <c r="I81" i="4"/>
  <c r="H81" i="4"/>
  <c r="G81" i="4"/>
  <c r="F81" i="4"/>
  <c r="E81" i="4"/>
  <c r="D81" i="4"/>
  <c r="Q80" i="4"/>
  <c r="P80" i="4"/>
  <c r="R80" i="4" s="1"/>
  <c r="N80" i="4"/>
  <c r="M80" i="4"/>
  <c r="K80" i="4"/>
  <c r="I80" i="4"/>
  <c r="J80" i="4" s="1"/>
  <c r="F80" i="4"/>
  <c r="E80" i="4"/>
  <c r="G80" i="4" s="1"/>
  <c r="D80" i="4"/>
  <c r="Q79" i="4"/>
  <c r="R79" i="4" s="1"/>
  <c r="P79" i="4"/>
  <c r="N79" i="4"/>
  <c r="M79" i="4"/>
  <c r="K79" i="4"/>
  <c r="I79" i="4"/>
  <c r="J79" i="4" s="1"/>
  <c r="G79" i="4"/>
  <c r="E79" i="4"/>
  <c r="H79" i="4" s="1"/>
  <c r="D79" i="4"/>
  <c r="F79" i="4" s="1"/>
  <c r="Q78" i="4"/>
  <c r="P78" i="4"/>
  <c r="R78" i="4" s="1"/>
  <c r="N78" i="4"/>
  <c r="M78" i="4"/>
  <c r="O78" i="4" s="1"/>
  <c r="K78" i="4"/>
  <c r="I78" i="4"/>
  <c r="J78" i="4" s="1"/>
  <c r="G78" i="4"/>
  <c r="E78" i="4"/>
  <c r="D78" i="4"/>
  <c r="H78" i="4" s="1"/>
  <c r="Q77" i="4"/>
  <c r="R77" i="4" s="1"/>
  <c r="P77" i="4"/>
  <c r="N77" i="4"/>
  <c r="M77" i="4"/>
  <c r="O77" i="4" s="1"/>
  <c r="K77" i="4"/>
  <c r="I77" i="4"/>
  <c r="J77" i="4" s="1"/>
  <c r="E77" i="4"/>
  <c r="G77" i="4" s="1"/>
  <c r="D77" i="4"/>
  <c r="R76" i="4"/>
  <c r="Q76" i="4"/>
  <c r="P76" i="4"/>
  <c r="N76" i="4"/>
  <c r="M76" i="4"/>
  <c r="K76" i="4"/>
  <c r="I76" i="4"/>
  <c r="J76" i="4" s="1"/>
  <c r="F76" i="4"/>
  <c r="E76" i="4"/>
  <c r="H76" i="4" s="1"/>
  <c r="D76" i="4"/>
  <c r="Q75" i="4"/>
  <c r="P75" i="4"/>
  <c r="R75" i="4" s="1"/>
  <c r="N75" i="4"/>
  <c r="M75" i="4"/>
  <c r="O75" i="4" s="1"/>
  <c r="K75" i="4"/>
  <c r="I75" i="4"/>
  <c r="J75" i="4" s="1"/>
  <c r="H75" i="4"/>
  <c r="G75" i="4"/>
  <c r="E75" i="4"/>
  <c r="D75" i="4"/>
  <c r="F75" i="4" s="1"/>
  <c r="Q74" i="4"/>
  <c r="R74" i="4" s="1"/>
  <c r="P74" i="4"/>
  <c r="N74" i="4"/>
  <c r="M74" i="4"/>
  <c r="K74" i="4"/>
  <c r="I74" i="4"/>
  <c r="J74" i="4" s="1"/>
  <c r="E74" i="4"/>
  <c r="G74" i="4" s="1"/>
  <c r="D74" i="4"/>
  <c r="H74" i="4" s="1"/>
  <c r="R73" i="4"/>
  <c r="Q73" i="4"/>
  <c r="P73" i="4"/>
  <c r="N73" i="4"/>
  <c r="M73" i="4"/>
  <c r="K73" i="4"/>
  <c r="I73" i="4"/>
  <c r="J73" i="4" s="1"/>
  <c r="F73" i="4"/>
  <c r="E73" i="4"/>
  <c r="H73" i="4" s="1"/>
  <c r="D73" i="4"/>
  <c r="Q72" i="4"/>
  <c r="P72" i="4"/>
  <c r="R72" i="4" s="1"/>
  <c r="N72" i="4"/>
  <c r="M72" i="4"/>
  <c r="K72" i="4"/>
  <c r="I72" i="4"/>
  <c r="J72" i="4" s="1"/>
  <c r="H72" i="4"/>
  <c r="G72" i="4"/>
  <c r="E72" i="4"/>
  <c r="D72" i="4"/>
  <c r="F72" i="4" s="1"/>
  <c r="Q71" i="4"/>
  <c r="P71" i="4"/>
  <c r="R71" i="4" s="1"/>
  <c r="N71" i="4"/>
  <c r="M71" i="4"/>
  <c r="O71" i="4" s="1"/>
  <c r="K71" i="4"/>
  <c r="J71" i="4"/>
  <c r="I71" i="4"/>
  <c r="E71" i="4"/>
  <c r="G71" i="4" s="1"/>
  <c r="D71" i="4"/>
  <c r="H71" i="4" s="1"/>
  <c r="R70" i="4"/>
  <c r="Q70" i="4"/>
  <c r="P70" i="4"/>
  <c r="N70" i="4"/>
  <c r="M70" i="4"/>
  <c r="O70" i="4" s="1"/>
  <c r="K70" i="4"/>
  <c r="J70" i="4"/>
  <c r="I70" i="4"/>
  <c r="F70" i="4"/>
  <c r="E70" i="4"/>
  <c r="H70" i="4" s="1"/>
  <c r="D70" i="4"/>
  <c r="Q69" i="4"/>
  <c r="P69" i="4"/>
  <c r="R69" i="4" s="1"/>
  <c r="N69" i="4"/>
  <c r="M69" i="4"/>
  <c r="O69" i="4" s="1"/>
  <c r="K69" i="4"/>
  <c r="I69" i="4"/>
  <c r="J69" i="4" s="1"/>
  <c r="H69" i="4"/>
  <c r="E69" i="4"/>
  <c r="G69" i="4" s="1"/>
  <c r="D69" i="4"/>
  <c r="F69" i="4" s="1"/>
  <c r="Q68" i="4"/>
  <c r="R68" i="4" s="1"/>
  <c r="P68" i="4"/>
  <c r="N68" i="4"/>
  <c r="M68" i="4"/>
  <c r="K68" i="4"/>
  <c r="I68" i="4"/>
  <c r="J68" i="4" s="1"/>
  <c r="E68" i="4"/>
  <c r="G68" i="4" s="1"/>
  <c r="D68" i="4"/>
  <c r="H68" i="4" s="1"/>
  <c r="R67" i="4"/>
  <c r="Q67" i="4"/>
  <c r="P67" i="4"/>
  <c r="N67" i="4"/>
  <c r="M67" i="4"/>
  <c r="K67" i="4"/>
  <c r="I67" i="4"/>
  <c r="J67" i="4" s="1"/>
  <c r="F67" i="4"/>
  <c r="E67" i="4"/>
  <c r="H67" i="4" s="1"/>
  <c r="D67" i="4"/>
  <c r="Q66" i="4"/>
  <c r="P66" i="4"/>
  <c r="R66" i="4" s="1"/>
  <c r="N66" i="4"/>
  <c r="M66" i="4"/>
  <c r="K66" i="4"/>
  <c r="I66" i="4"/>
  <c r="J66" i="4" s="1"/>
  <c r="H66" i="4"/>
  <c r="G66" i="4"/>
  <c r="E66" i="4"/>
  <c r="D66" i="4"/>
  <c r="F66" i="4" s="1"/>
  <c r="Q65" i="4"/>
  <c r="P65" i="4"/>
  <c r="R65" i="4" s="1"/>
  <c r="N65" i="4"/>
  <c r="M65" i="4"/>
  <c r="K65" i="4"/>
  <c r="J65" i="4"/>
  <c r="I65" i="4"/>
  <c r="E65" i="4"/>
  <c r="G65" i="4" s="1"/>
  <c r="D65" i="4"/>
  <c r="H65" i="4" s="1"/>
  <c r="R64" i="4"/>
  <c r="Q64" i="4"/>
  <c r="P64" i="4"/>
  <c r="N64" i="4"/>
  <c r="M64" i="4"/>
  <c r="O64" i="4" s="1"/>
  <c r="K64" i="4"/>
  <c r="I64" i="4"/>
  <c r="J64" i="4" s="1"/>
  <c r="F64" i="4"/>
  <c r="E64" i="4"/>
  <c r="H64" i="4" s="1"/>
  <c r="D64" i="4"/>
  <c r="Q63" i="4"/>
  <c r="P63" i="4"/>
  <c r="R63" i="4" s="1"/>
  <c r="N63" i="4"/>
  <c r="M63" i="4"/>
  <c r="O63" i="4" s="1"/>
  <c r="K63" i="4"/>
  <c r="I63" i="4"/>
  <c r="J63" i="4" s="1"/>
  <c r="E63" i="4"/>
  <c r="H63" i="4" s="1"/>
  <c r="D63" i="4"/>
  <c r="F63" i="4" s="1"/>
  <c r="Q62" i="4"/>
  <c r="R62" i="4" s="1"/>
  <c r="P62" i="4"/>
  <c r="N62" i="4"/>
  <c r="M62" i="4"/>
  <c r="O62" i="4" s="1"/>
  <c r="K62" i="4"/>
  <c r="I62" i="4"/>
  <c r="J62" i="4" s="1"/>
  <c r="E62" i="4"/>
  <c r="G62" i="4" s="1"/>
  <c r="D62" i="4"/>
  <c r="R61" i="4"/>
  <c r="Q61" i="4"/>
  <c r="P61" i="4"/>
  <c r="N61" i="4"/>
  <c r="M61" i="4"/>
  <c r="O61" i="4" s="1"/>
  <c r="K61" i="4"/>
  <c r="I61" i="4"/>
  <c r="J61" i="4" s="1"/>
  <c r="F61" i="4"/>
  <c r="E61" i="4"/>
  <c r="H61" i="4" s="1"/>
  <c r="D61" i="4"/>
  <c r="Q60" i="4"/>
  <c r="P60" i="4"/>
  <c r="R60" i="4" s="1"/>
  <c r="N60" i="4"/>
  <c r="O60" i="4" s="1"/>
  <c r="M60" i="4"/>
  <c r="K60" i="4"/>
  <c r="I60" i="4"/>
  <c r="J60" i="4" s="1"/>
  <c r="H60" i="4"/>
  <c r="G60" i="4"/>
  <c r="E60" i="4"/>
  <c r="D60" i="4"/>
  <c r="F60" i="4" s="1"/>
  <c r="Q59" i="4"/>
  <c r="P59" i="4"/>
  <c r="R59" i="4" s="1"/>
  <c r="N59" i="4"/>
  <c r="M59" i="4"/>
  <c r="O59" i="4" s="1"/>
  <c r="K59" i="4"/>
  <c r="I59" i="4"/>
  <c r="J59" i="4" s="1"/>
  <c r="E59" i="4"/>
  <c r="G59" i="4" s="1"/>
  <c r="D59" i="4"/>
  <c r="R58" i="4"/>
  <c r="Q58" i="4"/>
  <c r="P58" i="4"/>
  <c r="N58" i="4"/>
  <c r="M58" i="4"/>
  <c r="O58" i="4" s="1"/>
  <c r="K58" i="4"/>
  <c r="J58" i="4"/>
  <c r="I58" i="4"/>
  <c r="F58" i="4"/>
  <c r="E58" i="4"/>
  <c r="H58" i="4" s="1"/>
  <c r="D58" i="4"/>
  <c r="Q57" i="4"/>
  <c r="P57" i="4"/>
  <c r="R57" i="4" s="1"/>
  <c r="O57" i="4"/>
  <c r="N57" i="4"/>
  <c r="M57" i="4"/>
  <c r="K57" i="4"/>
  <c r="I57" i="4"/>
  <c r="J57" i="4" s="1"/>
  <c r="H57" i="4"/>
  <c r="G57" i="4"/>
  <c r="E57" i="4"/>
  <c r="D57" i="4"/>
  <c r="F57" i="4" s="1"/>
  <c r="Q56" i="4"/>
  <c r="R56" i="4" s="1"/>
  <c r="P56" i="4"/>
  <c r="N56" i="4"/>
  <c r="M56" i="4"/>
  <c r="O56" i="4" s="1"/>
  <c r="K56" i="4"/>
  <c r="I56" i="4"/>
  <c r="J56" i="4" s="1"/>
  <c r="E56" i="4"/>
  <c r="G56" i="4" s="1"/>
  <c r="D56" i="4"/>
  <c r="R55" i="4"/>
  <c r="Q55" i="4"/>
  <c r="P55" i="4"/>
  <c r="N55" i="4"/>
  <c r="M55" i="4"/>
  <c r="O55" i="4" s="1"/>
  <c r="K55" i="4"/>
  <c r="I55" i="4"/>
  <c r="J55" i="4" s="1"/>
  <c r="F55" i="4"/>
  <c r="E55" i="4"/>
  <c r="H55" i="4" s="1"/>
  <c r="D55" i="4"/>
  <c r="Q54" i="4"/>
  <c r="P54" i="4"/>
  <c r="R54" i="4" s="1"/>
  <c r="N54" i="4"/>
  <c r="O54" i="4" s="1"/>
  <c r="M54" i="4"/>
  <c r="K54" i="4"/>
  <c r="I54" i="4"/>
  <c r="J54" i="4" s="1"/>
  <c r="H54" i="4"/>
  <c r="G54" i="4"/>
  <c r="E54" i="4"/>
  <c r="D54" i="4"/>
  <c r="F54" i="4" s="1"/>
  <c r="Q53" i="4"/>
  <c r="P53" i="4"/>
  <c r="R53" i="4" s="1"/>
  <c r="N53" i="4"/>
  <c r="M53" i="4"/>
  <c r="K53" i="4"/>
  <c r="I53" i="4"/>
  <c r="J53" i="4" s="1"/>
  <c r="E53" i="4"/>
  <c r="G53" i="4" s="1"/>
  <c r="D53" i="4"/>
  <c r="H53" i="4" s="1"/>
  <c r="R52" i="4"/>
  <c r="Q52" i="4"/>
  <c r="P52" i="4"/>
  <c r="N52" i="4"/>
  <c r="M52" i="4"/>
  <c r="K52" i="4"/>
  <c r="I52" i="4"/>
  <c r="J52" i="4" s="1"/>
  <c r="F52" i="4"/>
  <c r="E52" i="4"/>
  <c r="H52" i="4" s="1"/>
  <c r="D52" i="4"/>
  <c r="Q51" i="4"/>
  <c r="P51" i="4"/>
  <c r="R51" i="4" s="1"/>
  <c r="N51" i="4"/>
  <c r="M51" i="4"/>
  <c r="O51" i="4" s="1"/>
  <c r="K51" i="4"/>
  <c r="I51" i="4"/>
  <c r="J51" i="4" s="1"/>
  <c r="H51" i="4"/>
  <c r="G51" i="4"/>
  <c r="E51" i="4"/>
  <c r="D51" i="4"/>
  <c r="F51" i="4" s="1"/>
  <c r="Q50" i="4"/>
  <c r="R50" i="4" s="1"/>
  <c r="P50" i="4"/>
  <c r="N50" i="4"/>
  <c r="M50" i="4"/>
  <c r="K50" i="4"/>
  <c r="I50" i="4"/>
  <c r="J50" i="4" s="1"/>
  <c r="E50" i="4"/>
  <c r="G50" i="4" s="1"/>
  <c r="D50" i="4"/>
  <c r="H50" i="4" s="1"/>
  <c r="R49" i="4"/>
  <c r="Q49" i="4"/>
  <c r="P49" i="4"/>
  <c r="N49" i="4"/>
  <c r="M49" i="4"/>
  <c r="K49" i="4"/>
  <c r="I49" i="4"/>
  <c r="J49" i="4" s="1"/>
  <c r="F49" i="4"/>
  <c r="E49" i="4"/>
  <c r="H49" i="4" s="1"/>
  <c r="D49" i="4"/>
  <c r="Q48" i="4"/>
  <c r="P48" i="4"/>
  <c r="R48" i="4" s="1"/>
  <c r="N48" i="4"/>
  <c r="M48" i="4"/>
  <c r="K48" i="4"/>
  <c r="I48" i="4"/>
  <c r="J48" i="4" s="1"/>
  <c r="H48" i="4"/>
  <c r="G48" i="4"/>
  <c r="E48" i="4"/>
  <c r="D48" i="4"/>
  <c r="F48" i="4" s="1"/>
  <c r="Q47" i="4"/>
  <c r="P47" i="4"/>
  <c r="R47" i="4" s="1"/>
  <c r="N47" i="4"/>
  <c r="M47" i="4"/>
  <c r="O47" i="4" s="1"/>
  <c r="K47" i="4"/>
  <c r="J47" i="4"/>
  <c r="I47" i="4"/>
  <c r="E47" i="4"/>
  <c r="G47" i="4" s="1"/>
  <c r="D47" i="4"/>
  <c r="R46" i="4"/>
  <c r="Q46" i="4"/>
  <c r="P46" i="4"/>
  <c r="N46" i="4"/>
  <c r="M46" i="4"/>
  <c r="O46" i="4" s="1"/>
  <c r="K46" i="4"/>
  <c r="J46" i="4"/>
  <c r="I46" i="4"/>
  <c r="F46" i="4"/>
  <c r="E46" i="4"/>
  <c r="H46" i="4" s="1"/>
  <c r="D46" i="4"/>
  <c r="Q45" i="4"/>
  <c r="P45" i="4"/>
  <c r="R45" i="4" s="1"/>
  <c r="N45" i="4"/>
  <c r="M45" i="4"/>
  <c r="O45" i="4" s="1"/>
  <c r="K45" i="4"/>
  <c r="I45" i="4"/>
  <c r="J45" i="4" s="1"/>
  <c r="H45" i="4"/>
  <c r="E45" i="4"/>
  <c r="G45" i="4" s="1"/>
  <c r="D45" i="4"/>
  <c r="F45" i="4" s="1"/>
  <c r="Q44" i="4"/>
  <c r="R44" i="4" s="1"/>
  <c r="P44" i="4"/>
  <c r="N44" i="4"/>
  <c r="M44" i="4"/>
  <c r="K44" i="4"/>
  <c r="I44" i="4"/>
  <c r="J44" i="4" s="1"/>
  <c r="E44" i="4"/>
  <c r="G44" i="4" s="1"/>
  <c r="D44" i="4"/>
  <c r="R43" i="4"/>
  <c r="Q43" i="4"/>
  <c r="P43" i="4"/>
  <c r="N43" i="4"/>
  <c r="M43" i="4"/>
  <c r="O43" i="4" s="1"/>
  <c r="K43" i="4"/>
  <c r="I43" i="4"/>
  <c r="J43" i="4" s="1"/>
  <c r="G43" i="4"/>
  <c r="F43" i="4"/>
  <c r="E43" i="4"/>
  <c r="H43" i="4" s="1"/>
  <c r="D43" i="4"/>
  <c r="Q42" i="4"/>
  <c r="P42" i="4"/>
  <c r="R42" i="4" s="1"/>
  <c r="N42" i="4"/>
  <c r="O42" i="4" s="1"/>
  <c r="M42" i="4"/>
  <c r="K42" i="4"/>
  <c r="I42" i="4"/>
  <c r="J42" i="4" s="1"/>
  <c r="E42" i="4"/>
  <c r="H42" i="4" s="1"/>
  <c r="D42" i="4"/>
  <c r="F42" i="4" s="1"/>
  <c r="Q41" i="4"/>
  <c r="P41" i="4"/>
  <c r="R41" i="4" s="1"/>
  <c r="N41" i="4"/>
  <c r="M41" i="4"/>
  <c r="K41" i="4"/>
  <c r="I41" i="4"/>
  <c r="J41" i="4" s="1"/>
  <c r="E41" i="4"/>
  <c r="G41" i="4" s="1"/>
  <c r="D41" i="4"/>
  <c r="R40" i="4"/>
  <c r="Q40" i="4"/>
  <c r="P40" i="4"/>
  <c r="N40" i="4"/>
  <c r="M40" i="4"/>
  <c r="K40" i="4"/>
  <c r="I40" i="4"/>
  <c r="J40" i="4" s="1"/>
  <c r="F40" i="4"/>
  <c r="E40" i="4"/>
  <c r="H40" i="4" s="1"/>
  <c r="D40" i="4"/>
  <c r="Q39" i="4"/>
  <c r="P39" i="4"/>
  <c r="R39" i="4" s="1"/>
  <c r="O39" i="4"/>
  <c r="N39" i="4"/>
  <c r="M39" i="4"/>
  <c r="K39" i="4"/>
  <c r="I39" i="4"/>
  <c r="J39" i="4" s="1"/>
  <c r="G39" i="4"/>
  <c r="E39" i="4"/>
  <c r="H39" i="4" s="1"/>
  <c r="D39" i="4"/>
  <c r="F39" i="4" s="1"/>
  <c r="Q38" i="4"/>
  <c r="R38" i="4" s="1"/>
  <c r="P38" i="4"/>
  <c r="N38" i="4"/>
  <c r="M38" i="4"/>
  <c r="O38" i="4" s="1"/>
  <c r="K38" i="4"/>
  <c r="I38" i="4"/>
  <c r="J38" i="4" s="1"/>
  <c r="E38" i="4"/>
  <c r="G38" i="4" s="1"/>
  <c r="D38" i="4"/>
  <c r="H38" i="4" s="1"/>
  <c r="R37" i="4"/>
  <c r="Q37" i="4"/>
  <c r="P37" i="4"/>
  <c r="N37" i="4"/>
  <c r="M37" i="4"/>
  <c r="K37" i="4"/>
  <c r="I37" i="4"/>
  <c r="J37" i="4" s="1"/>
  <c r="H37" i="4"/>
  <c r="F37" i="4"/>
  <c r="E37" i="4"/>
  <c r="G37" i="4" s="1"/>
  <c r="D37" i="4"/>
  <c r="Q36" i="4"/>
  <c r="P36" i="4"/>
  <c r="R36" i="4" s="1"/>
  <c r="N36" i="4"/>
  <c r="M36" i="4"/>
  <c r="K36" i="4"/>
  <c r="I36" i="4"/>
  <c r="J36" i="4" s="1"/>
  <c r="G36" i="4"/>
  <c r="E36" i="4"/>
  <c r="H36" i="4" s="1"/>
  <c r="D36" i="4"/>
  <c r="F36" i="4" s="1"/>
  <c r="Q35" i="4"/>
  <c r="P35" i="4"/>
  <c r="R35" i="4" s="1"/>
  <c r="N35" i="4"/>
  <c r="M35" i="4"/>
  <c r="O35" i="4" s="1"/>
  <c r="K35" i="4"/>
  <c r="I35" i="4"/>
  <c r="J35" i="4" s="1"/>
  <c r="E35" i="4"/>
  <c r="G35" i="4" s="1"/>
  <c r="D35" i="4"/>
  <c r="R34" i="4"/>
  <c r="Q34" i="4"/>
  <c r="P34" i="4"/>
  <c r="N34" i="4"/>
  <c r="M34" i="4"/>
  <c r="O34" i="4" s="1"/>
  <c r="K34" i="4"/>
  <c r="J34" i="4"/>
  <c r="I34" i="4"/>
  <c r="F34" i="4"/>
  <c r="E34" i="4"/>
  <c r="H34" i="4" s="1"/>
  <c r="D34" i="4"/>
  <c r="Q33" i="4"/>
  <c r="P33" i="4"/>
  <c r="R33" i="4" s="1"/>
  <c r="N33" i="4"/>
  <c r="M33" i="4"/>
  <c r="O33" i="4" s="1"/>
  <c r="K33" i="4"/>
  <c r="I33" i="4"/>
  <c r="J33" i="4" s="1"/>
  <c r="H33" i="4"/>
  <c r="E33" i="4"/>
  <c r="G33" i="4" s="1"/>
  <c r="D33" i="4"/>
  <c r="F33" i="4" s="1"/>
  <c r="Q32" i="4"/>
  <c r="R32" i="4" s="1"/>
  <c r="P32" i="4"/>
  <c r="N32" i="4"/>
  <c r="M32" i="4"/>
  <c r="K32" i="4"/>
  <c r="I32" i="4"/>
  <c r="J32" i="4" s="1"/>
  <c r="E32" i="4"/>
  <c r="G32" i="4" s="1"/>
  <c r="D32" i="4"/>
  <c r="R31" i="4"/>
  <c r="Q31" i="4"/>
  <c r="P31" i="4"/>
  <c r="N31" i="4"/>
  <c r="M31" i="4"/>
  <c r="K31" i="4"/>
  <c r="I31" i="4"/>
  <c r="J31" i="4" s="1"/>
  <c r="F31" i="4"/>
  <c r="E31" i="4"/>
  <c r="H31" i="4" s="1"/>
  <c r="D31" i="4"/>
  <c r="Q30" i="4"/>
  <c r="P30" i="4"/>
  <c r="R30" i="4" s="1"/>
  <c r="N30" i="4"/>
  <c r="M30" i="4"/>
  <c r="K30" i="4"/>
  <c r="I30" i="4"/>
  <c r="J30" i="4" s="1"/>
  <c r="H30" i="4"/>
  <c r="E30" i="4"/>
  <c r="G30" i="4" s="1"/>
  <c r="D30" i="4"/>
  <c r="F30" i="4" s="1"/>
  <c r="Q29" i="4"/>
  <c r="P29" i="4"/>
  <c r="R29" i="4" s="1"/>
  <c r="N29" i="4"/>
  <c r="M29" i="4"/>
  <c r="K29" i="4"/>
  <c r="J29" i="4"/>
  <c r="I29" i="4"/>
  <c r="E29" i="4"/>
  <c r="G29" i="4" s="1"/>
  <c r="D29" i="4"/>
  <c r="H29" i="4" s="1"/>
  <c r="R28" i="4"/>
  <c r="Q28" i="4"/>
  <c r="P28" i="4"/>
  <c r="N28" i="4"/>
  <c r="M28" i="4"/>
  <c r="K28" i="4"/>
  <c r="I28" i="4"/>
  <c r="J28" i="4" s="1"/>
  <c r="F28" i="4"/>
  <c r="E28" i="4"/>
  <c r="H28" i="4" s="1"/>
  <c r="D28" i="4"/>
  <c r="Q27" i="4"/>
  <c r="P27" i="4"/>
  <c r="R27" i="4" s="1"/>
  <c r="N27" i="4"/>
  <c r="M27" i="4"/>
  <c r="O27" i="4" s="1"/>
  <c r="K27" i="4"/>
  <c r="I27" i="4"/>
  <c r="J27" i="4" s="1"/>
  <c r="G27" i="4"/>
  <c r="E27" i="4"/>
  <c r="H27" i="4" s="1"/>
  <c r="D27" i="4"/>
  <c r="F27" i="4" s="1"/>
  <c r="Q26" i="4"/>
  <c r="R26" i="4" s="1"/>
  <c r="P26" i="4"/>
  <c r="N26" i="4"/>
  <c r="M26" i="4"/>
  <c r="O26" i="4" s="1"/>
  <c r="K26" i="4"/>
  <c r="I26" i="4"/>
  <c r="J26" i="4" s="1"/>
  <c r="E26" i="4"/>
  <c r="G26" i="4" s="1"/>
  <c r="D26" i="4"/>
  <c r="H26" i="4" s="1"/>
  <c r="R25" i="4"/>
  <c r="Q25" i="4"/>
  <c r="P25" i="4"/>
  <c r="N25" i="4"/>
  <c r="M25" i="4"/>
  <c r="K25" i="4"/>
  <c r="I25" i="4"/>
  <c r="J25" i="4" s="1"/>
  <c r="H25" i="4"/>
  <c r="G25" i="4"/>
  <c r="F25" i="4"/>
  <c r="E25" i="4"/>
  <c r="D25" i="4"/>
  <c r="Q24" i="4"/>
  <c r="P24" i="4"/>
  <c r="R24" i="4" s="1"/>
  <c r="N24" i="4"/>
  <c r="O24" i="4" s="1"/>
  <c r="M24" i="4"/>
  <c r="K24" i="4"/>
  <c r="I24" i="4"/>
  <c r="J24" i="4" s="1"/>
  <c r="H24" i="4"/>
  <c r="G24" i="4"/>
  <c r="E24" i="4"/>
  <c r="D24" i="4"/>
  <c r="F24" i="4" s="1"/>
  <c r="Q23" i="4"/>
  <c r="P23" i="4"/>
  <c r="R23" i="4" s="1"/>
  <c r="N23" i="4"/>
  <c r="M23" i="4"/>
  <c r="O23" i="4" s="1"/>
  <c r="K23" i="4"/>
  <c r="J23" i="4"/>
  <c r="I23" i="4"/>
  <c r="E23" i="4"/>
  <c r="G23" i="4" s="1"/>
  <c r="D23" i="4"/>
  <c r="R22" i="4"/>
  <c r="Q22" i="4"/>
  <c r="P22" i="4"/>
  <c r="N22" i="4"/>
  <c r="M22" i="4"/>
  <c r="O22" i="4" s="1"/>
  <c r="K22" i="4"/>
  <c r="I22" i="4"/>
  <c r="J22" i="4" s="1"/>
  <c r="F22" i="4"/>
  <c r="E22" i="4"/>
  <c r="H22" i="4" s="1"/>
  <c r="D22" i="4"/>
  <c r="Q21" i="4"/>
  <c r="P21" i="4"/>
  <c r="R21" i="4" s="1"/>
  <c r="N21" i="4"/>
  <c r="O21" i="4" s="1"/>
  <c r="M21" i="4"/>
  <c r="K21" i="4"/>
  <c r="I21" i="4"/>
  <c r="J21" i="4" s="1"/>
  <c r="H21" i="4"/>
  <c r="G21" i="4"/>
  <c r="E21" i="4"/>
  <c r="D21" i="4"/>
  <c r="F21" i="4" s="1"/>
  <c r="Q20" i="4"/>
  <c r="R20" i="4" s="1"/>
  <c r="P20" i="4"/>
  <c r="N20" i="4"/>
  <c r="M20" i="4"/>
  <c r="K20" i="4"/>
  <c r="I20" i="4"/>
  <c r="J20" i="4" s="1"/>
  <c r="E20" i="4"/>
  <c r="G20" i="4" s="1"/>
  <c r="D20" i="4"/>
  <c r="R19" i="4"/>
  <c r="Q19" i="4"/>
  <c r="P19" i="4"/>
  <c r="N19" i="4"/>
  <c r="M19" i="4"/>
  <c r="O19" i="4" s="1"/>
  <c r="K19" i="4"/>
  <c r="I19" i="4"/>
  <c r="J19" i="4" s="1"/>
  <c r="G19" i="4"/>
  <c r="F19" i="4"/>
  <c r="E19" i="4"/>
  <c r="H19" i="4" s="1"/>
  <c r="D19" i="4"/>
  <c r="Q18" i="4"/>
  <c r="P18" i="4"/>
  <c r="R18" i="4" s="1"/>
  <c r="N18" i="4"/>
  <c r="O18" i="4" s="1"/>
  <c r="M18" i="4"/>
  <c r="K18" i="4"/>
  <c r="I18" i="4"/>
  <c r="J18" i="4" s="1"/>
  <c r="E18" i="4"/>
  <c r="H18" i="4" s="1"/>
  <c r="D18" i="4"/>
  <c r="F18" i="4" s="1"/>
  <c r="Q17" i="4"/>
  <c r="P17" i="4"/>
  <c r="R17" i="4" s="1"/>
  <c r="N17" i="4"/>
  <c r="M17" i="4"/>
  <c r="O17" i="4" s="1"/>
  <c r="K17" i="4"/>
  <c r="I17" i="4"/>
  <c r="J17" i="4" s="1"/>
  <c r="E17" i="4"/>
  <c r="G17" i="4" s="1"/>
  <c r="D17" i="4"/>
  <c r="H17" i="4" s="1"/>
  <c r="R16" i="4"/>
  <c r="Q16" i="4"/>
  <c r="P16" i="4"/>
  <c r="N16" i="4"/>
  <c r="M16" i="4"/>
  <c r="K16" i="4"/>
  <c r="J16" i="4"/>
  <c r="I16" i="4"/>
  <c r="F16" i="4"/>
  <c r="E16" i="4"/>
  <c r="H16" i="4" s="1"/>
  <c r="D16" i="4"/>
  <c r="Q15" i="4"/>
  <c r="P15" i="4"/>
  <c r="R15" i="4" s="1"/>
  <c r="O15" i="4"/>
  <c r="N15" i="4"/>
  <c r="M15" i="4"/>
  <c r="K15" i="4"/>
  <c r="I15" i="4"/>
  <c r="J15" i="4" s="1"/>
  <c r="H15" i="4"/>
  <c r="G15" i="4"/>
  <c r="E15" i="4"/>
  <c r="D15" i="4"/>
  <c r="F15" i="4" s="1"/>
  <c r="Q14" i="4"/>
  <c r="R14" i="4" s="1"/>
  <c r="P14" i="4"/>
  <c r="N14" i="4"/>
  <c r="M14" i="4"/>
  <c r="O14" i="4" s="1"/>
  <c r="K14" i="4"/>
  <c r="I14" i="4"/>
  <c r="J14" i="4" s="1"/>
  <c r="E14" i="4"/>
  <c r="G14" i="4" s="1"/>
  <c r="D14" i="4"/>
  <c r="H14" i="4" s="1"/>
  <c r="R13" i="4"/>
  <c r="Q13" i="4"/>
  <c r="P13" i="4"/>
  <c r="N13" i="4"/>
  <c r="M13" i="4"/>
  <c r="K13" i="4"/>
  <c r="I13" i="4"/>
  <c r="J13" i="4" s="1"/>
  <c r="H13" i="4"/>
  <c r="F13" i="4"/>
  <c r="E13" i="4"/>
  <c r="G13" i="4" s="1"/>
  <c r="D13" i="4"/>
  <c r="Q12" i="4"/>
  <c r="P12" i="4"/>
  <c r="R12" i="4" s="1"/>
  <c r="N12" i="4"/>
  <c r="M12" i="4"/>
  <c r="K12" i="4"/>
  <c r="I12" i="4"/>
  <c r="J12" i="4" s="1"/>
  <c r="H12" i="4"/>
  <c r="G12" i="4"/>
  <c r="E12" i="4"/>
  <c r="D12" i="4"/>
  <c r="F12" i="4" s="1"/>
  <c r="Q11" i="4"/>
  <c r="P11" i="4"/>
  <c r="R11" i="4" s="1"/>
  <c r="N11" i="4"/>
  <c r="M11" i="4"/>
  <c r="K11" i="4"/>
  <c r="J11" i="4"/>
  <c r="I11" i="4"/>
  <c r="E11" i="4"/>
  <c r="G11" i="4" s="1"/>
  <c r="D11" i="4"/>
  <c r="R10" i="4"/>
  <c r="Q10" i="4"/>
  <c r="P10" i="4"/>
  <c r="N10" i="4"/>
  <c r="M10" i="4"/>
  <c r="O10" i="4" s="1"/>
  <c r="K10" i="4"/>
  <c r="J10" i="4"/>
  <c r="I10" i="4"/>
  <c r="F10" i="4"/>
  <c r="E10" i="4"/>
  <c r="H10" i="4" s="1"/>
  <c r="D10" i="4"/>
  <c r="Q9" i="4"/>
  <c r="P9" i="4"/>
  <c r="R9" i="4" s="1"/>
  <c r="N9" i="4"/>
  <c r="M9" i="4"/>
  <c r="O9" i="4" s="1"/>
  <c r="K9" i="4"/>
  <c r="I9" i="4"/>
  <c r="J9" i="4" s="1"/>
  <c r="E9" i="4"/>
  <c r="H9" i="4" s="1"/>
  <c r="D9" i="4"/>
  <c r="F9" i="4" s="1"/>
  <c r="Q8" i="4"/>
  <c r="R8" i="4" s="1"/>
  <c r="P8" i="4"/>
  <c r="N8" i="4"/>
  <c r="M8" i="4"/>
  <c r="K8" i="4"/>
  <c r="I8" i="4"/>
  <c r="J8" i="4" s="1"/>
  <c r="E8" i="4"/>
  <c r="G8" i="4" s="1"/>
  <c r="D8" i="4"/>
  <c r="R7" i="4"/>
  <c r="Q7" i="4"/>
  <c r="P7" i="4"/>
  <c r="N7" i="4"/>
  <c r="M7" i="4"/>
  <c r="O7" i="4" s="1"/>
  <c r="K7" i="4"/>
  <c r="I7" i="4"/>
  <c r="J7" i="4" s="1"/>
  <c r="F7" i="4"/>
  <c r="E7" i="4"/>
  <c r="H7" i="4" s="1"/>
  <c r="D7" i="4"/>
  <c r="Q6" i="4"/>
  <c r="P6" i="4"/>
  <c r="R6" i="4" s="1"/>
  <c r="N6" i="4"/>
  <c r="M6" i="4"/>
  <c r="K6" i="4"/>
  <c r="I6" i="4"/>
  <c r="J6" i="4" s="1"/>
  <c r="H6" i="4"/>
  <c r="G6" i="4"/>
  <c r="E6" i="4"/>
  <c r="D6" i="4"/>
  <c r="F6" i="4" s="1"/>
  <c r="Q5" i="4"/>
  <c r="P5" i="4"/>
  <c r="R5" i="4" s="1"/>
  <c r="N5" i="4"/>
  <c r="M5" i="4"/>
  <c r="K5" i="4"/>
  <c r="J5" i="4"/>
  <c r="I5" i="4"/>
  <c r="E5" i="4"/>
  <c r="G5" i="4" s="1"/>
  <c r="D5" i="4"/>
  <c r="D375" i="3"/>
  <c r="E366" i="3" s="1"/>
  <c r="G366" i="3" s="1"/>
  <c r="C375" i="3"/>
  <c r="D370" i="3" s="1"/>
  <c r="O372" i="3"/>
  <c r="L371" i="3"/>
  <c r="Q370" i="3"/>
  <c r="P370" i="3"/>
  <c r="N370" i="3"/>
  <c r="M370" i="3"/>
  <c r="K370" i="3"/>
  <c r="I370" i="3"/>
  <c r="J370" i="3" s="1"/>
  <c r="Q369" i="3"/>
  <c r="P369" i="3"/>
  <c r="N369" i="3"/>
  <c r="M369" i="3"/>
  <c r="K369" i="3"/>
  <c r="I369" i="3"/>
  <c r="J369" i="3" s="1"/>
  <c r="Q368" i="3"/>
  <c r="P368" i="3"/>
  <c r="N368" i="3"/>
  <c r="M368" i="3"/>
  <c r="K368" i="3"/>
  <c r="I368" i="3"/>
  <c r="J368" i="3" s="1"/>
  <c r="Q367" i="3"/>
  <c r="P367" i="3"/>
  <c r="N367" i="3"/>
  <c r="M367" i="3"/>
  <c r="K367" i="3"/>
  <c r="I367" i="3"/>
  <c r="J367" i="3" s="1"/>
  <c r="Q366" i="3"/>
  <c r="P366" i="3"/>
  <c r="N366" i="3"/>
  <c r="M366" i="3"/>
  <c r="K366" i="3"/>
  <c r="I366" i="3"/>
  <c r="J366" i="3" s="1"/>
  <c r="Q365" i="3"/>
  <c r="P365" i="3"/>
  <c r="N365" i="3"/>
  <c r="M365" i="3"/>
  <c r="K365" i="3"/>
  <c r="I365" i="3"/>
  <c r="J365" i="3" s="1"/>
  <c r="D365" i="3"/>
  <c r="F365" i="3" s="1"/>
  <c r="Q364" i="3"/>
  <c r="R364" i="3" s="1"/>
  <c r="P364" i="3"/>
  <c r="N364" i="3"/>
  <c r="M364" i="3"/>
  <c r="K364" i="3"/>
  <c r="I364" i="3"/>
  <c r="J364" i="3" s="1"/>
  <c r="Q363" i="3"/>
  <c r="P363" i="3"/>
  <c r="N363" i="3"/>
  <c r="M363" i="3"/>
  <c r="K363" i="3"/>
  <c r="I363" i="3"/>
  <c r="J363" i="3" s="1"/>
  <c r="Q362" i="3"/>
  <c r="P362" i="3"/>
  <c r="N362" i="3"/>
  <c r="M362" i="3"/>
  <c r="K362" i="3"/>
  <c r="I362" i="3"/>
  <c r="J362" i="3" s="1"/>
  <c r="Q361" i="3"/>
  <c r="P361" i="3"/>
  <c r="N361" i="3"/>
  <c r="M361" i="3"/>
  <c r="K361" i="3"/>
  <c r="I361" i="3"/>
  <c r="J361" i="3" s="1"/>
  <c r="Q360" i="3"/>
  <c r="P360" i="3"/>
  <c r="N360" i="3"/>
  <c r="M360" i="3"/>
  <c r="K360" i="3"/>
  <c r="I360" i="3"/>
  <c r="J360" i="3" s="1"/>
  <c r="Q359" i="3"/>
  <c r="P359" i="3"/>
  <c r="N359" i="3"/>
  <c r="M359" i="3"/>
  <c r="K359" i="3"/>
  <c r="I359" i="3"/>
  <c r="J359" i="3" s="1"/>
  <c r="Q358" i="3"/>
  <c r="P358" i="3"/>
  <c r="R358" i="3" s="1"/>
  <c r="N358" i="3"/>
  <c r="M358" i="3"/>
  <c r="K358" i="3"/>
  <c r="I358" i="3"/>
  <c r="J358" i="3" s="1"/>
  <c r="D358" i="3"/>
  <c r="F358" i="3" s="1"/>
  <c r="Q357" i="3"/>
  <c r="P357" i="3"/>
  <c r="N357" i="3"/>
  <c r="M357" i="3"/>
  <c r="K357" i="3"/>
  <c r="I357" i="3"/>
  <c r="J357" i="3" s="1"/>
  <c r="Q356" i="3"/>
  <c r="R356" i="3" s="1"/>
  <c r="P356" i="3"/>
  <c r="N356" i="3"/>
  <c r="M356" i="3"/>
  <c r="K356" i="3"/>
  <c r="I356" i="3"/>
  <c r="J356" i="3" s="1"/>
  <c r="D356" i="3"/>
  <c r="F356" i="3" s="1"/>
  <c r="Q355" i="3"/>
  <c r="P355" i="3"/>
  <c r="N355" i="3"/>
  <c r="M355" i="3"/>
  <c r="K355" i="3"/>
  <c r="I355" i="3"/>
  <c r="J355" i="3" s="1"/>
  <c r="Q354" i="3"/>
  <c r="P354" i="3"/>
  <c r="N354" i="3"/>
  <c r="M354" i="3"/>
  <c r="K354" i="3"/>
  <c r="I354" i="3"/>
  <c r="J354" i="3" s="1"/>
  <c r="D354" i="3"/>
  <c r="F354" i="3" s="1"/>
  <c r="Q353" i="3"/>
  <c r="P353" i="3"/>
  <c r="N353" i="3"/>
  <c r="M353" i="3"/>
  <c r="K353" i="3"/>
  <c r="I353" i="3"/>
  <c r="J353" i="3" s="1"/>
  <c r="E353" i="3"/>
  <c r="G353" i="3" s="1"/>
  <c r="D353" i="3"/>
  <c r="F353" i="3" s="1"/>
  <c r="Q352" i="3"/>
  <c r="P352" i="3"/>
  <c r="N352" i="3"/>
  <c r="M352" i="3"/>
  <c r="K352" i="3"/>
  <c r="I352" i="3"/>
  <c r="J352" i="3" s="1"/>
  <c r="Q351" i="3"/>
  <c r="P351" i="3"/>
  <c r="N351" i="3"/>
  <c r="M351" i="3"/>
  <c r="K351" i="3"/>
  <c r="I351" i="3"/>
  <c r="J351" i="3" s="1"/>
  <c r="D351" i="3"/>
  <c r="F351" i="3" s="1"/>
  <c r="Q350" i="3"/>
  <c r="P350" i="3"/>
  <c r="N350" i="3"/>
  <c r="M350" i="3"/>
  <c r="K350" i="3"/>
  <c r="I350" i="3"/>
  <c r="J350" i="3" s="1"/>
  <c r="D350" i="3"/>
  <c r="F350" i="3" s="1"/>
  <c r="Q349" i="3"/>
  <c r="P349" i="3"/>
  <c r="R349" i="3" s="1"/>
  <c r="N349" i="3"/>
  <c r="M349" i="3"/>
  <c r="K349" i="3"/>
  <c r="I349" i="3"/>
  <c r="J349" i="3" s="1"/>
  <c r="D349" i="3"/>
  <c r="F349" i="3" s="1"/>
  <c r="Q348" i="3"/>
  <c r="P348" i="3"/>
  <c r="N348" i="3"/>
  <c r="M348" i="3"/>
  <c r="K348" i="3"/>
  <c r="I348" i="3"/>
  <c r="J348" i="3" s="1"/>
  <c r="D348" i="3"/>
  <c r="F348" i="3" s="1"/>
  <c r="Q347" i="3"/>
  <c r="P347" i="3"/>
  <c r="R347" i="3" s="1"/>
  <c r="N347" i="3"/>
  <c r="M347" i="3"/>
  <c r="K347" i="3"/>
  <c r="I347" i="3"/>
  <c r="J347" i="3" s="1"/>
  <c r="E347" i="3"/>
  <c r="G347" i="3" s="1"/>
  <c r="Q346" i="3"/>
  <c r="P346" i="3"/>
  <c r="N346" i="3"/>
  <c r="O346" i="3" s="1"/>
  <c r="M346" i="3"/>
  <c r="K346" i="3"/>
  <c r="I346" i="3"/>
  <c r="J346" i="3" s="1"/>
  <c r="F346" i="3"/>
  <c r="D346" i="3"/>
  <c r="Q345" i="3"/>
  <c r="P345" i="3"/>
  <c r="N345" i="3"/>
  <c r="M345" i="3"/>
  <c r="K345" i="3"/>
  <c r="I345" i="3"/>
  <c r="J345" i="3" s="1"/>
  <c r="E345" i="3"/>
  <c r="H345" i="3" s="1"/>
  <c r="D345" i="3"/>
  <c r="F345" i="3" s="1"/>
  <c r="Q344" i="3"/>
  <c r="P344" i="3"/>
  <c r="N344" i="3"/>
  <c r="M344" i="3"/>
  <c r="K344" i="3"/>
  <c r="I344" i="3"/>
  <c r="J344" i="3" s="1"/>
  <c r="F344" i="3"/>
  <c r="E344" i="3"/>
  <c r="G344" i="3" s="1"/>
  <c r="D344" i="3"/>
  <c r="Q343" i="3"/>
  <c r="P343" i="3"/>
  <c r="N343" i="3"/>
  <c r="M343" i="3"/>
  <c r="K343" i="3"/>
  <c r="I343" i="3"/>
  <c r="J343" i="3" s="1"/>
  <c r="E343" i="3"/>
  <c r="G343" i="3" s="1"/>
  <c r="D343" i="3"/>
  <c r="Q342" i="3"/>
  <c r="P342" i="3"/>
  <c r="N342" i="3"/>
  <c r="M342" i="3"/>
  <c r="K342" i="3"/>
  <c r="I342" i="3"/>
  <c r="J342" i="3" s="1"/>
  <c r="E342" i="3"/>
  <c r="G342" i="3" s="1"/>
  <c r="D342" i="3"/>
  <c r="F342" i="3" s="1"/>
  <c r="Q341" i="3"/>
  <c r="P341" i="3"/>
  <c r="R341" i="3" s="1"/>
  <c r="N341" i="3"/>
  <c r="M341" i="3"/>
  <c r="K341" i="3"/>
  <c r="I341" i="3"/>
  <c r="J341" i="3" s="1"/>
  <c r="E341" i="3"/>
  <c r="D341" i="3"/>
  <c r="F341" i="3" s="1"/>
  <c r="Q340" i="3"/>
  <c r="P340" i="3"/>
  <c r="R340" i="3" s="1"/>
  <c r="N340" i="3"/>
  <c r="M340" i="3"/>
  <c r="K340" i="3"/>
  <c r="I340" i="3"/>
  <c r="J340" i="3" s="1"/>
  <c r="E340" i="3"/>
  <c r="G340" i="3" s="1"/>
  <c r="D340" i="3"/>
  <c r="F340" i="3" s="1"/>
  <c r="Q339" i="3"/>
  <c r="P339" i="3"/>
  <c r="R339" i="3" s="1"/>
  <c r="N339" i="3"/>
  <c r="M339" i="3"/>
  <c r="K339" i="3"/>
  <c r="I339" i="3"/>
  <c r="J339" i="3" s="1"/>
  <c r="E339" i="3"/>
  <c r="G339" i="3" s="1"/>
  <c r="D339" i="3"/>
  <c r="F339" i="3" s="1"/>
  <c r="Q338" i="3"/>
  <c r="R338" i="3" s="1"/>
  <c r="P338" i="3"/>
  <c r="N338" i="3"/>
  <c r="M338" i="3"/>
  <c r="K338" i="3"/>
  <c r="I338" i="3"/>
  <c r="J338" i="3" s="1"/>
  <c r="E338" i="3"/>
  <c r="G338" i="3" s="1"/>
  <c r="D338" i="3"/>
  <c r="F338" i="3" s="1"/>
  <c r="Q337" i="3"/>
  <c r="P337" i="3"/>
  <c r="N337" i="3"/>
  <c r="M337" i="3"/>
  <c r="K337" i="3"/>
  <c r="I337" i="3"/>
  <c r="J337" i="3" s="1"/>
  <c r="E337" i="3"/>
  <c r="H337" i="3" s="1"/>
  <c r="D337" i="3"/>
  <c r="F337" i="3" s="1"/>
  <c r="Q336" i="3"/>
  <c r="P336" i="3"/>
  <c r="R336" i="3" s="1"/>
  <c r="N336" i="3"/>
  <c r="M336" i="3"/>
  <c r="K336" i="3"/>
  <c r="I336" i="3"/>
  <c r="J336" i="3" s="1"/>
  <c r="F336" i="3"/>
  <c r="E336" i="3"/>
  <c r="G336" i="3" s="1"/>
  <c r="D336" i="3"/>
  <c r="Q335" i="3"/>
  <c r="P335" i="3"/>
  <c r="N335" i="3"/>
  <c r="M335" i="3"/>
  <c r="K335" i="3"/>
  <c r="I335" i="3"/>
  <c r="J335" i="3" s="1"/>
  <c r="E335" i="3"/>
  <c r="G335" i="3" s="1"/>
  <c r="D335" i="3"/>
  <c r="F335" i="3" s="1"/>
  <c r="R334" i="3"/>
  <c r="Q334" i="3"/>
  <c r="P334" i="3"/>
  <c r="N334" i="3"/>
  <c r="M334" i="3"/>
  <c r="K334" i="3"/>
  <c r="I334" i="3"/>
  <c r="J334" i="3" s="1"/>
  <c r="E334" i="3"/>
  <c r="G334" i="3" s="1"/>
  <c r="D334" i="3"/>
  <c r="F334" i="3" s="1"/>
  <c r="Q333" i="3"/>
  <c r="P333" i="3"/>
  <c r="N333" i="3"/>
  <c r="M333" i="3"/>
  <c r="K333" i="3"/>
  <c r="I333" i="3"/>
  <c r="J333" i="3" s="1"/>
  <c r="E333" i="3"/>
  <c r="G333" i="3" s="1"/>
  <c r="D333" i="3"/>
  <c r="F333" i="3" s="1"/>
  <c r="Q332" i="3"/>
  <c r="P332" i="3"/>
  <c r="R332" i="3" s="1"/>
  <c r="N332" i="3"/>
  <c r="M332" i="3"/>
  <c r="K332" i="3"/>
  <c r="I332" i="3"/>
  <c r="J332" i="3" s="1"/>
  <c r="E332" i="3"/>
  <c r="G332" i="3" s="1"/>
  <c r="D332" i="3"/>
  <c r="F332" i="3" s="1"/>
  <c r="Q331" i="3"/>
  <c r="P331" i="3"/>
  <c r="N331" i="3"/>
  <c r="M331" i="3"/>
  <c r="K331" i="3"/>
  <c r="I331" i="3"/>
  <c r="J331" i="3" s="1"/>
  <c r="E331" i="3"/>
  <c r="G331" i="3" s="1"/>
  <c r="D331" i="3"/>
  <c r="F331" i="3" s="1"/>
  <c r="Q330" i="3"/>
  <c r="R330" i="3" s="1"/>
  <c r="P330" i="3"/>
  <c r="N330" i="3"/>
  <c r="M330" i="3"/>
  <c r="K330" i="3"/>
  <c r="I330" i="3"/>
  <c r="J330" i="3" s="1"/>
  <c r="E330" i="3"/>
  <c r="G330" i="3" s="1"/>
  <c r="D330" i="3"/>
  <c r="F330" i="3" s="1"/>
  <c r="Q329" i="3"/>
  <c r="P329" i="3"/>
  <c r="N329" i="3"/>
  <c r="M329" i="3"/>
  <c r="K329" i="3"/>
  <c r="I329" i="3"/>
  <c r="J329" i="3" s="1"/>
  <c r="E329" i="3"/>
  <c r="G329" i="3" s="1"/>
  <c r="D329" i="3"/>
  <c r="F329" i="3" s="1"/>
  <c r="Q328" i="3"/>
  <c r="P328" i="3"/>
  <c r="R328" i="3" s="1"/>
  <c r="N328" i="3"/>
  <c r="M328" i="3"/>
  <c r="K328" i="3"/>
  <c r="I328" i="3"/>
  <c r="J328" i="3" s="1"/>
  <c r="E328" i="3"/>
  <c r="G328" i="3" s="1"/>
  <c r="D328" i="3"/>
  <c r="Q327" i="3"/>
  <c r="P327" i="3"/>
  <c r="N327" i="3"/>
  <c r="M327" i="3"/>
  <c r="K327" i="3"/>
  <c r="I327" i="3"/>
  <c r="J327" i="3" s="1"/>
  <c r="E327" i="3"/>
  <c r="G327" i="3" s="1"/>
  <c r="D327" i="3"/>
  <c r="F327" i="3" s="1"/>
  <c r="Q326" i="3"/>
  <c r="P326" i="3"/>
  <c r="R326" i="3" s="1"/>
  <c r="N326" i="3"/>
  <c r="M326" i="3"/>
  <c r="K326" i="3"/>
  <c r="I326" i="3"/>
  <c r="J326" i="3" s="1"/>
  <c r="E326" i="3"/>
  <c r="G326" i="3" s="1"/>
  <c r="D326" i="3"/>
  <c r="F326" i="3" s="1"/>
  <c r="Q325" i="3"/>
  <c r="P325" i="3"/>
  <c r="N325" i="3"/>
  <c r="M325" i="3"/>
  <c r="K325" i="3"/>
  <c r="I325" i="3"/>
  <c r="J325" i="3" s="1"/>
  <c r="E325" i="3"/>
  <c r="G325" i="3" s="1"/>
  <c r="D325" i="3"/>
  <c r="F325" i="3" s="1"/>
  <c r="Q324" i="3"/>
  <c r="P324" i="3"/>
  <c r="N324" i="3"/>
  <c r="M324" i="3"/>
  <c r="K324" i="3"/>
  <c r="I324" i="3"/>
  <c r="J324" i="3" s="1"/>
  <c r="E324" i="3"/>
  <c r="G324" i="3" s="1"/>
  <c r="D324" i="3"/>
  <c r="F324" i="3" s="1"/>
  <c r="Q323" i="3"/>
  <c r="P323" i="3"/>
  <c r="N323" i="3"/>
  <c r="M323" i="3"/>
  <c r="K323" i="3"/>
  <c r="I323" i="3"/>
  <c r="J323" i="3" s="1"/>
  <c r="E323" i="3"/>
  <c r="G323" i="3" s="1"/>
  <c r="D323" i="3"/>
  <c r="F323" i="3" s="1"/>
  <c r="Q322" i="3"/>
  <c r="P322" i="3"/>
  <c r="N322" i="3"/>
  <c r="M322" i="3"/>
  <c r="K322" i="3"/>
  <c r="I322" i="3"/>
  <c r="J322" i="3" s="1"/>
  <c r="E322" i="3"/>
  <c r="G322" i="3" s="1"/>
  <c r="D322" i="3"/>
  <c r="F322" i="3" s="1"/>
  <c r="Q321" i="3"/>
  <c r="P321" i="3"/>
  <c r="N321" i="3"/>
  <c r="M321" i="3"/>
  <c r="K321" i="3"/>
  <c r="I321" i="3"/>
  <c r="J321" i="3" s="1"/>
  <c r="G321" i="3"/>
  <c r="E321" i="3"/>
  <c r="D321" i="3"/>
  <c r="F321" i="3" s="1"/>
  <c r="Q320" i="3"/>
  <c r="P320" i="3"/>
  <c r="N320" i="3"/>
  <c r="M320" i="3"/>
  <c r="K320" i="3"/>
  <c r="I320" i="3"/>
  <c r="J320" i="3" s="1"/>
  <c r="F320" i="3"/>
  <c r="E320" i="3"/>
  <c r="G320" i="3" s="1"/>
  <c r="D320" i="3"/>
  <c r="H320" i="3" s="1"/>
  <c r="Q319" i="3"/>
  <c r="P319" i="3"/>
  <c r="N319" i="3"/>
  <c r="M319" i="3"/>
  <c r="K319" i="3"/>
  <c r="I319" i="3"/>
  <c r="J319" i="3" s="1"/>
  <c r="E319" i="3"/>
  <c r="G319" i="3" s="1"/>
  <c r="D319" i="3"/>
  <c r="F319" i="3" s="1"/>
  <c r="Q318" i="3"/>
  <c r="P318" i="3"/>
  <c r="N318" i="3"/>
  <c r="M318" i="3"/>
  <c r="K318" i="3"/>
  <c r="I318" i="3"/>
  <c r="J318" i="3" s="1"/>
  <c r="E318" i="3"/>
  <c r="G318" i="3" s="1"/>
  <c r="D318" i="3"/>
  <c r="F318" i="3" s="1"/>
  <c r="Q317" i="3"/>
  <c r="P317" i="3"/>
  <c r="N317" i="3"/>
  <c r="M317" i="3"/>
  <c r="K317" i="3"/>
  <c r="I317" i="3"/>
  <c r="J317" i="3" s="1"/>
  <c r="E317" i="3"/>
  <c r="G317" i="3" s="1"/>
  <c r="D317" i="3"/>
  <c r="F317" i="3" s="1"/>
  <c r="Q316" i="3"/>
  <c r="P316" i="3"/>
  <c r="N316" i="3"/>
  <c r="M316" i="3"/>
  <c r="K316" i="3"/>
  <c r="I316" i="3"/>
  <c r="J316" i="3" s="1"/>
  <c r="E316" i="3"/>
  <c r="G316" i="3" s="1"/>
  <c r="D316" i="3"/>
  <c r="F316" i="3" s="1"/>
  <c r="Q315" i="3"/>
  <c r="P315" i="3"/>
  <c r="N315" i="3"/>
  <c r="M315" i="3"/>
  <c r="K315" i="3"/>
  <c r="I315" i="3"/>
  <c r="J315" i="3" s="1"/>
  <c r="E315" i="3"/>
  <c r="G315" i="3" s="1"/>
  <c r="D315" i="3"/>
  <c r="F315" i="3" s="1"/>
  <c r="Q314" i="3"/>
  <c r="P314" i="3"/>
  <c r="R314" i="3" s="1"/>
  <c r="N314" i="3"/>
  <c r="M314" i="3"/>
  <c r="K314" i="3"/>
  <c r="I314" i="3"/>
  <c r="J314" i="3" s="1"/>
  <c r="E314" i="3"/>
  <c r="G314" i="3" s="1"/>
  <c r="D314" i="3"/>
  <c r="F314" i="3" s="1"/>
  <c r="Q313" i="3"/>
  <c r="P313" i="3"/>
  <c r="N313" i="3"/>
  <c r="M313" i="3"/>
  <c r="K313" i="3"/>
  <c r="I313" i="3"/>
  <c r="J313" i="3" s="1"/>
  <c r="E313" i="3"/>
  <c r="G313" i="3" s="1"/>
  <c r="D313" i="3"/>
  <c r="F313" i="3" s="1"/>
  <c r="Q312" i="3"/>
  <c r="P312" i="3"/>
  <c r="N312" i="3"/>
  <c r="M312" i="3"/>
  <c r="K312" i="3"/>
  <c r="I312" i="3"/>
  <c r="J312" i="3" s="1"/>
  <c r="F312" i="3"/>
  <c r="E312" i="3"/>
  <c r="G312" i="3" s="1"/>
  <c r="D312" i="3"/>
  <c r="Q311" i="3"/>
  <c r="P311" i="3"/>
  <c r="N311" i="3"/>
  <c r="M311" i="3"/>
  <c r="K311" i="3"/>
  <c r="I311" i="3"/>
  <c r="J311" i="3" s="1"/>
  <c r="E311" i="3"/>
  <c r="G311" i="3" s="1"/>
  <c r="D311" i="3"/>
  <c r="F311" i="3" s="1"/>
  <c r="Q310" i="3"/>
  <c r="P310" i="3"/>
  <c r="R310" i="3" s="1"/>
  <c r="N310" i="3"/>
  <c r="M310" i="3"/>
  <c r="K310" i="3"/>
  <c r="I310" i="3"/>
  <c r="J310" i="3" s="1"/>
  <c r="E310" i="3"/>
  <c r="G310" i="3" s="1"/>
  <c r="D310" i="3"/>
  <c r="F310" i="3" s="1"/>
  <c r="Q309" i="3"/>
  <c r="P309" i="3"/>
  <c r="N309" i="3"/>
  <c r="M309" i="3"/>
  <c r="K309" i="3"/>
  <c r="I309" i="3"/>
  <c r="J309" i="3" s="1"/>
  <c r="G309" i="3"/>
  <c r="E309" i="3"/>
  <c r="D309" i="3"/>
  <c r="F309" i="3" s="1"/>
  <c r="Q308" i="3"/>
  <c r="P308" i="3"/>
  <c r="N308" i="3"/>
  <c r="M308" i="3"/>
  <c r="K308" i="3"/>
  <c r="I308" i="3"/>
  <c r="J308" i="3" s="1"/>
  <c r="E308" i="3"/>
  <c r="G308" i="3" s="1"/>
  <c r="D308" i="3"/>
  <c r="F308" i="3" s="1"/>
  <c r="Q307" i="3"/>
  <c r="P307" i="3"/>
  <c r="N307" i="3"/>
  <c r="M307" i="3"/>
  <c r="K307" i="3"/>
  <c r="I307" i="3"/>
  <c r="J307" i="3" s="1"/>
  <c r="E307" i="3"/>
  <c r="G307" i="3" s="1"/>
  <c r="D307" i="3"/>
  <c r="F307" i="3" s="1"/>
  <c r="Q306" i="3"/>
  <c r="P306" i="3"/>
  <c r="R306" i="3" s="1"/>
  <c r="N306" i="3"/>
  <c r="M306" i="3"/>
  <c r="K306" i="3"/>
  <c r="I306" i="3"/>
  <c r="J306" i="3" s="1"/>
  <c r="E306" i="3"/>
  <c r="G306" i="3" s="1"/>
  <c r="D306" i="3"/>
  <c r="F306" i="3" s="1"/>
  <c r="Q305" i="3"/>
  <c r="P305" i="3"/>
  <c r="N305" i="3"/>
  <c r="M305" i="3"/>
  <c r="K305" i="3"/>
  <c r="I305" i="3"/>
  <c r="J305" i="3" s="1"/>
  <c r="E305" i="3"/>
  <c r="G305" i="3" s="1"/>
  <c r="D305" i="3"/>
  <c r="F305" i="3" s="1"/>
  <c r="Q304" i="3"/>
  <c r="R304" i="3" s="1"/>
  <c r="P304" i="3"/>
  <c r="N304" i="3"/>
  <c r="M304" i="3"/>
  <c r="K304" i="3"/>
  <c r="I304" i="3"/>
  <c r="J304" i="3" s="1"/>
  <c r="E304" i="3"/>
  <c r="G304" i="3" s="1"/>
  <c r="D304" i="3"/>
  <c r="Q303" i="3"/>
  <c r="P303" i="3"/>
  <c r="N303" i="3"/>
  <c r="M303" i="3"/>
  <c r="K303" i="3"/>
  <c r="I303" i="3"/>
  <c r="J303" i="3" s="1"/>
  <c r="E303" i="3"/>
  <c r="G303" i="3" s="1"/>
  <c r="D303" i="3"/>
  <c r="F303" i="3" s="1"/>
  <c r="Q302" i="3"/>
  <c r="P302" i="3"/>
  <c r="N302" i="3"/>
  <c r="M302" i="3"/>
  <c r="K302" i="3"/>
  <c r="I302" i="3"/>
  <c r="J302" i="3" s="1"/>
  <c r="E302" i="3"/>
  <c r="G302" i="3" s="1"/>
  <c r="D302" i="3"/>
  <c r="F302" i="3" s="1"/>
  <c r="Q301" i="3"/>
  <c r="P301" i="3"/>
  <c r="N301" i="3"/>
  <c r="M301" i="3"/>
  <c r="K301" i="3"/>
  <c r="I301" i="3"/>
  <c r="J301" i="3" s="1"/>
  <c r="E301" i="3"/>
  <c r="G301" i="3" s="1"/>
  <c r="D301" i="3"/>
  <c r="F301" i="3" s="1"/>
  <c r="Q300" i="3"/>
  <c r="P300" i="3"/>
  <c r="N300" i="3"/>
  <c r="M300" i="3"/>
  <c r="K300" i="3"/>
  <c r="I300" i="3"/>
  <c r="J300" i="3" s="1"/>
  <c r="E300" i="3"/>
  <c r="G300" i="3" s="1"/>
  <c r="D300" i="3"/>
  <c r="F300" i="3" s="1"/>
  <c r="Q299" i="3"/>
  <c r="P299" i="3"/>
  <c r="N299" i="3"/>
  <c r="M299" i="3"/>
  <c r="K299" i="3"/>
  <c r="I299" i="3"/>
  <c r="J299" i="3" s="1"/>
  <c r="E299" i="3"/>
  <c r="G299" i="3" s="1"/>
  <c r="D299" i="3"/>
  <c r="F299" i="3" s="1"/>
  <c r="Q298" i="3"/>
  <c r="R298" i="3" s="1"/>
  <c r="P298" i="3"/>
  <c r="N298" i="3"/>
  <c r="M298" i="3"/>
  <c r="K298" i="3"/>
  <c r="I298" i="3"/>
  <c r="J298" i="3" s="1"/>
  <c r="E298" i="3"/>
  <c r="G298" i="3" s="1"/>
  <c r="D298" i="3"/>
  <c r="F298" i="3" s="1"/>
  <c r="Q297" i="3"/>
  <c r="P297" i="3"/>
  <c r="N297" i="3"/>
  <c r="M297" i="3"/>
  <c r="K297" i="3"/>
  <c r="I297" i="3"/>
  <c r="J297" i="3" s="1"/>
  <c r="E297" i="3"/>
  <c r="G297" i="3" s="1"/>
  <c r="D297" i="3"/>
  <c r="F297" i="3" s="1"/>
  <c r="Q296" i="3"/>
  <c r="P296" i="3"/>
  <c r="N296" i="3"/>
  <c r="M296" i="3"/>
  <c r="K296" i="3"/>
  <c r="I296" i="3"/>
  <c r="J296" i="3" s="1"/>
  <c r="E296" i="3"/>
  <c r="G296" i="3" s="1"/>
  <c r="D296" i="3"/>
  <c r="F296" i="3" s="1"/>
  <c r="Q295" i="3"/>
  <c r="P295" i="3"/>
  <c r="N295" i="3"/>
  <c r="M295" i="3"/>
  <c r="K295" i="3"/>
  <c r="I295" i="3"/>
  <c r="J295" i="3" s="1"/>
  <c r="E295" i="3"/>
  <c r="G295" i="3" s="1"/>
  <c r="D295" i="3"/>
  <c r="F295" i="3" s="1"/>
  <c r="Q294" i="3"/>
  <c r="P294" i="3"/>
  <c r="R294" i="3" s="1"/>
  <c r="N294" i="3"/>
  <c r="M294" i="3"/>
  <c r="K294" i="3"/>
  <c r="I294" i="3"/>
  <c r="J294" i="3" s="1"/>
  <c r="E294" i="3"/>
  <c r="G294" i="3" s="1"/>
  <c r="D294" i="3"/>
  <c r="F294" i="3" s="1"/>
  <c r="Q293" i="3"/>
  <c r="P293" i="3"/>
  <c r="N293" i="3"/>
  <c r="M293" i="3"/>
  <c r="K293" i="3"/>
  <c r="I293" i="3"/>
  <c r="J293" i="3" s="1"/>
  <c r="G293" i="3"/>
  <c r="E293" i="3"/>
  <c r="D293" i="3"/>
  <c r="F293" i="3" s="1"/>
  <c r="Q292" i="3"/>
  <c r="P292" i="3"/>
  <c r="R292" i="3" s="1"/>
  <c r="N292" i="3"/>
  <c r="M292" i="3"/>
  <c r="K292" i="3"/>
  <c r="I292" i="3"/>
  <c r="J292" i="3" s="1"/>
  <c r="E292" i="3"/>
  <c r="G292" i="3" s="1"/>
  <c r="D292" i="3"/>
  <c r="F292" i="3" s="1"/>
  <c r="Q291" i="3"/>
  <c r="P291" i="3"/>
  <c r="R291" i="3" s="1"/>
  <c r="N291" i="3"/>
  <c r="M291" i="3"/>
  <c r="K291" i="3"/>
  <c r="I291" i="3"/>
  <c r="J291" i="3" s="1"/>
  <c r="E291" i="3"/>
  <c r="G291" i="3" s="1"/>
  <c r="D291" i="3"/>
  <c r="F291" i="3" s="1"/>
  <c r="Q290" i="3"/>
  <c r="P290" i="3"/>
  <c r="R290" i="3" s="1"/>
  <c r="N290" i="3"/>
  <c r="M290" i="3"/>
  <c r="K290" i="3"/>
  <c r="I290" i="3"/>
  <c r="J290" i="3" s="1"/>
  <c r="E290" i="3"/>
  <c r="G290" i="3" s="1"/>
  <c r="D290" i="3"/>
  <c r="F290" i="3" s="1"/>
  <c r="Q289" i="3"/>
  <c r="P289" i="3"/>
  <c r="N289" i="3"/>
  <c r="M289" i="3"/>
  <c r="K289" i="3"/>
  <c r="I289" i="3"/>
  <c r="J289" i="3" s="1"/>
  <c r="E289" i="3"/>
  <c r="G289" i="3" s="1"/>
  <c r="D289" i="3"/>
  <c r="F289" i="3" s="1"/>
  <c r="Q288" i="3"/>
  <c r="P288" i="3"/>
  <c r="N288" i="3"/>
  <c r="M288" i="3"/>
  <c r="K288" i="3"/>
  <c r="I288" i="3"/>
  <c r="J288" i="3" s="1"/>
  <c r="F288" i="3"/>
  <c r="E288" i="3"/>
  <c r="G288" i="3" s="1"/>
  <c r="D288" i="3"/>
  <c r="H288" i="3" s="1"/>
  <c r="Q287" i="3"/>
  <c r="P287" i="3"/>
  <c r="N287" i="3"/>
  <c r="M287" i="3"/>
  <c r="K287" i="3"/>
  <c r="I287" i="3"/>
  <c r="J287" i="3" s="1"/>
  <c r="E287" i="3"/>
  <c r="G287" i="3" s="1"/>
  <c r="D287" i="3"/>
  <c r="F287" i="3" s="1"/>
  <c r="Q286" i="3"/>
  <c r="P286" i="3"/>
  <c r="N286" i="3"/>
  <c r="M286" i="3"/>
  <c r="K286" i="3"/>
  <c r="I286" i="3"/>
  <c r="J286" i="3" s="1"/>
  <c r="E286" i="3"/>
  <c r="G286" i="3" s="1"/>
  <c r="D286" i="3"/>
  <c r="F286" i="3" s="1"/>
  <c r="Q285" i="3"/>
  <c r="P285" i="3"/>
  <c r="N285" i="3"/>
  <c r="M285" i="3"/>
  <c r="K285" i="3"/>
  <c r="I285" i="3"/>
  <c r="J285" i="3" s="1"/>
  <c r="E285" i="3"/>
  <c r="G285" i="3" s="1"/>
  <c r="D285" i="3"/>
  <c r="F285" i="3" s="1"/>
  <c r="Q284" i="3"/>
  <c r="P284" i="3"/>
  <c r="N284" i="3"/>
  <c r="M284" i="3"/>
  <c r="K284" i="3"/>
  <c r="I284" i="3"/>
  <c r="J284" i="3" s="1"/>
  <c r="E284" i="3"/>
  <c r="G284" i="3" s="1"/>
  <c r="D284" i="3"/>
  <c r="F284" i="3" s="1"/>
  <c r="Q283" i="3"/>
  <c r="P283" i="3"/>
  <c r="N283" i="3"/>
  <c r="M283" i="3"/>
  <c r="K283" i="3"/>
  <c r="I283" i="3"/>
  <c r="J283" i="3" s="1"/>
  <c r="E283" i="3"/>
  <c r="G283" i="3" s="1"/>
  <c r="D283" i="3"/>
  <c r="F283" i="3" s="1"/>
  <c r="Q282" i="3"/>
  <c r="P282" i="3"/>
  <c r="N282" i="3"/>
  <c r="M282" i="3"/>
  <c r="K282" i="3"/>
  <c r="I282" i="3"/>
  <c r="J282" i="3" s="1"/>
  <c r="E282" i="3"/>
  <c r="G282" i="3" s="1"/>
  <c r="D282" i="3"/>
  <c r="Q281" i="3"/>
  <c r="P281" i="3"/>
  <c r="N281" i="3"/>
  <c r="M281" i="3"/>
  <c r="K281" i="3"/>
  <c r="I281" i="3"/>
  <c r="J281" i="3" s="1"/>
  <c r="E281" i="3"/>
  <c r="G281" i="3" s="1"/>
  <c r="D281" i="3"/>
  <c r="F281" i="3" s="1"/>
  <c r="Q280" i="3"/>
  <c r="P280" i="3"/>
  <c r="N280" i="3"/>
  <c r="M280" i="3"/>
  <c r="K280" i="3"/>
  <c r="I280" i="3"/>
  <c r="J280" i="3" s="1"/>
  <c r="E280" i="3"/>
  <c r="G280" i="3" s="1"/>
  <c r="D280" i="3"/>
  <c r="F280" i="3" s="1"/>
  <c r="Q279" i="3"/>
  <c r="P279" i="3"/>
  <c r="N279" i="3"/>
  <c r="M279" i="3"/>
  <c r="K279" i="3"/>
  <c r="I279" i="3"/>
  <c r="J279" i="3" s="1"/>
  <c r="E279" i="3"/>
  <c r="G279" i="3" s="1"/>
  <c r="D279" i="3"/>
  <c r="F279" i="3" s="1"/>
  <c r="Q278" i="3"/>
  <c r="P278" i="3"/>
  <c r="R278" i="3" s="1"/>
  <c r="N278" i="3"/>
  <c r="M278" i="3"/>
  <c r="K278" i="3"/>
  <c r="I278" i="3"/>
  <c r="J278" i="3" s="1"/>
  <c r="E278" i="3"/>
  <c r="G278" i="3" s="1"/>
  <c r="D278" i="3"/>
  <c r="F278" i="3" s="1"/>
  <c r="Q277" i="3"/>
  <c r="P277" i="3"/>
  <c r="N277" i="3"/>
  <c r="M277" i="3"/>
  <c r="K277" i="3"/>
  <c r="I277" i="3"/>
  <c r="J277" i="3" s="1"/>
  <c r="E277" i="3"/>
  <c r="G277" i="3" s="1"/>
  <c r="D277" i="3"/>
  <c r="Q276" i="3"/>
  <c r="P276" i="3"/>
  <c r="N276" i="3"/>
  <c r="M276" i="3"/>
  <c r="K276" i="3"/>
  <c r="I276" i="3"/>
  <c r="J276" i="3" s="1"/>
  <c r="E276" i="3"/>
  <c r="G276" i="3" s="1"/>
  <c r="D276" i="3"/>
  <c r="F276" i="3" s="1"/>
  <c r="Q275" i="3"/>
  <c r="P275" i="3"/>
  <c r="N275" i="3"/>
  <c r="M275" i="3"/>
  <c r="K275" i="3"/>
  <c r="I275" i="3"/>
  <c r="J275" i="3" s="1"/>
  <c r="E275" i="3"/>
  <c r="D275" i="3"/>
  <c r="F275" i="3" s="1"/>
  <c r="Q274" i="3"/>
  <c r="P274" i="3"/>
  <c r="N274" i="3"/>
  <c r="M274" i="3"/>
  <c r="K274" i="3"/>
  <c r="I274" i="3"/>
  <c r="J274" i="3" s="1"/>
  <c r="E274" i="3"/>
  <c r="G274" i="3" s="1"/>
  <c r="D274" i="3"/>
  <c r="F274" i="3" s="1"/>
  <c r="Q273" i="3"/>
  <c r="R273" i="3" s="1"/>
  <c r="P273" i="3"/>
  <c r="N273" i="3"/>
  <c r="M273" i="3"/>
  <c r="K273" i="3"/>
  <c r="I273" i="3"/>
  <c r="J273" i="3" s="1"/>
  <c r="E273" i="3"/>
  <c r="G273" i="3" s="1"/>
  <c r="D273" i="3"/>
  <c r="Q272" i="3"/>
  <c r="P272" i="3"/>
  <c r="N272" i="3"/>
  <c r="M272" i="3"/>
  <c r="K272" i="3"/>
  <c r="I272" i="3"/>
  <c r="J272" i="3" s="1"/>
  <c r="E272" i="3"/>
  <c r="G272" i="3" s="1"/>
  <c r="D272" i="3"/>
  <c r="F272" i="3" s="1"/>
  <c r="Q271" i="3"/>
  <c r="P271" i="3"/>
  <c r="N271" i="3"/>
  <c r="M271" i="3"/>
  <c r="K271" i="3"/>
  <c r="I271" i="3"/>
  <c r="J271" i="3" s="1"/>
  <c r="E271" i="3"/>
  <c r="G271" i="3" s="1"/>
  <c r="D271" i="3"/>
  <c r="F271" i="3" s="1"/>
  <c r="Q270" i="3"/>
  <c r="P270" i="3"/>
  <c r="N270" i="3"/>
  <c r="M270" i="3"/>
  <c r="K270" i="3"/>
  <c r="I270" i="3"/>
  <c r="J270" i="3" s="1"/>
  <c r="E270" i="3"/>
  <c r="G270" i="3" s="1"/>
  <c r="D270" i="3"/>
  <c r="Q269" i="3"/>
  <c r="P269" i="3"/>
  <c r="N269" i="3"/>
  <c r="M269" i="3"/>
  <c r="K269" i="3"/>
  <c r="I269" i="3"/>
  <c r="J269" i="3" s="1"/>
  <c r="E269" i="3"/>
  <c r="G269" i="3" s="1"/>
  <c r="D269" i="3"/>
  <c r="Q268" i="3"/>
  <c r="P268" i="3"/>
  <c r="N268" i="3"/>
  <c r="M268" i="3"/>
  <c r="K268" i="3"/>
  <c r="I268" i="3"/>
  <c r="J268" i="3" s="1"/>
  <c r="E268" i="3"/>
  <c r="G268" i="3" s="1"/>
  <c r="D268" i="3"/>
  <c r="F268" i="3" s="1"/>
  <c r="Q267" i="3"/>
  <c r="P267" i="3"/>
  <c r="N267" i="3"/>
  <c r="M267" i="3"/>
  <c r="K267" i="3"/>
  <c r="I267" i="3"/>
  <c r="J267" i="3" s="1"/>
  <c r="E267" i="3"/>
  <c r="G267" i="3" s="1"/>
  <c r="D267" i="3"/>
  <c r="F267" i="3" s="1"/>
  <c r="Q266" i="3"/>
  <c r="P266" i="3"/>
  <c r="N266" i="3"/>
  <c r="M266" i="3"/>
  <c r="K266" i="3"/>
  <c r="I266" i="3"/>
  <c r="J266" i="3" s="1"/>
  <c r="G266" i="3"/>
  <c r="E266" i="3"/>
  <c r="D266" i="3"/>
  <c r="F266" i="3" s="1"/>
  <c r="Q265" i="3"/>
  <c r="P265" i="3"/>
  <c r="N265" i="3"/>
  <c r="M265" i="3"/>
  <c r="K265" i="3"/>
  <c r="I265" i="3"/>
  <c r="J265" i="3" s="1"/>
  <c r="E265" i="3"/>
  <c r="G265" i="3" s="1"/>
  <c r="D265" i="3"/>
  <c r="Q264" i="3"/>
  <c r="P264" i="3"/>
  <c r="N264" i="3"/>
  <c r="M264" i="3"/>
  <c r="K264" i="3"/>
  <c r="I264" i="3"/>
  <c r="J264" i="3" s="1"/>
  <c r="E264" i="3"/>
  <c r="G264" i="3" s="1"/>
  <c r="D264" i="3"/>
  <c r="F264" i="3" s="1"/>
  <c r="Q263" i="3"/>
  <c r="P263" i="3"/>
  <c r="N263" i="3"/>
  <c r="M263" i="3"/>
  <c r="K263" i="3"/>
  <c r="I263" i="3"/>
  <c r="J263" i="3" s="1"/>
  <c r="E263" i="3"/>
  <c r="G263" i="3" s="1"/>
  <c r="D263" i="3"/>
  <c r="F263" i="3" s="1"/>
  <c r="Q262" i="3"/>
  <c r="P262" i="3"/>
  <c r="N262" i="3"/>
  <c r="M262" i="3"/>
  <c r="K262" i="3"/>
  <c r="I262" i="3"/>
  <c r="J262" i="3" s="1"/>
  <c r="E262" i="3"/>
  <c r="G262" i="3" s="1"/>
  <c r="D262" i="3"/>
  <c r="F262" i="3" s="1"/>
  <c r="Q261" i="3"/>
  <c r="P261" i="3"/>
  <c r="N261" i="3"/>
  <c r="M261" i="3"/>
  <c r="K261" i="3"/>
  <c r="I261" i="3"/>
  <c r="J261" i="3" s="1"/>
  <c r="E261" i="3"/>
  <c r="G261" i="3" s="1"/>
  <c r="D261" i="3"/>
  <c r="F261" i="3" s="1"/>
  <c r="Q260" i="3"/>
  <c r="P260" i="3"/>
  <c r="N260" i="3"/>
  <c r="M260" i="3"/>
  <c r="K260" i="3"/>
  <c r="I260" i="3"/>
  <c r="J260" i="3" s="1"/>
  <c r="E260" i="3"/>
  <c r="G260" i="3" s="1"/>
  <c r="D260" i="3"/>
  <c r="F260" i="3" s="1"/>
  <c r="Q259" i="3"/>
  <c r="P259" i="3"/>
  <c r="N259" i="3"/>
  <c r="M259" i="3"/>
  <c r="K259" i="3"/>
  <c r="I259" i="3"/>
  <c r="J259" i="3" s="1"/>
  <c r="E259" i="3"/>
  <c r="G259" i="3" s="1"/>
  <c r="D259" i="3"/>
  <c r="Q258" i="3"/>
  <c r="P258" i="3"/>
  <c r="N258" i="3"/>
  <c r="M258" i="3"/>
  <c r="K258" i="3"/>
  <c r="I258" i="3"/>
  <c r="J258" i="3" s="1"/>
  <c r="E258" i="3"/>
  <c r="G258" i="3" s="1"/>
  <c r="D258" i="3"/>
  <c r="F258" i="3" s="1"/>
  <c r="Q257" i="3"/>
  <c r="P257" i="3"/>
  <c r="N257" i="3"/>
  <c r="M257" i="3"/>
  <c r="K257" i="3"/>
  <c r="I257" i="3"/>
  <c r="J257" i="3" s="1"/>
  <c r="E257" i="3"/>
  <c r="G257" i="3" s="1"/>
  <c r="D257" i="3"/>
  <c r="F257" i="3" s="1"/>
  <c r="Q256" i="3"/>
  <c r="P256" i="3"/>
  <c r="N256" i="3"/>
  <c r="M256" i="3"/>
  <c r="K256" i="3"/>
  <c r="I256" i="3"/>
  <c r="J256" i="3" s="1"/>
  <c r="E256" i="3"/>
  <c r="G256" i="3" s="1"/>
  <c r="D256" i="3"/>
  <c r="F256" i="3" s="1"/>
  <c r="Q255" i="3"/>
  <c r="P255" i="3"/>
  <c r="N255" i="3"/>
  <c r="M255" i="3"/>
  <c r="K255" i="3"/>
  <c r="I255" i="3"/>
  <c r="J255" i="3" s="1"/>
  <c r="E255" i="3"/>
  <c r="D255" i="3"/>
  <c r="F255" i="3" s="1"/>
  <c r="Q254" i="3"/>
  <c r="P254" i="3"/>
  <c r="N254" i="3"/>
  <c r="M254" i="3"/>
  <c r="K254" i="3"/>
  <c r="I254" i="3"/>
  <c r="J254" i="3" s="1"/>
  <c r="E254" i="3"/>
  <c r="G254" i="3" s="1"/>
  <c r="D254" i="3"/>
  <c r="Q253" i="3"/>
  <c r="P253" i="3"/>
  <c r="N253" i="3"/>
  <c r="M253" i="3"/>
  <c r="K253" i="3"/>
  <c r="I253" i="3"/>
  <c r="J253" i="3" s="1"/>
  <c r="G253" i="3"/>
  <c r="E253" i="3"/>
  <c r="D253" i="3"/>
  <c r="Q252" i="3"/>
  <c r="P252" i="3"/>
  <c r="N252" i="3"/>
  <c r="M252" i="3"/>
  <c r="K252" i="3"/>
  <c r="I252" i="3"/>
  <c r="J252" i="3" s="1"/>
  <c r="E252" i="3"/>
  <c r="G252" i="3" s="1"/>
  <c r="D252" i="3"/>
  <c r="F252" i="3" s="1"/>
  <c r="Q251" i="3"/>
  <c r="P251" i="3"/>
  <c r="N251" i="3"/>
  <c r="M251" i="3"/>
  <c r="K251" i="3"/>
  <c r="I251" i="3"/>
  <c r="J251" i="3" s="1"/>
  <c r="E251" i="3"/>
  <c r="D251" i="3"/>
  <c r="F251" i="3" s="1"/>
  <c r="Q250" i="3"/>
  <c r="R250" i="3" s="1"/>
  <c r="P250" i="3"/>
  <c r="N250" i="3"/>
  <c r="M250" i="3"/>
  <c r="K250" i="3"/>
  <c r="I250" i="3"/>
  <c r="J250" i="3" s="1"/>
  <c r="E250" i="3"/>
  <c r="G250" i="3" s="1"/>
  <c r="D250" i="3"/>
  <c r="Q249" i="3"/>
  <c r="P249" i="3"/>
  <c r="N249" i="3"/>
  <c r="M249" i="3"/>
  <c r="O249" i="3" s="1"/>
  <c r="K249" i="3"/>
  <c r="I249" i="3"/>
  <c r="J249" i="3" s="1"/>
  <c r="E249" i="3"/>
  <c r="D249" i="3"/>
  <c r="F249" i="3" s="1"/>
  <c r="Q248" i="3"/>
  <c r="P248" i="3"/>
  <c r="N248" i="3"/>
  <c r="M248" i="3"/>
  <c r="K248" i="3"/>
  <c r="I248" i="3"/>
  <c r="J248" i="3" s="1"/>
  <c r="F248" i="3"/>
  <c r="E248" i="3"/>
  <c r="G248" i="3" s="1"/>
  <c r="D248" i="3"/>
  <c r="Q247" i="3"/>
  <c r="P247" i="3"/>
  <c r="N247" i="3"/>
  <c r="M247" i="3"/>
  <c r="K247" i="3"/>
  <c r="I247" i="3"/>
  <c r="J247" i="3" s="1"/>
  <c r="E247" i="3"/>
  <c r="D247" i="3"/>
  <c r="F247" i="3" s="1"/>
  <c r="Q246" i="3"/>
  <c r="P246" i="3"/>
  <c r="N246" i="3"/>
  <c r="M246" i="3"/>
  <c r="K246" i="3"/>
  <c r="I246" i="3"/>
  <c r="J246" i="3" s="1"/>
  <c r="E246" i="3"/>
  <c r="G246" i="3" s="1"/>
  <c r="D246" i="3"/>
  <c r="Q245" i="3"/>
  <c r="P245" i="3"/>
  <c r="N245" i="3"/>
  <c r="M245" i="3"/>
  <c r="K245" i="3"/>
  <c r="I245" i="3"/>
  <c r="J245" i="3" s="1"/>
  <c r="E245" i="3"/>
  <c r="G245" i="3" s="1"/>
  <c r="D245" i="3"/>
  <c r="F245" i="3" s="1"/>
  <c r="Q244" i="3"/>
  <c r="P244" i="3"/>
  <c r="N244" i="3"/>
  <c r="M244" i="3"/>
  <c r="K244" i="3"/>
  <c r="I244" i="3"/>
  <c r="J244" i="3" s="1"/>
  <c r="E244" i="3"/>
  <c r="G244" i="3" s="1"/>
  <c r="D244" i="3"/>
  <c r="F244" i="3" s="1"/>
  <c r="Q243" i="3"/>
  <c r="P243" i="3"/>
  <c r="N243" i="3"/>
  <c r="M243" i="3"/>
  <c r="K243" i="3"/>
  <c r="I243" i="3"/>
  <c r="J243" i="3" s="1"/>
  <c r="E243" i="3"/>
  <c r="D243" i="3"/>
  <c r="F243" i="3" s="1"/>
  <c r="Q242" i="3"/>
  <c r="R242" i="3" s="1"/>
  <c r="P242" i="3"/>
  <c r="N242" i="3"/>
  <c r="M242" i="3"/>
  <c r="K242" i="3"/>
  <c r="I242" i="3"/>
  <c r="J242" i="3" s="1"/>
  <c r="E242" i="3"/>
  <c r="G242" i="3" s="1"/>
  <c r="D242" i="3"/>
  <c r="Q241" i="3"/>
  <c r="P241" i="3"/>
  <c r="N241" i="3"/>
  <c r="M241" i="3"/>
  <c r="K241" i="3"/>
  <c r="I241" i="3"/>
  <c r="J241" i="3" s="1"/>
  <c r="E241" i="3"/>
  <c r="G241" i="3" s="1"/>
  <c r="D241" i="3"/>
  <c r="F241" i="3" s="1"/>
  <c r="Q240" i="3"/>
  <c r="P240" i="3"/>
  <c r="N240" i="3"/>
  <c r="M240" i="3"/>
  <c r="K240" i="3"/>
  <c r="I240" i="3"/>
  <c r="J240" i="3" s="1"/>
  <c r="E240" i="3"/>
  <c r="G240" i="3" s="1"/>
  <c r="D240" i="3"/>
  <c r="F240" i="3" s="1"/>
  <c r="Q239" i="3"/>
  <c r="P239" i="3"/>
  <c r="N239" i="3"/>
  <c r="M239" i="3"/>
  <c r="K239" i="3"/>
  <c r="I239" i="3"/>
  <c r="J239" i="3" s="1"/>
  <c r="E239" i="3"/>
  <c r="D239" i="3"/>
  <c r="F239" i="3" s="1"/>
  <c r="Q238" i="3"/>
  <c r="P238" i="3"/>
  <c r="N238" i="3"/>
  <c r="M238" i="3"/>
  <c r="K238" i="3"/>
  <c r="I238" i="3"/>
  <c r="J238" i="3" s="1"/>
  <c r="E238" i="3"/>
  <c r="G238" i="3" s="1"/>
  <c r="D238" i="3"/>
  <c r="Q237" i="3"/>
  <c r="P237" i="3"/>
  <c r="N237" i="3"/>
  <c r="M237" i="3"/>
  <c r="K237" i="3"/>
  <c r="I237" i="3"/>
  <c r="J237" i="3" s="1"/>
  <c r="E237" i="3"/>
  <c r="G237" i="3" s="1"/>
  <c r="D237" i="3"/>
  <c r="Q236" i="3"/>
  <c r="P236" i="3"/>
  <c r="N236" i="3"/>
  <c r="M236" i="3"/>
  <c r="K236" i="3"/>
  <c r="I236" i="3"/>
  <c r="J236" i="3" s="1"/>
  <c r="E236" i="3"/>
  <c r="G236" i="3" s="1"/>
  <c r="D236" i="3"/>
  <c r="F236" i="3" s="1"/>
  <c r="Q235" i="3"/>
  <c r="P235" i="3"/>
  <c r="N235" i="3"/>
  <c r="M235" i="3"/>
  <c r="K235" i="3"/>
  <c r="J235" i="3"/>
  <c r="I235" i="3"/>
  <c r="E235" i="3"/>
  <c r="G235" i="3" s="1"/>
  <c r="D235" i="3"/>
  <c r="Q234" i="3"/>
  <c r="P234" i="3"/>
  <c r="R234" i="3" s="1"/>
  <c r="N234" i="3"/>
  <c r="M234" i="3"/>
  <c r="K234" i="3"/>
  <c r="I234" i="3"/>
  <c r="J234" i="3" s="1"/>
  <c r="E234" i="3"/>
  <c r="G234" i="3" s="1"/>
  <c r="D234" i="3"/>
  <c r="F234" i="3" s="1"/>
  <c r="Q233" i="3"/>
  <c r="P233" i="3"/>
  <c r="N233" i="3"/>
  <c r="M233" i="3"/>
  <c r="K233" i="3"/>
  <c r="I233" i="3"/>
  <c r="J233" i="3" s="1"/>
  <c r="G233" i="3"/>
  <c r="E233" i="3"/>
  <c r="D233" i="3"/>
  <c r="F233" i="3" s="1"/>
  <c r="Q232" i="3"/>
  <c r="P232" i="3"/>
  <c r="N232" i="3"/>
  <c r="M232" i="3"/>
  <c r="K232" i="3"/>
  <c r="I232" i="3"/>
  <c r="J232" i="3" s="1"/>
  <c r="E232" i="3"/>
  <c r="G232" i="3" s="1"/>
  <c r="D232" i="3"/>
  <c r="H232" i="3" s="1"/>
  <c r="Q231" i="3"/>
  <c r="P231" i="3"/>
  <c r="N231" i="3"/>
  <c r="M231" i="3"/>
  <c r="K231" i="3"/>
  <c r="I231" i="3"/>
  <c r="J231" i="3" s="1"/>
  <c r="E231" i="3"/>
  <c r="G231" i="3" s="1"/>
  <c r="D231" i="3"/>
  <c r="F231" i="3" s="1"/>
  <c r="Q230" i="3"/>
  <c r="P230" i="3"/>
  <c r="R230" i="3" s="1"/>
  <c r="N230" i="3"/>
  <c r="M230" i="3"/>
  <c r="K230" i="3"/>
  <c r="I230" i="3"/>
  <c r="J230" i="3" s="1"/>
  <c r="E230" i="3"/>
  <c r="G230" i="3" s="1"/>
  <c r="D230" i="3"/>
  <c r="F230" i="3" s="1"/>
  <c r="Q229" i="3"/>
  <c r="P229" i="3"/>
  <c r="N229" i="3"/>
  <c r="M229" i="3"/>
  <c r="K229" i="3"/>
  <c r="I229" i="3"/>
  <c r="J229" i="3" s="1"/>
  <c r="E229" i="3"/>
  <c r="G229" i="3" s="1"/>
  <c r="D229" i="3"/>
  <c r="Q228" i="3"/>
  <c r="P228" i="3"/>
  <c r="N228" i="3"/>
  <c r="M228" i="3"/>
  <c r="K228" i="3"/>
  <c r="I228" i="3"/>
  <c r="J228" i="3" s="1"/>
  <c r="E228" i="3"/>
  <c r="G228" i="3" s="1"/>
  <c r="D228" i="3"/>
  <c r="F228" i="3" s="1"/>
  <c r="Q227" i="3"/>
  <c r="P227" i="3"/>
  <c r="N227" i="3"/>
  <c r="M227" i="3"/>
  <c r="K227" i="3"/>
  <c r="I227" i="3"/>
  <c r="J227" i="3" s="1"/>
  <c r="E227" i="3"/>
  <c r="G227" i="3" s="1"/>
  <c r="D227" i="3"/>
  <c r="F227" i="3" s="1"/>
  <c r="Q226" i="3"/>
  <c r="P226" i="3"/>
  <c r="N226" i="3"/>
  <c r="M226" i="3"/>
  <c r="K226" i="3"/>
  <c r="I226" i="3"/>
  <c r="J226" i="3" s="1"/>
  <c r="F226" i="3"/>
  <c r="E226" i="3"/>
  <c r="G226" i="3" s="1"/>
  <c r="D226" i="3"/>
  <c r="Q225" i="3"/>
  <c r="P225" i="3"/>
  <c r="N225" i="3"/>
  <c r="M225" i="3"/>
  <c r="K225" i="3"/>
  <c r="I225" i="3"/>
  <c r="J225" i="3" s="1"/>
  <c r="E225" i="3"/>
  <c r="G225" i="3" s="1"/>
  <c r="D225" i="3"/>
  <c r="F225" i="3" s="1"/>
  <c r="Q224" i="3"/>
  <c r="P224" i="3"/>
  <c r="N224" i="3"/>
  <c r="M224" i="3"/>
  <c r="K224" i="3"/>
  <c r="I224" i="3"/>
  <c r="J224" i="3" s="1"/>
  <c r="E224" i="3"/>
  <c r="D224" i="3"/>
  <c r="F224" i="3" s="1"/>
  <c r="Q223" i="3"/>
  <c r="P223" i="3"/>
  <c r="N223" i="3"/>
  <c r="M223" i="3"/>
  <c r="K223" i="3"/>
  <c r="I223" i="3"/>
  <c r="J223" i="3" s="1"/>
  <c r="E223" i="3"/>
  <c r="G223" i="3" s="1"/>
  <c r="D223" i="3"/>
  <c r="F223" i="3" s="1"/>
  <c r="Q222" i="3"/>
  <c r="R222" i="3" s="1"/>
  <c r="P222" i="3"/>
  <c r="N222" i="3"/>
  <c r="M222" i="3"/>
  <c r="K222" i="3"/>
  <c r="I222" i="3"/>
  <c r="J222" i="3" s="1"/>
  <c r="E222" i="3"/>
  <c r="G222" i="3" s="1"/>
  <c r="D222" i="3"/>
  <c r="F222" i="3" s="1"/>
  <c r="Q221" i="3"/>
  <c r="P221" i="3"/>
  <c r="N221" i="3"/>
  <c r="M221" i="3"/>
  <c r="K221" i="3"/>
  <c r="I221" i="3"/>
  <c r="J221" i="3" s="1"/>
  <c r="E221" i="3"/>
  <c r="G221" i="3" s="1"/>
  <c r="D221" i="3"/>
  <c r="F221" i="3" s="1"/>
  <c r="Q220" i="3"/>
  <c r="P220" i="3"/>
  <c r="N220" i="3"/>
  <c r="M220" i="3"/>
  <c r="K220" i="3"/>
  <c r="I220" i="3"/>
  <c r="J220" i="3" s="1"/>
  <c r="E220" i="3"/>
  <c r="G220" i="3" s="1"/>
  <c r="D220" i="3"/>
  <c r="Q219" i="3"/>
  <c r="P219" i="3"/>
  <c r="N219" i="3"/>
  <c r="M219" i="3"/>
  <c r="K219" i="3"/>
  <c r="I219" i="3"/>
  <c r="J219" i="3" s="1"/>
  <c r="F219" i="3"/>
  <c r="E219" i="3"/>
  <c r="G219" i="3" s="1"/>
  <c r="D219" i="3"/>
  <c r="Q218" i="3"/>
  <c r="P218" i="3"/>
  <c r="N218" i="3"/>
  <c r="M218" i="3"/>
  <c r="K218" i="3"/>
  <c r="I218" i="3"/>
  <c r="J218" i="3" s="1"/>
  <c r="E218" i="3"/>
  <c r="G218" i="3" s="1"/>
  <c r="D218" i="3"/>
  <c r="F218" i="3" s="1"/>
  <c r="Q217" i="3"/>
  <c r="P217" i="3"/>
  <c r="N217" i="3"/>
  <c r="M217" i="3"/>
  <c r="K217" i="3"/>
  <c r="I217" i="3"/>
  <c r="J217" i="3" s="1"/>
  <c r="E217" i="3"/>
  <c r="G217" i="3" s="1"/>
  <c r="D217" i="3"/>
  <c r="F217" i="3" s="1"/>
  <c r="Q216" i="3"/>
  <c r="P216" i="3"/>
  <c r="N216" i="3"/>
  <c r="M216" i="3"/>
  <c r="K216" i="3"/>
  <c r="I216" i="3"/>
  <c r="J216" i="3" s="1"/>
  <c r="E216" i="3"/>
  <c r="G216" i="3" s="1"/>
  <c r="D216" i="3"/>
  <c r="F216" i="3" s="1"/>
  <c r="Q215" i="3"/>
  <c r="P215" i="3"/>
  <c r="N215" i="3"/>
  <c r="M215" i="3"/>
  <c r="K215" i="3"/>
  <c r="I215" i="3"/>
  <c r="J215" i="3" s="1"/>
  <c r="F215" i="3"/>
  <c r="E215" i="3"/>
  <c r="G215" i="3" s="1"/>
  <c r="D215" i="3"/>
  <c r="Q214" i="3"/>
  <c r="P214" i="3"/>
  <c r="N214" i="3"/>
  <c r="M214" i="3"/>
  <c r="K214" i="3"/>
  <c r="J214" i="3"/>
  <c r="I214" i="3"/>
  <c r="E214" i="3"/>
  <c r="G214" i="3" s="1"/>
  <c r="D214" i="3"/>
  <c r="F214" i="3" s="1"/>
  <c r="Q213" i="3"/>
  <c r="P213" i="3"/>
  <c r="N213" i="3"/>
  <c r="M213" i="3"/>
  <c r="K213" i="3"/>
  <c r="I213" i="3"/>
  <c r="J213" i="3" s="1"/>
  <c r="E213" i="3"/>
  <c r="G213" i="3" s="1"/>
  <c r="D213" i="3"/>
  <c r="Q212" i="3"/>
  <c r="P212" i="3"/>
  <c r="N212" i="3"/>
  <c r="M212" i="3"/>
  <c r="K212" i="3"/>
  <c r="I212" i="3"/>
  <c r="J212" i="3" s="1"/>
  <c r="E212" i="3"/>
  <c r="D212" i="3"/>
  <c r="F212" i="3" s="1"/>
  <c r="Q211" i="3"/>
  <c r="P211" i="3"/>
  <c r="N211" i="3"/>
  <c r="M211" i="3"/>
  <c r="K211" i="3"/>
  <c r="I211" i="3"/>
  <c r="J211" i="3" s="1"/>
  <c r="E211" i="3"/>
  <c r="G211" i="3" s="1"/>
  <c r="D211" i="3"/>
  <c r="F211" i="3" s="1"/>
  <c r="Q210" i="3"/>
  <c r="P210" i="3"/>
  <c r="N210" i="3"/>
  <c r="M210" i="3"/>
  <c r="K210" i="3"/>
  <c r="I210" i="3"/>
  <c r="J210" i="3" s="1"/>
  <c r="E210" i="3"/>
  <c r="G210" i="3" s="1"/>
  <c r="D210" i="3"/>
  <c r="F210" i="3" s="1"/>
  <c r="Q209" i="3"/>
  <c r="P209" i="3"/>
  <c r="N209" i="3"/>
  <c r="M209" i="3"/>
  <c r="K209" i="3"/>
  <c r="I209" i="3"/>
  <c r="J209" i="3" s="1"/>
  <c r="E209" i="3"/>
  <c r="G209" i="3" s="1"/>
  <c r="D209" i="3"/>
  <c r="F209" i="3" s="1"/>
  <c r="Q208" i="3"/>
  <c r="P208" i="3"/>
  <c r="N208" i="3"/>
  <c r="M208" i="3"/>
  <c r="K208" i="3"/>
  <c r="I208" i="3"/>
  <c r="J208" i="3" s="1"/>
  <c r="E208" i="3"/>
  <c r="G208" i="3" s="1"/>
  <c r="D208" i="3"/>
  <c r="F208" i="3" s="1"/>
  <c r="Q207" i="3"/>
  <c r="P207" i="3"/>
  <c r="N207" i="3"/>
  <c r="M207" i="3"/>
  <c r="K207" i="3"/>
  <c r="I207" i="3"/>
  <c r="J207" i="3" s="1"/>
  <c r="F207" i="3"/>
  <c r="E207" i="3"/>
  <c r="G207" i="3" s="1"/>
  <c r="D207" i="3"/>
  <c r="Q206" i="3"/>
  <c r="P206" i="3"/>
  <c r="N206" i="3"/>
  <c r="M206" i="3"/>
  <c r="K206" i="3"/>
  <c r="I206" i="3"/>
  <c r="J206" i="3" s="1"/>
  <c r="E206" i="3"/>
  <c r="G206" i="3" s="1"/>
  <c r="D206" i="3"/>
  <c r="F206" i="3" s="1"/>
  <c r="Q205" i="3"/>
  <c r="P205" i="3"/>
  <c r="R205" i="3" s="1"/>
  <c r="N205" i="3"/>
  <c r="M205" i="3"/>
  <c r="K205" i="3"/>
  <c r="I205" i="3"/>
  <c r="J205" i="3" s="1"/>
  <c r="E205" i="3"/>
  <c r="G205" i="3" s="1"/>
  <c r="D205" i="3"/>
  <c r="F205" i="3" s="1"/>
  <c r="Q204" i="3"/>
  <c r="P204" i="3"/>
  <c r="N204" i="3"/>
  <c r="M204" i="3"/>
  <c r="K204" i="3"/>
  <c r="I204" i="3"/>
  <c r="J204" i="3" s="1"/>
  <c r="H204" i="3"/>
  <c r="E204" i="3"/>
  <c r="G204" i="3" s="1"/>
  <c r="D204" i="3"/>
  <c r="F204" i="3" s="1"/>
  <c r="Q203" i="3"/>
  <c r="P203" i="3"/>
  <c r="N203" i="3"/>
  <c r="M203" i="3"/>
  <c r="K203" i="3"/>
  <c r="I203" i="3"/>
  <c r="J203" i="3" s="1"/>
  <c r="E203" i="3"/>
  <c r="G203" i="3" s="1"/>
  <c r="D203" i="3"/>
  <c r="Q202" i="3"/>
  <c r="R202" i="3" s="1"/>
  <c r="P202" i="3"/>
  <c r="N202" i="3"/>
  <c r="M202" i="3"/>
  <c r="K202" i="3"/>
  <c r="I202" i="3"/>
  <c r="J202" i="3" s="1"/>
  <c r="E202" i="3"/>
  <c r="G202" i="3" s="1"/>
  <c r="D202" i="3"/>
  <c r="F202" i="3" s="1"/>
  <c r="Q201" i="3"/>
  <c r="P201" i="3"/>
  <c r="N201" i="3"/>
  <c r="M201" i="3"/>
  <c r="K201" i="3"/>
  <c r="I201" i="3"/>
  <c r="J201" i="3" s="1"/>
  <c r="E201" i="3"/>
  <c r="G201" i="3" s="1"/>
  <c r="D201" i="3"/>
  <c r="F201" i="3" s="1"/>
  <c r="Q200" i="3"/>
  <c r="P200" i="3"/>
  <c r="N200" i="3"/>
  <c r="M200" i="3"/>
  <c r="K200" i="3"/>
  <c r="I200" i="3"/>
  <c r="J200" i="3" s="1"/>
  <c r="E200" i="3"/>
  <c r="G200" i="3" s="1"/>
  <c r="D200" i="3"/>
  <c r="F200" i="3" s="1"/>
  <c r="Q199" i="3"/>
  <c r="P199" i="3"/>
  <c r="N199" i="3"/>
  <c r="M199" i="3"/>
  <c r="K199" i="3"/>
  <c r="I199" i="3"/>
  <c r="J199" i="3" s="1"/>
  <c r="E199" i="3"/>
  <c r="G199" i="3" s="1"/>
  <c r="D199" i="3"/>
  <c r="F199" i="3" s="1"/>
  <c r="Q198" i="3"/>
  <c r="P198" i="3"/>
  <c r="N198" i="3"/>
  <c r="M198" i="3"/>
  <c r="K198" i="3"/>
  <c r="I198" i="3"/>
  <c r="J198" i="3" s="1"/>
  <c r="E198" i="3"/>
  <c r="G198" i="3" s="1"/>
  <c r="D198" i="3"/>
  <c r="F198" i="3" s="1"/>
  <c r="Q197" i="3"/>
  <c r="P197" i="3"/>
  <c r="N197" i="3"/>
  <c r="M197" i="3"/>
  <c r="K197" i="3"/>
  <c r="I197" i="3"/>
  <c r="J197" i="3" s="1"/>
  <c r="G197" i="3"/>
  <c r="E197" i="3"/>
  <c r="D197" i="3"/>
  <c r="Q196" i="3"/>
  <c r="P196" i="3"/>
  <c r="N196" i="3"/>
  <c r="M196" i="3"/>
  <c r="K196" i="3"/>
  <c r="I196" i="3"/>
  <c r="J196" i="3" s="1"/>
  <c r="E196" i="3"/>
  <c r="D196" i="3"/>
  <c r="F196" i="3" s="1"/>
  <c r="Q195" i="3"/>
  <c r="P195" i="3"/>
  <c r="N195" i="3"/>
  <c r="M195" i="3"/>
  <c r="K195" i="3"/>
  <c r="I195" i="3"/>
  <c r="J195" i="3" s="1"/>
  <c r="E195" i="3"/>
  <c r="G195" i="3" s="1"/>
  <c r="D195" i="3"/>
  <c r="F195" i="3" s="1"/>
  <c r="Q194" i="3"/>
  <c r="P194" i="3"/>
  <c r="N194" i="3"/>
  <c r="M194" i="3"/>
  <c r="K194" i="3"/>
  <c r="I194" i="3"/>
  <c r="J194" i="3" s="1"/>
  <c r="E194" i="3"/>
  <c r="G194" i="3" s="1"/>
  <c r="D194" i="3"/>
  <c r="F194" i="3" s="1"/>
  <c r="Q193" i="3"/>
  <c r="P193" i="3"/>
  <c r="N193" i="3"/>
  <c r="M193" i="3"/>
  <c r="K193" i="3"/>
  <c r="I193" i="3"/>
  <c r="J193" i="3" s="1"/>
  <c r="E193" i="3"/>
  <c r="G193" i="3" s="1"/>
  <c r="D193" i="3"/>
  <c r="F193" i="3" s="1"/>
  <c r="Q192" i="3"/>
  <c r="P192" i="3"/>
  <c r="N192" i="3"/>
  <c r="M192" i="3"/>
  <c r="K192" i="3"/>
  <c r="I192" i="3"/>
  <c r="J192" i="3" s="1"/>
  <c r="E192" i="3"/>
  <c r="G192" i="3" s="1"/>
  <c r="D192" i="3"/>
  <c r="F192" i="3" s="1"/>
  <c r="Q191" i="3"/>
  <c r="P191" i="3"/>
  <c r="N191" i="3"/>
  <c r="M191" i="3"/>
  <c r="K191" i="3"/>
  <c r="I191" i="3"/>
  <c r="J191" i="3" s="1"/>
  <c r="E191" i="3"/>
  <c r="G191" i="3" s="1"/>
  <c r="D191" i="3"/>
  <c r="F191" i="3" s="1"/>
  <c r="Q190" i="3"/>
  <c r="P190" i="3"/>
  <c r="N190" i="3"/>
  <c r="M190" i="3"/>
  <c r="K190" i="3"/>
  <c r="I190" i="3"/>
  <c r="J190" i="3" s="1"/>
  <c r="E190" i="3"/>
  <c r="G190" i="3" s="1"/>
  <c r="D190" i="3"/>
  <c r="F190" i="3" s="1"/>
  <c r="Q189" i="3"/>
  <c r="P189" i="3"/>
  <c r="N189" i="3"/>
  <c r="M189" i="3"/>
  <c r="K189" i="3"/>
  <c r="I189" i="3"/>
  <c r="J189" i="3" s="1"/>
  <c r="E189" i="3"/>
  <c r="G189" i="3" s="1"/>
  <c r="D189" i="3"/>
  <c r="F189" i="3" s="1"/>
  <c r="Q188" i="3"/>
  <c r="P188" i="3"/>
  <c r="N188" i="3"/>
  <c r="M188" i="3"/>
  <c r="K188" i="3"/>
  <c r="I188" i="3"/>
  <c r="J188" i="3" s="1"/>
  <c r="E188" i="3"/>
  <c r="G188" i="3" s="1"/>
  <c r="D188" i="3"/>
  <c r="F188" i="3" s="1"/>
  <c r="Q187" i="3"/>
  <c r="P187" i="3"/>
  <c r="R187" i="3" s="1"/>
  <c r="N187" i="3"/>
  <c r="M187" i="3"/>
  <c r="K187" i="3"/>
  <c r="I187" i="3"/>
  <c r="J187" i="3" s="1"/>
  <c r="E187" i="3"/>
  <c r="G187" i="3" s="1"/>
  <c r="D187" i="3"/>
  <c r="Q186" i="3"/>
  <c r="R186" i="3" s="1"/>
  <c r="P186" i="3"/>
  <c r="N186" i="3"/>
  <c r="M186" i="3"/>
  <c r="K186" i="3"/>
  <c r="J186" i="3"/>
  <c r="I186" i="3"/>
  <c r="E186" i="3"/>
  <c r="G186" i="3" s="1"/>
  <c r="D186" i="3"/>
  <c r="F186" i="3" s="1"/>
  <c r="Q185" i="3"/>
  <c r="P185" i="3"/>
  <c r="N185" i="3"/>
  <c r="M185" i="3"/>
  <c r="K185" i="3"/>
  <c r="I185" i="3"/>
  <c r="J185" i="3" s="1"/>
  <c r="E185" i="3"/>
  <c r="G185" i="3" s="1"/>
  <c r="D185" i="3"/>
  <c r="H185" i="3" s="1"/>
  <c r="Q184" i="3"/>
  <c r="P184" i="3"/>
  <c r="N184" i="3"/>
  <c r="M184" i="3"/>
  <c r="K184" i="3"/>
  <c r="I184" i="3"/>
  <c r="J184" i="3" s="1"/>
  <c r="E184" i="3"/>
  <c r="G184" i="3" s="1"/>
  <c r="D184" i="3"/>
  <c r="F184" i="3" s="1"/>
  <c r="Q183" i="3"/>
  <c r="P183" i="3"/>
  <c r="N183" i="3"/>
  <c r="M183" i="3"/>
  <c r="K183" i="3"/>
  <c r="I183" i="3"/>
  <c r="J183" i="3" s="1"/>
  <c r="E183" i="3"/>
  <c r="G183" i="3" s="1"/>
  <c r="D183" i="3"/>
  <c r="F183" i="3" s="1"/>
  <c r="Q182" i="3"/>
  <c r="P182" i="3"/>
  <c r="N182" i="3"/>
  <c r="M182" i="3"/>
  <c r="K182" i="3"/>
  <c r="I182" i="3"/>
  <c r="J182" i="3" s="1"/>
  <c r="E182" i="3"/>
  <c r="G182" i="3" s="1"/>
  <c r="D182" i="3"/>
  <c r="F182" i="3" s="1"/>
  <c r="Q181" i="3"/>
  <c r="P181" i="3"/>
  <c r="N181" i="3"/>
  <c r="M181" i="3"/>
  <c r="K181" i="3"/>
  <c r="I181" i="3"/>
  <c r="J181" i="3" s="1"/>
  <c r="E181" i="3"/>
  <c r="G181" i="3" s="1"/>
  <c r="D181" i="3"/>
  <c r="Q180" i="3"/>
  <c r="P180" i="3"/>
  <c r="N180" i="3"/>
  <c r="M180" i="3"/>
  <c r="K180" i="3"/>
  <c r="I180" i="3"/>
  <c r="J180" i="3" s="1"/>
  <c r="E180" i="3"/>
  <c r="D180" i="3"/>
  <c r="F180" i="3" s="1"/>
  <c r="Q179" i="3"/>
  <c r="P179" i="3"/>
  <c r="N179" i="3"/>
  <c r="M179" i="3"/>
  <c r="K179" i="3"/>
  <c r="I179" i="3"/>
  <c r="J179" i="3" s="1"/>
  <c r="E179" i="3"/>
  <c r="G179" i="3" s="1"/>
  <c r="D179" i="3"/>
  <c r="F179" i="3" s="1"/>
  <c r="Q178" i="3"/>
  <c r="P178" i="3"/>
  <c r="N178" i="3"/>
  <c r="M178" i="3"/>
  <c r="K178" i="3"/>
  <c r="I178" i="3"/>
  <c r="J178" i="3" s="1"/>
  <c r="E178" i="3"/>
  <c r="G178" i="3" s="1"/>
  <c r="D178" i="3"/>
  <c r="F178" i="3" s="1"/>
  <c r="Q177" i="3"/>
  <c r="P177" i="3"/>
  <c r="N177" i="3"/>
  <c r="M177" i="3"/>
  <c r="K177" i="3"/>
  <c r="I177" i="3"/>
  <c r="J177" i="3" s="1"/>
  <c r="E177" i="3"/>
  <c r="G177" i="3" s="1"/>
  <c r="D177" i="3"/>
  <c r="F177" i="3" s="1"/>
  <c r="Q176" i="3"/>
  <c r="P176" i="3"/>
  <c r="N176" i="3"/>
  <c r="M176" i="3"/>
  <c r="K176" i="3"/>
  <c r="I176" i="3"/>
  <c r="J176" i="3" s="1"/>
  <c r="E176" i="3"/>
  <c r="G176" i="3" s="1"/>
  <c r="D176" i="3"/>
  <c r="F176" i="3" s="1"/>
  <c r="Q175" i="3"/>
  <c r="P175" i="3"/>
  <c r="N175" i="3"/>
  <c r="M175" i="3"/>
  <c r="K175" i="3"/>
  <c r="I175" i="3"/>
  <c r="J175" i="3" s="1"/>
  <c r="E175" i="3"/>
  <c r="G175" i="3" s="1"/>
  <c r="D175" i="3"/>
  <c r="F175" i="3" s="1"/>
  <c r="Q174" i="3"/>
  <c r="P174" i="3"/>
  <c r="N174" i="3"/>
  <c r="M174" i="3"/>
  <c r="K174" i="3"/>
  <c r="I174" i="3"/>
  <c r="J174" i="3" s="1"/>
  <c r="E174" i="3"/>
  <c r="G174" i="3" s="1"/>
  <c r="D174" i="3"/>
  <c r="F174" i="3" s="1"/>
  <c r="Q173" i="3"/>
  <c r="P173" i="3"/>
  <c r="N173" i="3"/>
  <c r="M173" i="3"/>
  <c r="K173" i="3"/>
  <c r="I173" i="3"/>
  <c r="J173" i="3" s="1"/>
  <c r="E173" i="3"/>
  <c r="G173" i="3" s="1"/>
  <c r="D173" i="3"/>
  <c r="F173" i="3" s="1"/>
  <c r="Q172" i="3"/>
  <c r="P172" i="3"/>
  <c r="N172" i="3"/>
  <c r="M172" i="3"/>
  <c r="K172" i="3"/>
  <c r="I172" i="3"/>
  <c r="J172" i="3" s="1"/>
  <c r="E172" i="3"/>
  <c r="G172" i="3" s="1"/>
  <c r="D172" i="3"/>
  <c r="F172" i="3" s="1"/>
  <c r="Q171" i="3"/>
  <c r="P171" i="3"/>
  <c r="N171" i="3"/>
  <c r="M171" i="3"/>
  <c r="K171" i="3"/>
  <c r="I171" i="3"/>
  <c r="J171" i="3" s="1"/>
  <c r="E171" i="3"/>
  <c r="G171" i="3" s="1"/>
  <c r="D171" i="3"/>
  <c r="Q170" i="3"/>
  <c r="R170" i="3" s="1"/>
  <c r="P170" i="3"/>
  <c r="N170" i="3"/>
  <c r="M170" i="3"/>
  <c r="K170" i="3"/>
  <c r="I170" i="3"/>
  <c r="J170" i="3" s="1"/>
  <c r="E170" i="3"/>
  <c r="G170" i="3" s="1"/>
  <c r="D170" i="3"/>
  <c r="F170" i="3" s="1"/>
  <c r="Q169" i="3"/>
  <c r="P169" i="3"/>
  <c r="N169" i="3"/>
  <c r="M169" i="3"/>
  <c r="K169" i="3"/>
  <c r="I169" i="3"/>
  <c r="J169" i="3" s="1"/>
  <c r="E169" i="3"/>
  <c r="G169" i="3" s="1"/>
  <c r="D169" i="3"/>
  <c r="Q168" i="3"/>
  <c r="R168" i="3" s="1"/>
  <c r="P168" i="3"/>
  <c r="N168" i="3"/>
  <c r="M168" i="3"/>
  <c r="K168" i="3"/>
  <c r="I168" i="3"/>
  <c r="J168" i="3" s="1"/>
  <c r="E168" i="3"/>
  <c r="G168" i="3" s="1"/>
  <c r="D168" i="3"/>
  <c r="F168" i="3" s="1"/>
  <c r="Q167" i="3"/>
  <c r="P167" i="3"/>
  <c r="N167" i="3"/>
  <c r="M167" i="3"/>
  <c r="K167" i="3"/>
  <c r="I167" i="3"/>
  <c r="J167" i="3" s="1"/>
  <c r="G167" i="3"/>
  <c r="E167" i="3"/>
  <c r="D167" i="3"/>
  <c r="F167" i="3" s="1"/>
  <c r="Q166" i="3"/>
  <c r="P166" i="3"/>
  <c r="N166" i="3"/>
  <c r="M166" i="3"/>
  <c r="K166" i="3"/>
  <c r="I166" i="3"/>
  <c r="J166" i="3" s="1"/>
  <c r="E166" i="3"/>
  <c r="G166" i="3" s="1"/>
  <c r="D166" i="3"/>
  <c r="F166" i="3" s="1"/>
  <c r="Q165" i="3"/>
  <c r="P165" i="3"/>
  <c r="N165" i="3"/>
  <c r="M165" i="3"/>
  <c r="K165" i="3"/>
  <c r="I165" i="3"/>
  <c r="J165" i="3" s="1"/>
  <c r="E165" i="3"/>
  <c r="G165" i="3" s="1"/>
  <c r="D165" i="3"/>
  <c r="Q164" i="3"/>
  <c r="P164" i="3"/>
  <c r="N164" i="3"/>
  <c r="M164" i="3"/>
  <c r="K164" i="3"/>
  <c r="I164" i="3"/>
  <c r="J164" i="3" s="1"/>
  <c r="E164" i="3"/>
  <c r="D164" i="3"/>
  <c r="F164" i="3" s="1"/>
  <c r="Q163" i="3"/>
  <c r="P163" i="3"/>
  <c r="N163" i="3"/>
  <c r="M163" i="3"/>
  <c r="K163" i="3"/>
  <c r="I163" i="3"/>
  <c r="J163" i="3" s="1"/>
  <c r="E163" i="3"/>
  <c r="G163" i="3" s="1"/>
  <c r="D163" i="3"/>
  <c r="F163" i="3" s="1"/>
  <c r="Q162" i="3"/>
  <c r="P162" i="3"/>
  <c r="N162" i="3"/>
  <c r="M162" i="3"/>
  <c r="K162" i="3"/>
  <c r="I162" i="3"/>
  <c r="J162" i="3" s="1"/>
  <c r="E162" i="3"/>
  <c r="G162" i="3" s="1"/>
  <c r="D162" i="3"/>
  <c r="F162" i="3" s="1"/>
  <c r="Q161" i="3"/>
  <c r="P161" i="3"/>
  <c r="N161" i="3"/>
  <c r="M161" i="3"/>
  <c r="K161" i="3"/>
  <c r="I161" i="3"/>
  <c r="J161" i="3" s="1"/>
  <c r="E161" i="3"/>
  <c r="G161" i="3" s="1"/>
  <c r="D161" i="3"/>
  <c r="F161" i="3" s="1"/>
  <c r="Q160" i="3"/>
  <c r="P160" i="3"/>
  <c r="N160" i="3"/>
  <c r="M160" i="3"/>
  <c r="K160" i="3"/>
  <c r="I160" i="3"/>
  <c r="J160" i="3" s="1"/>
  <c r="E160" i="3"/>
  <c r="G160" i="3" s="1"/>
  <c r="D160" i="3"/>
  <c r="F160" i="3" s="1"/>
  <c r="Q159" i="3"/>
  <c r="P159" i="3"/>
  <c r="N159" i="3"/>
  <c r="M159" i="3"/>
  <c r="K159" i="3"/>
  <c r="I159" i="3"/>
  <c r="J159" i="3" s="1"/>
  <c r="E159" i="3"/>
  <c r="G159" i="3" s="1"/>
  <c r="D159" i="3"/>
  <c r="F159" i="3" s="1"/>
  <c r="Q158" i="3"/>
  <c r="P158" i="3"/>
  <c r="N158" i="3"/>
  <c r="M158" i="3"/>
  <c r="K158" i="3"/>
  <c r="I158" i="3"/>
  <c r="J158" i="3" s="1"/>
  <c r="E158" i="3"/>
  <c r="G158" i="3" s="1"/>
  <c r="D158" i="3"/>
  <c r="F158" i="3" s="1"/>
  <c r="Q157" i="3"/>
  <c r="P157" i="3"/>
  <c r="N157" i="3"/>
  <c r="M157" i="3"/>
  <c r="K157" i="3"/>
  <c r="I157" i="3"/>
  <c r="J157" i="3" s="1"/>
  <c r="F157" i="3"/>
  <c r="E157" i="3"/>
  <c r="G157" i="3" s="1"/>
  <c r="D157" i="3"/>
  <c r="Q156" i="3"/>
  <c r="P156" i="3"/>
  <c r="N156" i="3"/>
  <c r="M156" i="3"/>
  <c r="K156" i="3"/>
  <c r="I156" i="3"/>
  <c r="J156" i="3" s="1"/>
  <c r="E156" i="3"/>
  <c r="G156" i="3" s="1"/>
  <c r="D156" i="3"/>
  <c r="F156" i="3" s="1"/>
  <c r="Q155" i="3"/>
  <c r="P155" i="3"/>
  <c r="N155" i="3"/>
  <c r="M155" i="3"/>
  <c r="K155" i="3"/>
  <c r="I155" i="3"/>
  <c r="J155" i="3" s="1"/>
  <c r="E155" i="3"/>
  <c r="G155" i="3" s="1"/>
  <c r="D155" i="3"/>
  <c r="F155" i="3" s="1"/>
  <c r="Q154" i="3"/>
  <c r="R154" i="3" s="1"/>
  <c r="P154" i="3"/>
  <c r="N154" i="3"/>
  <c r="M154" i="3"/>
  <c r="K154" i="3"/>
  <c r="I154" i="3"/>
  <c r="J154" i="3" s="1"/>
  <c r="E154" i="3"/>
  <c r="G154" i="3" s="1"/>
  <c r="D154" i="3"/>
  <c r="F154" i="3" s="1"/>
  <c r="Q153" i="3"/>
  <c r="P153" i="3"/>
  <c r="N153" i="3"/>
  <c r="M153" i="3"/>
  <c r="K153" i="3"/>
  <c r="I153" i="3"/>
  <c r="J153" i="3" s="1"/>
  <c r="E153" i="3"/>
  <c r="G153" i="3" s="1"/>
  <c r="D153" i="3"/>
  <c r="Q152" i="3"/>
  <c r="P152" i="3"/>
  <c r="N152" i="3"/>
  <c r="M152" i="3"/>
  <c r="K152" i="3"/>
  <c r="I152" i="3"/>
  <c r="J152" i="3" s="1"/>
  <c r="E152" i="3"/>
  <c r="G152" i="3" s="1"/>
  <c r="D152" i="3"/>
  <c r="F152" i="3" s="1"/>
  <c r="Q151" i="3"/>
  <c r="P151" i="3"/>
  <c r="N151" i="3"/>
  <c r="M151" i="3"/>
  <c r="K151" i="3"/>
  <c r="I151" i="3"/>
  <c r="J151" i="3" s="1"/>
  <c r="E151" i="3"/>
  <c r="G151" i="3" s="1"/>
  <c r="D151" i="3"/>
  <c r="F151" i="3" s="1"/>
  <c r="Q150" i="3"/>
  <c r="P150" i="3"/>
  <c r="N150" i="3"/>
  <c r="M150" i="3"/>
  <c r="K150" i="3"/>
  <c r="I150" i="3"/>
  <c r="J150" i="3" s="1"/>
  <c r="E150" i="3"/>
  <c r="G150" i="3" s="1"/>
  <c r="D150" i="3"/>
  <c r="F150" i="3" s="1"/>
  <c r="Q149" i="3"/>
  <c r="P149" i="3"/>
  <c r="N149" i="3"/>
  <c r="M149" i="3"/>
  <c r="K149" i="3"/>
  <c r="I149" i="3"/>
  <c r="J149" i="3" s="1"/>
  <c r="E149" i="3"/>
  <c r="G149" i="3" s="1"/>
  <c r="D149" i="3"/>
  <c r="F149" i="3" s="1"/>
  <c r="Q148" i="3"/>
  <c r="P148" i="3"/>
  <c r="N148" i="3"/>
  <c r="M148" i="3"/>
  <c r="K148" i="3"/>
  <c r="I148" i="3"/>
  <c r="J148" i="3" s="1"/>
  <c r="E148" i="3"/>
  <c r="D148" i="3"/>
  <c r="F148" i="3" s="1"/>
  <c r="Q147" i="3"/>
  <c r="P147" i="3"/>
  <c r="O147" i="3"/>
  <c r="N147" i="3"/>
  <c r="M147" i="3"/>
  <c r="K147" i="3"/>
  <c r="J147" i="3"/>
  <c r="I147" i="3"/>
  <c r="E147" i="3"/>
  <c r="G147" i="3" s="1"/>
  <c r="D147" i="3"/>
  <c r="F147" i="3" s="1"/>
  <c r="Q146" i="3"/>
  <c r="R146" i="3" s="1"/>
  <c r="P146" i="3"/>
  <c r="N146" i="3"/>
  <c r="M146" i="3"/>
  <c r="K146" i="3"/>
  <c r="I146" i="3"/>
  <c r="J146" i="3" s="1"/>
  <c r="E146" i="3"/>
  <c r="G146" i="3" s="1"/>
  <c r="D146" i="3"/>
  <c r="F146" i="3" s="1"/>
  <c r="Q145" i="3"/>
  <c r="P145" i="3"/>
  <c r="N145" i="3"/>
  <c r="M145" i="3"/>
  <c r="K145" i="3"/>
  <c r="I145" i="3"/>
  <c r="J145" i="3" s="1"/>
  <c r="E145" i="3"/>
  <c r="G145" i="3" s="1"/>
  <c r="D145" i="3"/>
  <c r="F145" i="3" s="1"/>
  <c r="Q144" i="3"/>
  <c r="R144" i="3" s="1"/>
  <c r="P144" i="3"/>
  <c r="N144" i="3"/>
  <c r="M144" i="3"/>
  <c r="K144" i="3"/>
  <c r="I144" i="3"/>
  <c r="J144" i="3" s="1"/>
  <c r="E144" i="3"/>
  <c r="G144" i="3" s="1"/>
  <c r="D144" i="3"/>
  <c r="F144" i="3" s="1"/>
  <c r="Q143" i="3"/>
  <c r="P143" i="3"/>
  <c r="N143" i="3"/>
  <c r="M143" i="3"/>
  <c r="K143" i="3"/>
  <c r="I143" i="3"/>
  <c r="J143" i="3" s="1"/>
  <c r="G143" i="3"/>
  <c r="E143" i="3"/>
  <c r="D143" i="3"/>
  <c r="Q142" i="3"/>
  <c r="R142" i="3" s="1"/>
  <c r="P142" i="3"/>
  <c r="N142" i="3"/>
  <c r="M142" i="3"/>
  <c r="K142" i="3"/>
  <c r="I142" i="3"/>
  <c r="J142" i="3" s="1"/>
  <c r="E142" i="3"/>
  <c r="G142" i="3" s="1"/>
  <c r="D142" i="3"/>
  <c r="F142" i="3" s="1"/>
  <c r="Q141" i="3"/>
  <c r="P141" i="3"/>
  <c r="N141" i="3"/>
  <c r="M141" i="3"/>
  <c r="O141" i="3" s="1"/>
  <c r="K141" i="3"/>
  <c r="I141" i="3"/>
  <c r="J141" i="3" s="1"/>
  <c r="E141" i="3"/>
  <c r="G141" i="3" s="1"/>
  <c r="D141" i="3"/>
  <c r="F141" i="3" s="1"/>
  <c r="Q140" i="3"/>
  <c r="P140" i="3"/>
  <c r="N140" i="3"/>
  <c r="M140" i="3"/>
  <c r="K140" i="3"/>
  <c r="I140" i="3"/>
  <c r="J140" i="3" s="1"/>
  <c r="E140" i="3"/>
  <c r="G140" i="3" s="1"/>
  <c r="D140" i="3"/>
  <c r="Q139" i="3"/>
  <c r="P139" i="3"/>
  <c r="N139" i="3"/>
  <c r="M139" i="3"/>
  <c r="K139" i="3"/>
  <c r="I139" i="3"/>
  <c r="J139" i="3" s="1"/>
  <c r="F139" i="3"/>
  <c r="E139" i="3"/>
  <c r="G139" i="3" s="1"/>
  <c r="D139" i="3"/>
  <c r="Q138" i="3"/>
  <c r="P138" i="3"/>
  <c r="N138" i="3"/>
  <c r="M138" i="3"/>
  <c r="K138" i="3"/>
  <c r="I138" i="3"/>
  <c r="J138" i="3" s="1"/>
  <c r="E138" i="3"/>
  <c r="G138" i="3" s="1"/>
  <c r="D138" i="3"/>
  <c r="F138" i="3" s="1"/>
  <c r="Q137" i="3"/>
  <c r="P137" i="3"/>
  <c r="N137" i="3"/>
  <c r="O137" i="3" s="1"/>
  <c r="M137" i="3"/>
  <c r="K137" i="3"/>
  <c r="I137" i="3"/>
  <c r="J137" i="3" s="1"/>
  <c r="E137" i="3"/>
  <c r="G137" i="3" s="1"/>
  <c r="D137" i="3"/>
  <c r="Q136" i="3"/>
  <c r="P136" i="3"/>
  <c r="N136" i="3"/>
  <c r="M136" i="3"/>
  <c r="K136" i="3"/>
  <c r="I136" i="3"/>
  <c r="J136" i="3" s="1"/>
  <c r="E136" i="3"/>
  <c r="G136" i="3" s="1"/>
  <c r="D136" i="3"/>
  <c r="Q135" i="3"/>
  <c r="P135" i="3"/>
  <c r="N135" i="3"/>
  <c r="M135" i="3"/>
  <c r="K135" i="3"/>
  <c r="I135" i="3"/>
  <c r="J135" i="3" s="1"/>
  <c r="E135" i="3"/>
  <c r="G135" i="3" s="1"/>
  <c r="D135" i="3"/>
  <c r="F135" i="3" s="1"/>
  <c r="Q134" i="3"/>
  <c r="P134" i="3"/>
  <c r="N134" i="3"/>
  <c r="M134" i="3"/>
  <c r="K134" i="3"/>
  <c r="I134" i="3"/>
  <c r="J134" i="3" s="1"/>
  <c r="E134" i="3"/>
  <c r="G134" i="3" s="1"/>
  <c r="D134" i="3"/>
  <c r="F134" i="3" s="1"/>
  <c r="Q133" i="3"/>
  <c r="P133" i="3"/>
  <c r="N133" i="3"/>
  <c r="M133" i="3"/>
  <c r="K133" i="3"/>
  <c r="I133" i="3"/>
  <c r="J133" i="3" s="1"/>
  <c r="F133" i="3"/>
  <c r="E133" i="3"/>
  <c r="G133" i="3" s="1"/>
  <c r="D133" i="3"/>
  <c r="Q132" i="3"/>
  <c r="P132" i="3"/>
  <c r="N132" i="3"/>
  <c r="M132" i="3"/>
  <c r="K132" i="3"/>
  <c r="I132" i="3"/>
  <c r="J132" i="3" s="1"/>
  <c r="E132" i="3"/>
  <c r="D132" i="3"/>
  <c r="F132" i="3" s="1"/>
  <c r="Q131" i="3"/>
  <c r="P131" i="3"/>
  <c r="N131" i="3"/>
  <c r="M131" i="3"/>
  <c r="K131" i="3"/>
  <c r="I131" i="3"/>
  <c r="J131" i="3" s="1"/>
  <c r="E131" i="3"/>
  <c r="G131" i="3" s="1"/>
  <c r="D131" i="3"/>
  <c r="F131" i="3" s="1"/>
  <c r="Q130" i="3"/>
  <c r="P130" i="3"/>
  <c r="N130" i="3"/>
  <c r="M130" i="3"/>
  <c r="K130" i="3"/>
  <c r="I130" i="3"/>
  <c r="J130" i="3" s="1"/>
  <c r="E130" i="3"/>
  <c r="G130" i="3" s="1"/>
  <c r="D130" i="3"/>
  <c r="F130" i="3" s="1"/>
  <c r="Q129" i="3"/>
  <c r="P129" i="3"/>
  <c r="N129" i="3"/>
  <c r="M129" i="3"/>
  <c r="K129" i="3"/>
  <c r="I129" i="3"/>
  <c r="J129" i="3" s="1"/>
  <c r="E129" i="3"/>
  <c r="G129" i="3" s="1"/>
  <c r="D129" i="3"/>
  <c r="F129" i="3" s="1"/>
  <c r="Q128" i="3"/>
  <c r="P128" i="3"/>
  <c r="N128" i="3"/>
  <c r="M128" i="3"/>
  <c r="K128" i="3"/>
  <c r="I128" i="3"/>
  <c r="J128" i="3" s="1"/>
  <c r="E128" i="3"/>
  <c r="G128" i="3" s="1"/>
  <c r="D128" i="3"/>
  <c r="F128" i="3" s="1"/>
  <c r="Q127" i="3"/>
  <c r="P127" i="3"/>
  <c r="N127" i="3"/>
  <c r="M127" i="3"/>
  <c r="K127" i="3"/>
  <c r="I127" i="3"/>
  <c r="J127" i="3" s="1"/>
  <c r="G127" i="3"/>
  <c r="E127" i="3"/>
  <c r="D127" i="3"/>
  <c r="Q126" i="3"/>
  <c r="R126" i="3" s="1"/>
  <c r="P126" i="3"/>
  <c r="N126" i="3"/>
  <c r="M126" i="3"/>
  <c r="K126" i="3"/>
  <c r="I126" i="3"/>
  <c r="J126" i="3" s="1"/>
  <c r="E126" i="3"/>
  <c r="G126" i="3" s="1"/>
  <c r="D126" i="3"/>
  <c r="F126" i="3" s="1"/>
  <c r="Q125" i="3"/>
  <c r="P125" i="3"/>
  <c r="N125" i="3"/>
  <c r="M125" i="3"/>
  <c r="K125" i="3"/>
  <c r="I125" i="3"/>
  <c r="J125" i="3" s="1"/>
  <c r="E125" i="3"/>
  <c r="G125" i="3" s="1"/>
  <c r="D125" i="3"/>
  <c r="F125" i="3" s="1"/>
  <c r="Q124" i="3"/>
  <c r="P124" i="3"/>
  <c r="N124" i="3"/>
  <c r="M124" i="3"/>
  <c r="K124" i="3"/>
  <c r="I124" i="3"/>
  <c r="J124" i="3" s="1"/>
  <c r="E124" i="3"/>
  <c r="G124" i="3" s="1"/>
  <c r="D124" i="3"/>
  <c r="Q123" i="3"/>
  <c r="P123" i="3"/>
  <c r="N123" i="3"/>
  <c r="M123" i="3"/>
  <c r="K123" i="3"/>
  <c r="I123" i="3"/>
  <c r="J123" i="3" s="1"/>
  <c r="E123" i="3"/>
  <c r="G123" i="3" s="1"/>
  <c r="D123" i="3"/>
  <c r="F123" i="3" s="1"/>
  <c r="Q122" i="3"/>
  <c r="R122" i="3" s="1"/>
  <c r="P122" i="3"/>
  <c r="N122" i="3"/>
  <c r="M122" i="3"/>
  <c r="K122" i="3"/>
  <c r="I122" i="3"/>
  <c r="J122" i="3" s="1"/>
  <c r="E122" i="3"/>
  <c r="G122" i="3" s="1"/>
  <c r="D122" i="3"/>
  <c r="F122" i="3" s="1"/>
  <c r="Q121" i="3"/>
  <c r="P121" i="3"/>
  <c r="N121" i="3"/>
  <c r="M121" i="3"/>
  <c r="K121" i="3"/>
  <c r="I121" i="3"/>
  <c r="J121" i="3" s="1"/>
  <c r="E121" i="3"/>
  <c r="G121" i="3" s="1"/>
  <c r="D121" i="3"/>
  <c r="F121" i="3" s="1"/>
  <c r="Q120" i="3"/>
  <c r="P120" i="3"/>
  <c r="N120" i="3"/>
  <c r="M120" i="3"/>
  <c r="K120" i="3"/>
  <c r="I120" i="3"/>
  <c r="J120" i="3" s="1"/>
  <c r="E120" i="3"/>
  <c r="G120" i="3" s="1"/>
  <c r="D120" i="3"/>
  <c r="F120" i="3" s="1"/>
  <c r="Q119" i="3"/>
  <c r="P119" i="3"/>
  <c r="N119" i="3"/>
  <c r="M119" i="3"/>
  <c r="K119" i="3"/>
  <c r="I119" i="3"/>
  <c r="J119" i="3" s="1"/>
  <c r="E119" i="3"/>
  <c r="G119" i="3" s="1"/>
  <c r="D119" i="3"/>
  <c r="F119" i="3" s="1"/>
  <c r="Q118" i="3"/>
  <c r="P118" i="3"/>
  <c r="N118" i="3"/>
  <c r="M118" i="3"/>
  <c r="K118" i="3"/>
  <c r="I118" i="3"/>
  <c r="J118" i="3" s="1"/>
  <c r="E118" i="3"/>
  <c r="G118" i="3" s="1"/>
  <c r="D118" i="3"/>
  <c r="F118" i="3" s="1"/>
  <c r="Q117" i="3"/>
  <c r="P117" i="3"/>
  <c r="N117" i="3"/>
  <c r="M117" i="3"/>
  <c r="K117" i="3"/>
  <c r="I117" i="3"/>
  <c r="J117" i="3" s="1"/>
  <c r="F117" i="3"/>
  <c r="E117" i="3"/>
  <c r="G117" i="3" s="1"/>
  <c r="D117" i="3"/>
  <c r="Q116" i="3"/>
  <c r="P116" i="3"/>
  <c r="N116" i="3"/>
  <c r="M116" i="3"/>
  <c r="K116" i="3"/>
  <c r="I116" i="3"/>
  <c r="J116" i="3" s="1"/>
  <c r="E116" i="3"/>
  <c r="D116" i="3"/>
  <c r="F116" i="3" s="1"/>
  <c r="Q115" i="3"/>
  <c r="P115" i="3"/>
  <c r="N115" i="3"/>
  <c r="M115" i="3"/>
  <c r="K115" i="3"/>
  <c r="I115" i="3"/>
  <c r="J115" i="3" s="1"/>
  <c r="E115" i="3"/>
  <c r="G115" i="3" s="1"/>
  <c r="D115" i="3"/>
  <c r="F115" i="3" s="1"/>
  <c r="Q114" i="3"/>
  <c r="P114" i="3"/>
  <c r="N114" i="3"/>
  <c r="M114" i="3"/>
  <c r="K114" i="3"/>
  <c r="I114" i="3"/>
  <c r="J114" i="3" s="1"/>
  <c r="E114" i="3"/>
  <c r="G114" i="3" s="1"/>
  <c r="D114" i="3"/>
  <c r="F114" i="3" s="1"/>
  <c r="Q113" i="3"/>
  <c r="P113" i="3"/>
  <c r="N113" i="3"/>
  <c r="M113" i="3"/>
  <c r="K113" i="3"/>
  <c r="I113" i="3"/>
  <c r="J113" i="3" s="1"/>
  <c r="E113" i="3"/>
  <c r="G113" i="3" s="1"/>
  <c r="D113" i="3"/>
  <c r="F113" i="3" s="1"/>
  <c r="Q112" i="3"/>
  <c r="P112" i="3"/>
  <c r="N112" i="3"/>
  <c r="M112" i="3"/>
  <c r="K112" i="3"/>
  <c r="I112" i="3"/>
  <c r="J112" i="3" s="1"/>
  <c r="E112" i="3"/>
  <c r="G112" i="3" s="1"/>
  <c r="D112" i="3"/>
  <c r="Q111" i="3"/>
  <c r="P111" i="3"/>
  <c r="N111" i="3"/>
  <c r="M111" i="3"/>
  <c r="K111" i="3"/>
  <c r="I111" i="3"/>
  <c r="J111" i="3" s="1"/>
  <c r="E111" i="3"/>
  <c r="G111" i="3" s="1"/>
  <c r="D111" i="3"/>
  <c r="F111" i="3" s="1"/>
  <c r="Q110" i="3"/>
  <c r="R110" i="3" s="1"/>
  <c r="P110" i="3"/>
  <c r="N110" i="3"/>
  <c r="M110" i="3"/>
  <c r="K110" i="3"/>
  <c r="I110" i="3"/>
  <c r="J110" i="3" s="1"/>
  <c r="F110" i="3"/>
  <c r="E110" i="3"/>
  <c r="G110" i="3" s="1"/>
  <c r="D110" i="3"/>
  <c r="H110" i="3" s="1"/>
  <c r="Q109" i="3"/>
  <c r="P109" i="3"/>
  <c r="N109" i="3"/>
  <c r="M109" i="3"/>
  <c r="K109" i="3"/>
  <c r="I109" i="3"/>
  <c r="J109" i="3" s="1"/>
  <c r="E109" i="3"/>
  <c r="G109" i="3" s="1"/>
  <c r="D109" i="3"/>
  <c r="F109" i="3" s="1"/>
  <c r="Q108" i="3"/>
  <c r="P108" i="3"/>
  <c r="R108" i="3" s="1"/>
  <c r="N108" i="3"/>
  <c r="M108" i="3"/>
  <c r="K108" i="3"/>
  <c r="I108" i="3"/>
  <c r="J108" i="3" s="1"/>
  <c r="E108" i="3"/>
  <c r="G108" i="3" s="1"/>
  <c r="D108" i="3"/>
  <c r="Q107" i="3"/>
  <c r="P107" i="3"/>
  <c r="N107" i="3"/>
  <c r="M107" i="3"/>
  <c r="K107" i="3"/>
  <c r="I107" i="3"/>
  <c r="J107" i="3" s="1"/>
  <c r="E107" i="3"/>
  <c r="G107" i="3" s="1"/>
  <c r="D107" i="3"/>
  <c r="F107" i="3" s="1"/>
  <c r="Q106" i="3"/>
  <c r="P106" i="3"/>
  <c r="N106" i="3"/>
  <c r="M106" i="3"/>
  <c r="K106" i="3"/>
  <c r="I106" i="3"/>
  <c r="J106" i="3" s="1"/>
  <c r="E106" i="3"/>
  <c r="G106" i="3" s="1"/>
  <c r="D106" i="3"/>
  <c r="Q105" i="3"/>
  <c r="P105" i="3"/>
  <c r="N105" i="3"/>
  <c r="M105" i="3"/>
  <c r="K105" i="3"/>
  <c r="I105" i="3"/>
  <c r="J105" i="3" s="1"/>
  <c r="E105" i="3"/>
  <c r="G105" i="3" s="1"/>
  <c r="D105" i="3"/>
  <c r="F105" i="3" s="1"/>
  <c r="Q104" i="3"/>
  <c r="P104" i="3"/>
  <c r="R104" i="3" s="1"/>
  <c r="N104" i="3"/>
  <c r="M104" i="3"/>
  <c r="K104" i="3"/>
  <c r="I104" i="3"/>
  <c r="J104" i="3" s="1"/>
  <c r="E104" i="3"/>
  <c r="G104" i="3" s="1"/>
  <c r="D104" i="3"/>
  <c r="Q103" i="3"/>
  <c r="P103" i="3"/>
  <c r="N103" i="3"/>
  <c r="M103" i="3"/>
  <c r="K103" i="3"/>
  <c r="I103" i="3"/>
  <c r="J103" i="3" s="1"/>
  <c r="F103" i="3"/>
  <c r="E103" i="3"/>
  <c r="G103" i="3" s="1"/>
  <c r="D103" i="3"/>
  <c r="Q102" i="3"/>
  <c r="P102" i="3"/>
  <c r="N102" i="3"/>
  <c r="M102" i="3"/>
  <c r="K102" i="3"/>
  <c r="I102" i="3"/>
  <c r="J102" i="3" s="1"/>
  <c r="E102" i="3"/>
  <c r="G102" i="3" s="1"/>
  <c r="D102" i="3"/>
  <c r="F102" i="3" s="1"/>
  <c r="Q101" i="3"/>
  <c r="P101" i="3"/>
  <c r="N101" i="3"/>
  <c r="M101" i="3"/>
  <c r="K101" i="3"/>
  <c r="I101" i="3"/>
  <c r="J101" i="3" s="1"/>
  <c r="E101" i="3"/>
  <c r="G101" i="3" s="1"/>
  <c r="D101" i="3"/>
  <c r="F101" i="3" s="1"/>
  <c r="Q100" i="3"/>
  <c r="P100" i="3"/>
  <c r="N100" i="3"/>
  <c r="M100" i="3"/>
  <c r="K100" i="3"/>
  <c r="I100" i="3"/>
  <c r="J100" i="3" s="1"/>
  <c r="E100" i="3"/>
  <c r="G100" i="3" s="1"/>
  <c r="D100" i="3"/>
  <c r="H100" i="3" s="1"/>
  <c r="Q99" i="3"/>
  <c r="P99" i="3"/>
  <c r="N99" i="3"/>
  <c r="M99" i="3"/>
  <c r="K99" i="3"/>
  <c r="I99" i="3"/>
  <c r="J99" i="3" s="1"/>
  <c r="E99" i="3"/>
  <c r="G99" i="3" s="1"/>
  <c r="D99" i="3"/>
  <c r="F99" i="3" s="1"/>
  <c r="Q98" i="3"/>
  <c r="P98" i="3"/>
  <c r="N98" i="3"/>
  <c r="M98" i="3"/>
  <c r="K98" i="3"/>
  <c r="I98" i="3"/>
  <c r="J98" i="3" s="1"/>
  <c r="E98" i="3"/>
  <c r="G98" i="3" s="1"/>
  <c r="D98" i="3"/>
  <c r="F98" i="3" s="1"/>
  <c r="Q97" i="3"/>
  <c r="P97" i="3"/>
  <c r="N97" i="3"/>
  <c r="M97" i="3"/>
  <c r="K97" i="3"/>
  <c r="I97" i="3"/>
  <c r="J97" i="3" s="1"/>
  <c r="E97" i="3"/>
  <c r="G97" i="3" s="1"/>
  <c r="D97" i="3"/>
  <c r="F97" i="3" s="1"/>
  <c r="Q96" i="3"/>
  <c r="P96" i="3"/>
  <c r="N96" i="3"/>
  <c r="M96" i="3"/>
  <c r="K96" i="3"/>
  <c r="I96" i="3"/>
  <c r="J96" i="3" s="1"/>
  <c r="E96" i="3"/>
  <c r="G96" i="3" s="1"/>
  <c r="D96" i="3"/>
  <c r="Q95" i="3"/>
  <c r="P95" i="3"/>
  <c r="N95" i="3"/>
  <c r="M95" i="3"/>
  <c r="K95" i="3"/>
  <c r="I95" i="3"/>
  <c r="J95" i="3" s="1"/>
  <c r="E95" i="3"/>
  <c r="G95" i="3" s="1"/>
  <c r="D95" i="3"/>
  <c r="F95" i="3" s="1"/>
  <c r="Q94" i="3"/>
  <c r="P94" i="3"/>
  <c r="N94" i="3"/>
  <c r="M94" i="3"/>
  <c r="K94" i="3"/>
  <c r="I94" i="3"/>
  <c r="J94" i="3" s="1"/>
  <c r="E94" i="3"/>
  <c r="G94" i="3" s="1"/>
  <c r="D94" i="3"/>
  <c r="Q93" i="3"/>
  <c r="P93" i="3"/>
  <c r="N93" i="3"/>
  <c r="M93" i="3"/>
  <c r="K93" i="3"/>
  <c r="I93" i="3"/>
  <c r="J93" i="3" s="1"/>
  <c r="E93" i="3"/>
  <c r="G93" i="3" s="1"/>
  <c r="D93" i="3"/>
  <c r="F93" i="3" s="1"/>
  <c r="Q92" i="3"/>
  <c r="P92" i="3"/>
  <c r="N92" i="3"/>
  <c r="M92" i="3"/>
  <c r="K92" i="3"/>
  <c r="I92" i="3"/>
  <c r="J92" i="3" s="1"/>
  <c r="E92" i="3"/>
  <c r="G92" i="3" s="1"/>
  <c r="D92" i="3"/>
  <c r="F92" i="3" s="1"/>
  <c r="Q91" i="3"/>
  <c r="P91" i="3"/>
  <c r="N91" i="3"/>
  <c r="M91" i="3"/>
  <c r="K91" i="3"/>
  <c r="I91" i="3"/>
  <c r="J91" i="3" s="1"/>
  <c r="G91" i="3"/>
  <c r="E91" i="3"/>
  <c r="D91" i="3"/>
  <c r="F91" i="3" s="1"/>
  <c r="Q90" i="3"/>
  <c r="P90" i="3"/>
  <c r="R90" i="3" s="1"/>
  <c r="N90" i="3"/>
  <c r="M90" i="3"/>
  <c r="K90" i="3"/>
  <c r="I90" i="3"/>
  <c r="J90" i="3" s="1"/>
  <c r="E90" i="3"/>
  <c r="G90" i="3" s="1"/>
  <c r="D90" i="3"/>
  <c r="F90" i="3" s="1"/>
  <c r="Q89" i="3"/>
  <c r="P89" i="3"/>
  <c r="N89" i="3"/>
  <c r="M89" i="3"/>
  <c r="K89" i="3"/>
  <c r="I89" i="3"/>
  <c r="J89" i="3" s="1"/>
  <c r="E89" i="3"/>
  <c r="G89" i="3" s="1"/>
  <c r="D89" i="3"/>
  <c r="F89" i="3" s="1"/>
  <c r="Q88" i="3"/>
  <c r="P88" i="3"/>
  <c r="N88" i="3"/>
  <c r="M88" i="3"/>
  <c r="K88" i="3"/>
  <c r="I88" i="3"/>
  <c r="J88" i="3" s="1"/>
  <c r="E88" i="3"/>
  <c r="G88" i="3" s="1"/>
  <c r="D88" i="3"/>
  <c r="Q87" i="3"/>
  <c r="P87" i="3"/>
  <c r="N87" i="3"/>
  <c r="M87" i="3"/>
  <c r="K87" i="3"/>
  <c r="I87" i="3"/>
  <c r="J87" i="3" s="1"/>
  <c r="E87" i="3"/>
  <c r="G87" i="3" s="1"/>
  <c r="D87" i="3"/>
  <c r="F87" i="3" s="1"/>
  <c r="Q86" i="3"/>
  <c r="P86" i="3"/>
  <c r="R86" i="3" s="1"/>
  <c r="N86" i="3"/>
  <c r="M86" i="3"/>
  <c r="K86" i="3"/>
  <c r="I86" i="3"/>
  <c r="J86" i="3" s="1"/>
  <c r="E86" i="3"/>
  <c r="G86" i="3" s="1"/>
  <c r="D86" i="3"/>
  <c r="Q85" i="3"/>
  <c r="P85" i="3"/>
  <c r="N85" i="3"/>
  <c r="M85" i="3"/>
  <c r="K85" i="3"/>
  <c r="I85" i="3"/>
  <c r="J85" i="3" s="1"/>
  <c r="E85" i="3"/>
  <c r="G85" i="3" s="1"/>
  <c r="D85" i="3"/>
  <c r="F85" i="3" s="1"/>
  <c r="Q84" i="3"/>
  <c r="P84" i="3"/>
  <c r="N84" i="3"/>
  <c r="M84" i="3"/>
  <c r="K84" i="3"/>
  <c r="I84" i="3"/>
  <c r="J84" i="3" s="1"/>
  <c r="E84" i="3"/>
  <c r="G84" i="3" s="1"/>
  <c r="D84" i="3"/>
  <c r="F84" i="3" s="1"/>
  <c r="Q83" i="3"/>
  <c r="P83" i="3"/>
  <c r="N83" i="3"/>
  <c r="M83" i="3"/>
  <c r="K83" i="3"/>
  <c r="I83" i="3"/>
  <c r="J83" i="3" s="1"/>
  <c r="G83" i="3"/>
  <c r="E83" i="3"/>
  <c r="D83" i="3"/>
  <c r="F83" i="3" s="1"/>
  <c r="Q82" i="3"/>
  <c r="P82" i="3"/>
  <c r="N82" i="3"/>
  <c r="M82" i="3"/>
  <c r="K82" i="3"/>
  <c r="I82" i="3"/>
  <c r="J82" i="3" s="1"/>
  <c r="F82" i="3"/>
  <c r="E82" i="3"/>
  <c r="G82" i="3" s="1"/>
  <c r="D82" i="3"/>
  <c r="Q81" i="3"/>
  <c r="P81" i="3"/>
  <c r="N81" i="3"/>
  <c r="M81" i="3"/>
  <c r="K81" i="3"/>
  <c r="I81" i="3"/>
  <c r="J81" i="3" s="1"/>
  <c r="E81" i="3"/>
  <c r="G81" i="3" s="1"/>
  <c r="D81" i="3"/>
  <c r="F81" i="3" s="1"/>
  <c r="Q80" i="3"/>
  <c r="P80" i="3"/>
  <c r="N80" i="3"/>
  <c r="M80" i="3"/>
  <c r="K80" i="3"/>
  <c r="I80" i="3"/>
  <c r="J80" i="3" s="1"/>
  <c r="E80" i="3"/>
  <c r="G80" i="3" s="1"/>
  <c r="D80" i="3"/>
  <c r="Q79" i="3"/>
  <c r="P79" i="3"/>
  <c r="N79" i="3"/>
  <c r="M79" i="3"/>
  <c r="K79" i="3"/>
  <c r="I79" i="3"/>
  <c r="J79" i="3" s="1"/>
  <c r="E79" i="3"/>
  <c r="G79" i="3" s="1"/>
  <c r="D79" i="3"/>
  <c r="F79" i="3" s="1"/>
  <c r="Q78" i="3"/>
  <c r="P78" i="3"/>
  <c r="N78" i="3"/>
  <c r="M78" i="3"/>
  <c r="K78" i="3"/>
  <c r="I78" i="3"/>
  <c r="J78" i="3" s="1"/>
  <c r="E78" i="3"/>
  <c r="G78" i="3" s="1"/>
  <c r="D78" i="3"/>
  <c r="Q77" i="3"/>
  <c r="P77" i="3"/>
  <c r="N77" i="3"/>
  <c r="M77" i="3"/>
  <c r="K77" i="3"/>
  <c r="I77" i="3"/>
  <c r="J77" i="3" s="1"/>
  <c r="G77" i="3"/>
  <c r="E77" i="3"/>
  <c r="D77" i="3"/>
  <c r="F77" i="3" s="1"/>
  <c r="Q76" i="3"/>
  <c r="P76" i="3"/>
  <c r="N76" i="3"/>
  <c r="M76" i="3"/>
  <c r="K76" i="3"/>
  <c r="I76" i="3"/>
  <c r="J76" i="3" s="1"/>
  <c r="F76" i="3"/>
  <c r="E76" i="3"/>
  <c r="G76" i="3" s="1"/>
  <c r="D76" i="3"/>
  <c r="Q75" i="3"/>
  <c r="P75" i="3"/>
  <c r="N75" i="3"/>
  <c r="M75" i="3"/>
  <c r="K75" i="3"/>
  <c r="I75" i="3"/>
  <c r="J75" i="3" s="1"/>
  <c r="E75" i="3"/>
  <c r="G75" i="3" s="1"/>
  <c r="D75" i="3"/>
  <c r="F75" i="3" s="1"/>
  <c r="Q74" i="3"/>
  <c r="P74" i="3"/>
  <c r="N74" i="3"/>
  <c r="M74" i="3"/>
  <c r="K74" i="3"/>
  <c r="I74" i="3"/>
  <c r="J74" i="3" s="1"/>
  <c r="E74" i="3"/>
  <c r="G74" i="3" s="1"/>
  <c r="D74" i="3"/>
  <c r="F74" i="3" s="1"/>
  <c r="Q73" i="3"/>
  <c r="P73" i="3"/>
  <c r="N73" i="3"/>
  <c r="M73" i="3"/>
  <c r="K73" i="3"/>
  <c r="I73" i="3"/>
  <c r="J73" i="3" s="1"/>
  <c r="E73" i="3"/>
  <c r="G73" i="3" s="1"/>
  <c r="D73" i="3"/>
  <c r="F73" i="3" s="1"/>
  <c r="Q72" i="3"/>
  <c r="P72" i="3"/>
  <c r="N72" i="3"/>
  <c r="M72" i="3"/>
  <c r="K72" i="3"/>
  <c r="I72" i="3"/>
  <c r="J72" i="3" s="1"/>
  <c r="E72" i="3"/>
  <c r="G72" i="3" s="1"/>
  <c r="D72" i="3"/>
  <c r="F72" i="3" s="1"/>
  <c r="Q71" i="3"/>
  <c r="P71" i="3"/>
  <c r="N71" i="3"/>
  <c r="M71" i="3"/>
  <c r="K71" i="3"/>
  <c r="I71" i="3"/>
  <c r="J71" i="3" s="1"/>
  <c r="E71" i="3"/>
  <c r="G71" i="3" s="1"/>
  <c r="D71" i="3"/>
  <c r="F71" i="3" s="1"/>
  <c r="Q70" i="3"/>
  <c r="P70" i="3"/>
  <c r="N70" i="3"/>
  <c r="M70" i="3"/>
  <c r="K70" i="3"/>
  <c r="I70" i="3"/>
  <c r="J70" i="3" s="1"/>
  <c r="E70" i="3"/>
  <c r="G70" i="3" s="1"/>
  <c r="D70" i="3"/>
  <c r="F70" i="3" s="1"/>
  <c r="Q69" i="3"/>
  <c r="P69" i="3"/>
  <c r="N69" i="3"/>
  <c r="M69" i="3"/>
  <c r="K69" i="3"/>
  <c r="I69" i="3"/>
  <c r="J69" i="3" s="1"/>
  <c r="E69" i="3"/>
  <c r="G69" i="3" s="1"/>
  <c r="D69" i="3"/>
  <c r="F69" i="3" s="1"/>
  <c r="Q68" i="3"/>
  <c r="P68" i="3"/>
  <c r="N68" i="3"/>
  <c r="M68" i="3"/>
  <c r="K68" i="3"/>
  <c r="I68" i="3"/>
  <c r="J68" i="3" s="1"/>
  <c r="E68" i="3"/>
  <c r="G68" i="3" s="1"/>
  <c r="D68" i="3"/>
  <c r="Q67" i="3"/>
  <c r="P67" i="3"/>
  <c r="N67" i="3"/>
  <c r="M67" i="3"/>
  <c r="K67" i="3"/>
  <c r="I67" i="3"/>
  <c r="J67" i="3" s="1"/>
  <c r="E67" i="3"/>
  <c r="G67" i="3" s="1"/>
  <c r="D67" i="3"/>
  <c r="F67" i="3" s="1"/>
  <c r="R66" i="3"/>
  <c r="Q66" i="3"/>
  <c r="P66" i="3"/>
  <c r="N66" i="3"/>
  <c r="M66" i="3"/>
  <c r="K66" i="3"/>
  <c r="I66" i="3"/>
  <c r="J66" i="3" s="1"/>
  <c r="F66" i="3"/>
  <c r="E66" i="3"/>
  <c r="G66" i="3" s="1"/>
  <c r="D66" i="3"/>
  <c r="Q65" i="3"/>
  <c r="P65" i="3"/>
  <c r="R65" i="3" s="1"/>
  <c r="N65" i="3"/>
  <c r="M65" i="3"/>
  <c r="K65" i="3"/>
  <c r="I65" i="3"/>
  <c r="J65" i="3" s="1"/>
  <c r="E65" i="3"/>
  <c r="G65" i="3" s="1"/>
  <c r="D65" i="3"/>
  <c r="F65" i="3" s="1"/>
  <c r="Q64" i="3"/>
  <c r="P64" i="3"/>
  <c r="R64" i="3" s="1"/>
  <c r="N64" i="3"/>
  <c r="M64" i="3"/>
  <c r="K64" i="3"/>
  <c r="I64" i="3"/>
  <c r="J64" i="3" s="1"/>
  <c r="E64" i="3"/>
  <c r="G64" i="3" s="1"/>
  <c r="D64" i="3"/>
  <c r="F64" i="3" s="1"/>
  <c r="Q63" i="3"/>
  <c r="P63" i="3"/>
  <c r="N63" i="3"/>
  <c r="M63" i="3"/>
  <c r="K63" i="3"/>
  <c r="I63" i="3"/>
  <c r="J63" i="3" s="1"/>
  <c r="E63" i="3"/>
  <c r="G63" i="3" s="1"/>
  <c r="D63" i="3"/>
  <c r="F63" i="3" s="1"/>
  <c r="Q62" i="3"/>
  <c r="P62" i="3"/>
  <c r="R62" i="3" s="1"/>
  <c r="N62" i="3"/>
  <c r="M62" i="3"/>
  <c r="K62" i="3"/>
  <c r="I62" i="3"/>
  <c r="J62" i="3" s="1"/>
  <c r="E62" i="3"/>
  <c r="G62" i="3" s="1"/>
  <c r="D62" i="3"/>
  <c r="F62" i="3" s="1"/>
  <c r="Q61" i="3"/>
  <c r="P61" i="3"/>
  <c r="N61" i="3"/>
  <c r="M61" i="3"/>
  <c r="K61" i="3"/>
  <c r="I61" i="3"/>
  <c r="J61" i="3" s="1"/>
  <c r="E61" i="3"/>
  <c r="G61" i="3" s="1"/>
  <c r="D61" i="3"/>
  <c r="F61" i="3" s="1"/>
  <c r="Q60" i="3"/>
  <c r="P60" i="3"/>
  <c r="N60" i="3"/>
  <c r="M60" i="3"/>
  <c r="K60" i="3"/>
  <c r="I60" i="3"/>
  <c r="J60" i="3" s="1"/>
  <c r="E60" i="3"/>
  <c r="G60" i="3" s="1"/>
  <c r="D60" i="3"/>
  <c r="Q59" i="3"/>
  <c r="P59" i="3"/>
  <c r="N59" i="3"/>
  <c r="M59" i="3"/>
  <c r="K59" i="3"/>
  <c r="I59" i="3"/>
  <c r="J59" i="3" s="1"/>
  <c r="E59" i="3"/>
  <c r="G59" i="3" s="1"/>
  <c r="D59" i="3"/>
  <c r="F59" i="3" s="1"/>
  <c r="Q58" i="3"/>
  <c r="P58" i="3"/>
  <c r="N58" i="3"/>
  <c r="M58" i="3"/>
  <c r="K58" i="3"/>
  <c r="I58" i="3"/>
  <c r="J58" i="3" s="1"/>
  <c r="F58" i="3"/>
  <c r="E58" i="3"/>
  <c r="G58" i="3" s="1"/>
  <c r="D58" i="3"/>
  <c r="Q57" i="3"/>
  <c r="P57" i="3"/>
  <c r="N57" i="3"/>
  <c r="M57" i="3"/>
  <c r="K57" i="3"/>
  <c r="I57" i="3"/>
  <c r="J57" i="3" s="1"/>
  <c r="E57" i="3"/>
  <c r="G57" i="3" s="1"/>
  <c r="D57" i="3"/>
  <c r="F57" i="3" s="1"/>
  <c r="Q56" i="3"/>
  <c r="P56" i="3"/>
  <c r="N56" i="3"/>
  <c r="M56" i="3"/>
  <c r="K56" i="3"/>
  <c r="I56" i="3"/>
  <c r="J56" i="3" s="1"/>
  <c r="E56" i="3"/>
  <c r="G56" i="3" s="1"/>
  <c r="D56" i="3"/>
  <c r="F56" i="3" s="1"/>
  <c r="Q55" i="3"/>
  <c r="P55" i="3"/>
  <c r="N55" i="3"/>
  <c r="M55" i="3"/>
  <c r="K55" i="3"/>
  <c r="I55" i="3"/>
  <c r="J55" i="3" s="1"/>
  <c r="E55" i="3"/>
  <c r="G55" i="3" s="1"/>
  <c r="D55" i="3"/>
  <c r="F55" i="3" s="1"/>
  <c r="Q54" i="3"/>
  <c r="P54" i="3"/>
  <c r="N54" i="3"/>
  <c r="M54" i="3"/>
  <c r="K54" i="3"/>
  <c r="I54" i="3"/>
  <c r="J54" i="3" s="1"/>
  <c r="E54" i="3"/>
  <c r="G54" i="3" s="1"/>
  <c r="D54" i="3"/>
  <c r="F54" i="3" s="1"/>
  <c r="Q53" i="3"/>
  <c r="P53" i="3"/>
  <c r="N53" i="3"/>
  <c r="M53" i="3"/>
  <c r="K53" i="3"/>
  <c r="I53" i="3"/>
  <c r="J53" i="3" s="1"/>
  <c r="E53" i="3"/>
  <c r="G53" i="3" s="1"/>
  <c r="D53" i="3"/>
  <c r="F53" i="3" s="1"/>
  <c r="R52" i="3"/>
  <c r="Q52" i="3"/>
  <c r="P52" i="3"/>
  <c r="N52" i="3"/>
  <c r="M52" i="3"/>
  <c r="K52" i="3"/>
  <c r="I52" i="3"/>
  <c r="J52" i="3" s="1"/>
  <c r="F52" i="3"/>
  <c r="E52" i="3"/>
  <c r="G52" i="3" s="1"/>
  <c r="D52" i="3"/>
  <c r="Q51" i="3"/>
  <c r="P51" i="3"/>
  <c r="R51" i="3" s="1"/>
  <c r="N51" i="3"/>
  <c r="M51" i="3"/>
  <c r="K51" i="3"/>
  <c r="I51" i="3"/>
  <c r="J51" i="3" s="1"/>
  <c r="E51" i="3"/>
  <c r="G51" i="3" s="1"/>
  <c r="D51" i="3"/>
  <c r="F51" i="3" s="1"/>
  <c r="Q50" i="3"/>
  <c r="P50" i="3"/>
  <c r="R50" i="3" s="1"/>
  <c r="N50" i="3"/>
  <c r="M50" i="3"/>
  <c r="K50" i="3"/>
  <c r="I50" i="3"/>
  <c r="J50" i="3" s="1"/>
  <c r="E50" i="3"/>
  <c r="G50" i="3" s="1"/>
  <c r="D50" i="3"/>
  <c r="F50" i="3" s="1"/>
  <c r="Q49" i="3"/>
  <c r="P49" i="3"/>
  <c r="N49" i="3"/>
  <c r="M49" i="3"/>
  <c r="K49" i="3"/>
  <c r="I49" i="3"/>
  <c r="J49" i="3" s="1"/>
  <c r="E49" i="3"/>
  <c r="G49" i="3" s="1"/>
  <c r="D49" i="3"/>
  <c r="F49" i="3" s="1"/>
  <c r="Q48" i="3"/>
  <c r="P48" i="3"/>
  <c r="R48" i="3" s="1"/>
  <c r="N48" i="3"/>
  <c r="M48" i="3"/>
  <c r="K48" i="3"/>
  <c r="I48" i="3"/>
  <c r="J48" i="3" s="1"/>
  <c r="E48" i="3"/>
  <c r="G48" i="3" s="1"/>
  <c r="D48" i="3"/>
  <c r="F48" i="3" s="1"/>
  <c r="Q47" i="3"/>
  <c r="P47" i="3"/>
  <c r="N47" i="3"/>
  <c r="M47" i="3"/>
  <c r="K47" i="3"/>
  <c r="I47" i="3"/>
  <c r="J47" i="3" s="1"/>
  <c r="E47" i="3"/>
  <c r="G47" i="3" s="1"/>
  <c r="D47" i="3"/>
  <c r="F47" i="3" s="1"/>
  <c r="Q46" i="3"/>
  <c r="P46" i="3"/>
  <c r="R46" i="3" s="1"/>
  <c r="N46" i="3"/>
  <c r="M46" i="3"/>
  <c r="K46" i="3"/>
  <c r="I46" i="3"/>
  <c r="J46" i="3" s="1"/>
  <c r="E46" i="3"/>
  <c r="G46" i="3" s="1"/>
  <c r="D46" i="3"/>
  <c r="F46" i="3" s="1"/>
  <c r="Q45" i="3"/>
  <c r="P45" i="3"/>
  <c r="N45" i="3"/>
  <c r="M45" i="3"/>
  <c r="K45" i="3"/>
  <c r="I45" i="3"/>
  <c r="J45" i="3" s="1"/>
  <c r="G45" i="3"/>
  <c r="E45" i="3"/>
  <c r="D45" i="3"/>
  <c r="F45" i="3" s="1"/>
  <c r="Q44" i="3"/>
  <c r="P44" i="3"/>
  <c r="N44" i="3"/>
  <c r="M44" i="3"/>
  <c r="K44" i="3"/>
  <c r="I44" i="3"/>
  <c r="J44" i="3" s="1"/>
  <c r="E44" i="3"/>
  <c r="G44" i="3" s="1"/>
  <c r="D44" i="3"/>
  <c r="H44" i="3" s="1"/>
  <c r="Q43" i="3"/>
  <c r="P43" i="3"/>
  <c r="N43" i="3"/>
  <c r="M43" i="3"/>
  <c r="K43" i="3"/>
  <c r="I43" i="3"/>
  <c r="J43" i="3" s="1"/>
  <c r="E43" i="3"/>
  <c r="G43" i="3" s="1"/>
  <c r="D43" i="3"/>
  <c r="F43" i="3" s="1"/>
  <c r="Q42" i="3"/>
  <c r="P42" i="3"/>
  <c r="N42" i="3"/>
  <c r="M42" i="3"/>
  <c r="K42" i="3"/>
  <c r="I42" i="3"/>
  <c r="J42" i="3" s="1"/>
  <c r="E42" i="3"/>
  <c r="G42" i="3" s="1"/>
  <c r="D42" i="3"/>
  <c r="F42" i="3" s="1"/>
  <c r="Q41" i="3"/>
  <c r="P41" i="3"/>
  <c r="N41" i="3"/>
  <c r="M41" i="3"/>
  <c r="O41" i="3" s="1"/>
  <c r="K41" i="3"/>
  <c r="I41" i="3"/>
  <c r="J41" i="3" s="1"/>
  <c r="E41" i="3"/>
  <c r="G41" i="3" s="1"/>
  <c r="D41" i="3"/>
  <c r="F41" i="3" s="1"/>
  <c r="Q40" i="3"/>
  <c r="P40" i="3"/>
  <c r="N40" i="3"/>
  <c r="M40" i="3"/>
  <c r="K40" i="3"/>
  <c r="I40" i="3"/>
  <c r="J40" i="3" s="1"/>
  <c r="F40" i="3"/>
  <c r="E40" i="3"/>
  <c r="G40" i="3" s="1"/>
  <c r="D40" i="3"/>
  <c r="Q39" i="3"/>
  <c r="P39" i="3"/>
  <c r="N39" i="3"/>
  <c r="M39" i="3"/>
  <c r="K39" i="3"/>
  <c r="I39" i="3"/>
  <c r="J39" i="3" s="1"/>
  <c r="E39" i="3"/>
  <c r="G39" i="3" s="1"/>
  <c r="D39" i="3"/>
  <c r="F39" i="3" s="1"/>
  <c r="Q38" i="3"/>
  <c r="P38" i="3"/>
  <c r="N38" i="3"/>
  <c r="M38" i="3"/>
  <c r="K38" i="3"/>
  <c r="I38" i="3"/>
  <c r="J38" i="3" s="1"/>
  <c r="E38" i="3"/>
  <c r="G38" i="3" s="1"/>
  <c r="D38" i="3"/>
  <c r="F38" i="3" s="1"/>
  <c r="Q37" i="3"/>
  <c r="P37" i="3"/>
  <c r="N37" i="3"/>
  <c r="M37" i="3"/>
  <c r="K37" i="3"/>
  <c r="I37" i="3"/>
  <c r="J37" i="3" s="1"/>
  <c r="E37" i="3"/>
  <c r="G37" i="3" s="1"/>
  <c r="D37" i="3"/>
  <c r="F37" i="3" s="1"/>
  <c r="Q36" i="3"/>
  <c r="P36" i="3"/>
  <c r="R36" i="3" s="1"/>
  <c r="N36" i="3"/>
  <c r="M36" i="3"/>
  <c r="K36" i="3"/>
  <c r="I36" i="3"/>
  <c r="J36" i="3" s="1"/>
  <c r="E36" i="3"/>
  <c r="G36" i="3" s="1"/>
  <c r="D36" i="3"/>
  <c r="F36" i="3" s="1"/>
  <c r="Q35" i="3"/>
  <c r="P35" i="3"/>
  <c r="N35" i="3"/>
  <c r="M35" i="3"/>
  <c r="K35" i="3"/>
  <c r="I35" i="3"/>
  <c r="J35" i="3" s="1"/>
  <c r="E35" i="3"/>
  <c r="G35" i="3" s="1"/>
  <c r="D35" i="3"/>
  <c r="F35" i="3" s="1"/>
  <c r="Q34" i="3"/>
  <c r="P34" i="3"/>
  <c r="N34" i="3"/>
  <c r="M34" i="3"/>
  <c r="K34" i="3"/>
  <c r="I34" i="3"/>
  <c r="J34" i="3" s="1"/>
  <c r="E34" i="3"/>
  <c r="G34" i="3" s="1"/>
  <c r="D34" i="3"/>
  <c r="Q33" i="3"/>
  <c r="P33" i="3"/>
  <c r="N33" i="3"/>
  <c r="M33" i="3"/>
  <c r="K33" i="3"/>
  <c r="I33" i="3"/>
  <c r="J33" i="3" s="1"/>
  <c r="E33" i="3"/>
  <c r="D33" i="3"/>
  <c r="F33" i="3" s="1"/>
  <c r="Q32" i="3"/>
  <c r="P32" i="3"/>
  <c r="N32" i="3"/>
  <c r="M32" i="3"/>
  <c r="K32" i="3"/>
  <c r="I32" i="3"/>
  <c r="J32" i="3" s="1"/>
  <c r="E32" i="3"/>
  <c r="G32" i="3" s="1"/>
  <c r="D32" i="3"/>
  <c r="Q31" i="3"/>
  <c r="P31" i="3"/>
  <c r="N31" i="3"/>
  <c r="M31" i="3"/>
  <c r="K31" i="3"/>
  <c r="I31" i="3"/>
  <c r="J31" i="3" s="1"/>
  <c r="E31" i="3"/>
  <c r="G31" i="3" s="1"/>
  <c r="D31" i="3"/>
  <c r="Q30" i="3"/>
  <c r="P30" i="3"/>
  <c r="N30" i="3"/>
  <c r="M30" i="3"/>
  <c r="K30" i="3"/>
  <c r="I30" i="3"/>
  <c r="J30" i="3" s="1"/>
  <c r="E30" i="3"/>
  <c r="G30" i="3" s="1"/>
  <c r="D30" i="3"/>
  <c r="Q29" i="3"/>
  <c r="P29" i="3"/>
  <c r="N29" i="3"/>
  <c r="O29" i="3" s="1"/>
  <c r="M29" i="3"/>
  <c r="K29" i="3"/>
  <c r="I29" i="3"/>
  <c r="J29" i="3" s="1"/>
  <c r="E29" i="3"/>
  <c r="G29" i="3" s="1"/>
  <c r="D29" i="3"/>
  <c r="Q28" i="3"/>
  <c r="P28" i="3"/>
  <c r="N28" i="3"/>
  <c r="M28" i="3"/>
  <c r="K28" i="3"/>
  <c r="I28" i="3"/>
  <c r="J28" i="3" s="1"/>
  <c r="E28" i="3"/>
  <c r="G28" i="3" s="1"/>
  <c r="D28" i="3"/>
  <c r="F28" i="3" s="1"/>
  <c r="Q27" i="3"/>
  <c r="P27" i="3"/>
  <c r="N27" i="3"/>
  <c r="M27" i="3"/>
  <c r="K27" i="3"/>
  <c r="I27" i="3"/>
  <c r="J27" i="3" s="1"/>
  <c r="E27" i="3"/>
  <c r="G27" i="3" s="1"/>
  <c r="D27" i="3"/>
  <c r="F27" i="3" s="1"/>
  <c r="Q26" i="3"/>
  <c r="P26" i="3"/>
  <c r="N26" i="3"/>
  <c r="M26" i="3"/>
  <c r="K26" i="3"/>
  <c r="I26" i="3"/>
  <c r="J26" i="3" s="1"/>
  <c r="E26" i="3"/>
  <c r="G26" i="3" s="1"/>
  <c r="D26" i="3"/>
  <c r="Q25" i="3"/>
  <c r="P25" i="3"/>
  <c r="N25" i="3"/>
  <c r="M25" i="3"/>
  <c r="K25" i="3"/>
  <c r="I25" i="3"/>
  <c r="J25" i="3" s="1"/>
  <c r="E25" i="3"/>
  <c r="G25" i="3" s="1"/>
  <c r="D25" i="3"/>
  <c r="F25" i="3" s="1"/>
  <c r="Q24" i="3"/>
  <c r="P24" i="3"/>
  <c r="N24" i="3"/>
  <c r="M24" i="3"/>
  <c r="K24" i="3"/>
  <c r="I24" i="3"/>
  <c r="J24" i="3" s="1"/>
  <c r="E24" i="3"/>
  <c r="G24" i="3" s="1"/>
  <c r="D24" i="3"/>
  <c r="F24" i="3" s="1"/>
  <c r="Q23" i="3"/>
  <c r="P23" i="3"/>
  <c r="N23" i="3"/>
  <c r="M23" i="3"/>
  <c r="K23" i="3"/>
  <c r="I23" i="3"/>
  <c r="J23" i="3" s="1"/>
  <c r="E23" i="3"/>
  <c r="G23" i="3" s="1"/>
  <c r="D23" i="3"/>
  <c r="Q22" i="3"/>
  <c r="P22" i="3"/>
  <c r="N22" i="3"/>
  <c r="M22" i="3"/>
  <c r="K22" i="3"/>
  <c r="I22" i="3"/>
  <c r="J22" i="3" s="1"/>
  <c r="E22" i="3"/>
  <c r="G22" i="3" s="1"/>
  <c r="D22" i="3"/>
  <c r="Q21" i="3"/>
  <c r="R21" i="3" s="1"/>
  <c r="P21" i="3"/>
  <c r="N21" i="3"/>
  <c r="M21" i="3"/>
  <c r="K21" i="3"/>
  <c r="I21" i="3"/>
  <c r="J21" i="3" s="1"/>
  <c r="E21" i="3"/>
  <c r="G21" i="3" s="1"/>
  <c r="D21" i="3"/>
  <c r="Q20" i="3"/>
  <c r="P20" i="3"/>
  <c r="N20" i="3"/>
  <c r="M20" i="3"/>
  <c r="K20" i="3"/>
  <c r="I20" i="3"/>
  <c r="J20" i="3" s="1"/>
  <c r="E20" i="3"/>
  <c r="G20" i="3" s="1"/>
  <c r="D20" i="3"/>
  <c r="F20" i="3" s="1"/>
  <c r="Q19" i="3"/>
  <c r="P19" i="3"/>
  <c r="N19" i="3"/>
  <c r="M19" i="3"/>
  <c r="K19" i="3"/>
  <c r="I19" i="3"/>
  <c r="J19" i="3" s="1"/>
  <c r="E19" i="3"/>
  <c r="G19" i="3" s="1"/>
  <c r="D19" i="3"/>
  <c r="F19" i="3" s="1"/>
  <c r="Q18" i="3"/>
  <c r="P18" i="3"/>
  <c r="N18" i="3"/>
  <c r="M18" i="3"/>
  <c r="K18" i="3"/>
  <c r="I18" i="3"/>
  <c r="J18" i="3" s="1"/>
  <c r="E18" i="3"/>
  <c r="G18" i="3" s="1"/>
  <c r="D18" i="3"/>
  <c r="Q17" i="3"/>
  <c r="P17" i="3"/>
  <c r="N17" i="3"/>
  <c r="M17" i="3"/>
  <c r="K17" i="3"/>
  <c r="I17" i="3"/>
  <c r="J17" i="3" s="1"/>
  <c r="E17" i="3"/>
  <c r="G17" i="3" s="1"/>
  <c r="D17" i="3"/>
  <c r="F17" i="3" s="1"/>
  <c r="Q16" i="3"/>
  <c r="P16" i="3"/>
  <c r="N16" i="3"/>
  <c r="M16" i="3"/>
  <c r="K16" i="3"/>
  <c r="I16" i="3"/>
  <c r="J16" i="3" s="1"/>
  <c r="E16" i="3"/>
  <c r="G16" i="3" s="1"/>
  <c r="D16" i="3"/>
  <c r="F16" i="3" s="1"/>
  <c r="Q15" i="3"/>
  <c r="P15" i="3"/>
  <c r="N15" i="3"/>
  <c r="M15" i="3"/>
  <c r="K15" i="3"/>
  <c r="I15" i="3"/>
  <c r="J15" i="3" s="1"/>
  <c r="E15" i="3"/>
  <c r="G15" i="3" s="1"/>
  <c r="D15" i="3"/>
  <c r="H15" i="3" s="1"/>
  <c r="Q14" i="3"/>
  <c r="P14" i="3"/>
  <c r="N14" i="3"/>
  <c r="M14" i="3"/>
  <c r="K14" i="3"/>
  <c r="I14" i="3"/>
  <c r="J14" i="3" s="1"/>
  <c r="E14" i="3"/>
  <c r="G14" i="3" s="1"/>
  <c r="D14" i="3"/>
  <c r="H14" i="3" s="1"/>
  <c r="Q13" i="3"/>
  <c r="P13" i="3"/>
  <c r="N13" i="3"/>
  <c r="M13" i="3"/>
  <c r="K13" i="3"/>
  <c r="I13" i="3"/>
  <c r="J13" i="3" s="1"/>
  <c r="E13" i="3"/>
  <c r="G13" i="3" s="1"/>
  <c r="D13" i="3"/>
  <c r="F13" i="3" s="1"/>
  <c r="Q12" i="3"/>
  <c r="P12" i="3"/>
  <c r="R12" i="3" s="1"/>
  <c r="N12" i="3"/>
  <c r="M12" i="3"/>
  <c r="K12" i="3"/>
  <c r="I12" i="3"/>
  <c r="J12" i="3" s="1"/>
  <c r="E12" i="3"/>
  <c r="G12" i="3" s="1"/>
  <c r="D12" i="3"/>
  <c r="Q11" i="3"/>
  <c r="P11" i="3"/>
  <c r="N11" i="3"/>
  <c r="M11" i="3"/>
  <c r="K11" i="3"/>
  <c r="I11" i="3"/>
  <c r="J11" i="3" s="1"/>
  <c r="E11" i="3"/>
  <c r="G11" i="3" s="1"/>
  <c r="D11" i="3"/>
  <c r="F11" i="3" s="1"/>
  <c r="Q10" i="3"/>
  <c r="P10" i="3"/>
  <c r="N10" i="3"/>
  <c r="M10" i="3"/>
  <c r="K10" i="3"/>
  <c r="I10" i="3"/>
  <c r="J10" i="3" s="1"/>
  <c r="E10" i="3"/>
  <c r="G10" i="3" s="1"/>
  <c r="D10" i="3"/>
  <c r="F10" i="3" s="1"/>
  <c r="Q9" i="3"/>
  <c r="P9" i="3"/>
  <c r="R9" i="3" s="1"/>
  <c r="N9" i="3"/>
  <c r="M9" i="3"/>
  <c r="K9" i="3"/>
  <c r="I9" i="3"/>
  <c r="J9" i="3" s="1"/>
  <c r="E9" i="3"/>
  <c r="G9" i="3" s="1"/>
  <c r="D9" i="3"/>
  <c r="F9" i="3" s="1"/>
  <c r="Q8" i="3"/>
  <c r="P8" i="3"/>
  <c r="N8" i="3"/>
  <c r="M8" i="3"/>
  <c r="K8" i="3"/>
  <c r="I8" i="3"/>
  <c r="J8" i="3" s="1"/>
  <c r="E8" i="3"/>
  <c r="G8" i="3" s="1"/>
  <c r="D8" i="3"/>
  <c r="F8" i="3" s="1"/>
  <c r="Q7" i="3"/>
  <c r="P7" i="3"/>
  <c r="R7" i="3" s="1"/>
  <c r="N7" i="3"/>
  <c r="M7" i="3"/>
  <c r="K7" i="3"/>
  <c r="I7" i="3"/>
  <c r="J7" i="3" s="1"/>
  <c r="E7" i="3"/>
  <c r="G7" i="3" s="1"/>
  <c r="D7" i="3"/>
  <c r="Q6" i="3"/>
  <c r="P6" i="3"/>
  <c r="R6" i="3" s="1"/>
  <c r="N6" i="3"/>
  <c r="M6" i="3"/>
  <c r="K6" i="3"/>
  <c r="I6" i="3"/>
  <c r="J6" i="3" s="1"/>
  <c r="E6" i="3"/>
  <c r="G6" i="3" s="1"/>
  <c r="D6" i="3"/>
  <c r="Q5" i="3"/>
  <c r="P5" i="3"/>
  <c r="N5" i="3"/>
  <c r="M5" i="3"/>
  <c r="K5" i="3"/>
  <c r="I5" i="3"/>
  <c r="J5" i="3" s="1"/>
  <c r="E5" i="3"/>
  <c r="G5" i="3" s="1"/>
  <c r="D5" i="3"/>
  <c r="F5" i="3" s="1"/>
  <c r="D375" i="2"/>
  <c r="E366" i="2" s="1"/>
  <c r="G366" i="2" s="1"/>
  <c r="C375" i="2"/>
  <c r="D331" i="2" s="1"/>
  <c r="F331" i="2" s="1"/>
  <c r="O372" i="2"/>
  <c r="L371" i="2"/>
  <c r="Q370" i="2"/>
  <c r="P370" i="2"/>
  <c r="N370" i="2"/>
  <c r="O370" i="2" s="1"/>
  <c r="M370" i="2"/>
  <c r="K370" i="2"/>
  <c r="I370" i="2"/>
  <c r="J370" i="2" s="1"/>
  <c r="Q369" i="2"/>
  <c r="P369" i="2"/>
  <c r="N369" i="2"/>
  <c r="M369" i="2"/>
  <c r="K369" i="2"/>
  <c r="I369" i="2"/>
  <c r="J369" i="2" s="1"/>
  <c r="Q368" i="2"/>
  <c r="P368" i="2"/>
  <c r="N368" i="2"/>
  <c r="M368" i="2"/>
  <c r="K368" i="2"/>
  <c r="I368" i="2"/>
  <c r="J368" i="2" s="1"/>
  <c r="Q367" i="2"/>
  <c r="P367" i="2"/>
  <c r="N367" i="2"/>
  <c r="M367" i="2"/>
  <c r="K367" i="2"/>
  <c r="I367" i="2"/>
  <c r="J367" i="2" s="1"/>
  <c r="Q366" i="2"/>
  <c r="P366" i="2"/>
  <c r="N366" i="2"/>
  <c r="M366" i="2"/>
  <c r="K366" i="2"/>
  <c r="I366" i="2"/>
  <c r="J366" i="2" s="1"/>
  <c r="Q365" i="2"/>
  <c r="P365" i="2"/>
  <c r="R365" i="2" s="1"/>
  <c r="N365" i="2"/>
  <c r="M365" i="2"/>
  <c r="K365" i="2"/>
  <c r="I365" i="2"/>
  <c r="J365" i="2" s="1"/>
  <c r="Q364" i="2"/>
  <c r="P364" i="2"/>
  <c r="R364" i="2" s="1"/>
  <c r="N364" i="2"/>
  <c r="M364" i="2"/>
  <c r="K364" i="2"/>
  <c r="I364" i="2"/>
  <c r="J364" i="2" s="1"/>
  <c r="Q363" i="2"/>
  <c r="P363" i="2"/>
  <c r="N363" i="2"/>
  <c r="M363" i="2"/>
  <c r="K363" i="2"/>
  <c r="I363" i="2"/>
  <c r="J363" i="2" s="1"/>
  <c r="Q362" i="2"/>
  <c r="P362" i="2"/>
  <c r="N362" i="2"/>
  <c r="M362" i="2"/>
  <c r="K362" i="2"/>
  <c r="I362" i="2"/>
  <c r="J362" i="2" s="1"/>
  <c r="Q361" i="2"/>
  <c r="P361" i="2"/>
  <c r="N361" i="2"/>
  <c r="M361" i="2"/>
  <c r="K361" i="2"/>
  <c r="I361" i="2"/>
  <c r="J361" i="2" s="1"/>
  <c r="Q360" i="2"/>
  <c r="P360" i="2"/>
  <c r="N360" i="2"/>
  <c r="M360" i="2"/>
  <c r="K360" i="2"/>
  <c r="I360" i="2"/>
  <c r="J360" i="2" s="1"/>
  <c r="Q359" i="2"/>
  <c r="P359" i="2"/>
  <c r="N359" i="2"/>
  <c r="M359" i="2"/>
  <c r="K359" i="2"/>
  <c r="I359" i="2"/>
  <c r="J359" i="2" s="1"/>
  <c r="Q358" i="2"/>
  <c r="P358" i="2"/>
  <c r="N358" i="2"/>
  <c r="M358" i="2"/>
  <c r="O358" i="2" s="1"/>
  <c r="K358" i="2"/>
  <c r="I358" i="2"/>
  <c r="J358" i="2" s="1"/>
  <c r="Q357" i="2"/>
  <c r="P357" i="2"/>
  <c r="N357" i="2"/>
  <c r="M357" i="2"/>
  <c r="K357" i="2"/>
  <c r="I357" i="2"/>
  <c r="J357" i="2" s="1"/>
  <c r="Q356" i="2"/>
  <c r="R356" i="2" s="1"/>
  <c r="P356" i="2"/>
  <c r="N356" i="2"/>
  <c r="M356" i="2"/>
  <c r="O356" i="2" s="1"/>
  <c r="K356" i="2"/>
  <c r="I356" i="2"/>
  <c r="J356" i="2" s="1"/>
  <c r="Q355" i="2"/>
  <c r="P355" i="2"/>
  <c r="R355" i="2" s="1"/>
  <c r="N355" i="2"/>
  <c r="M355" i="2"/>
  <c r="K355" i="2"/>
  <c r="I355" i="2"/>
  <c r="J355" i="2" s="1"/>
  <c r="Q354" i="2"/>
  <c r="P354" i="2"/>
  <c r="N354" i="2"/>
  <c r="M354" i="2"/>
  <c r="K354" i="2"/>
  <c r="I354" i="2"/>
  <c r="J354" i="2" s="1"/>
  <c r="Q353" i="2"/>
  <c r="P353" i="2"/>
  <c r="N353" i="2"/>
  <c r="M353" i="2"/>
  <c r="K353" i="2"/>
  <c r="I353" i="2"/>
  <c r="J353" i="2" s="1"/>
  <c r="Q352" i="2"/>
  <c r="P352" i="2"/>
  <c r="N352" i="2"/>
  <c r="M352" i="2"/>
  <c r="K352" i="2"/>
  <c r="I352" i="2"/>
  <c r="J352" i="2" s="1"/>
  <c r="Q351" i="2"/>
  <c r="P351" i="2"/>
  <c r="N351" i="2"/>
  <c r="M351" i="2"/>
  <c r="K351" i="2"/>
  <c r="I351" i="2"/>
  <c r="J351" i="2" s="1"/>
  <c r="Q350" i="2"/>
  <c r="P350" i="2"/>
  <c r="N350" i="2"/>
  <c r="M350" i="2"/>
  <c r="K350" i="2"/>
  <c r="I350" i="2"/>
  <c r="J350" i="2" s="1"/>
  <c r="Q349" i="2"/>
  <c r="P349" i="2"/>
  <c r="N349" i="2"/>
  <c r="M349" i="2"/>
  <c r="K349" i="2"/>
  <c r="I349" i="2"/>
  <c r="J349" i="2" s="1"/>
  <c r="Q348" i="2"/>
  <c r="P348" i="2"/>
  <c r="N348" i="2"/>
  <c r="M348" i="2"/>
  <c r="K348" i="2"/>
  <c r="I348" i="2"/>
  <c r="J348" i="2" s="1"/>
  <c r="Q347" i="2"/>
  <c r="P347" i="2"/>
  <c r="R347" i="2" s="1"/>
  <c r="N347" i="2"/>
  <c r="M347" i="2"/>
  <c r="K347" i="2"/>
  <c r="I347" i="2"/>
  <c r="J347" i="2" s="1"/>
  <c r="Q346" i="2"/>
  <c r="P346" i="2"/>
  <c r="N346" i="2"/>
  <c r="M346" i="2"/>
  <c r="K346" i="2"/>
  <c r="I346" i="2"/>
  <c r="J346" i="2" s="1"/>
  <c r="Q345" i="2"/>
  <c r="P345" i="2"/>
  <c r="N345" i="2"/>
  <c r="M345" i="2"/>
  <c r="K345" i="2"/>
  <c r="I345" i="2"/>
  <c r="J345" i="2" s="1"/>
  <c r="E345" i="2"/>
  <c r="G345" i="2" s="1"/>
  <c r="Q344" i="2"/>
  <c r="P344" i="2"/>
  <c r="N344" i="2"/>
  <c r="M344" i="2"/>
  <c r="K344" i="2"/>
  <c r="I344" i="2"/>
  <c r="J344" i="2" s="1"/>
  <c r="Q343" i="2"/>
  <c r="P343" i="2"/>
  <c r="N343" i="2"/>
  <c r="M343" i="2"/>
  <c r="K343" i="2"/>
  <c r="I343" i="2"/>
  <c r="J343" i="2" s="1"/>
  <c r="E343" i="2"/>
  <c r="G343" i="2" s="1"/>
  <c r="Q342" i="2"/>
  <c r="P342" i="2"/>
  <c r="R342" i="2" s="1"/>
  <c r="N342" i="2"/>
  <c r="M342" i="2"/>
  <c r="K342" i="2"/>
  <c r="I342" i="2"/>
  <c r="J342" i="2" s="1"/>
  <c r="E342" i="2"/>
  <c r="G342" i="2" s="1"/>
  <c r="Q341" i="2"/>
  <c r="P341" i="2"/>
  <c r="N341" i="2"/>
  <c r="M341" i="2"/>
  <c r="K341" i="2"/>
  <c r="I341" i="2"/>
  <c r="J341" i="2" s="1"/>
  <c r="Q340" i="2"/>
  <c r="P340" i="2"/>
  <c r="N340" i="2"/>
  <c r="M340" i="2"/>
  <c r="K340" i="2"/>
  <c r="I340" i="2"/>
  <c r="J340" i="2" s="1"/>
  <c r="E340" i="2"/>
  <c r="G340" i="2" s="1"/>
  <c r="Q339" i="2"/>
  <c r="P339" i="2"/>
  <c r="N339" i="2"/>
  <c r="M339" i="2"/>
  <c r="K339" i="2"/>
  <c r="I339" i="2"/>
  <c r="J339" i="2" s="1"/>
  <c r="Q338" i="2"/>
  <c r="R338" i="2" s="1"/>
  <c r="P338" i="2"/>
  <c r="N338" i="2"/>
  <c r="M338" i="2"/>
  <c r="K338" i="2"/>
  <c r="I338" i="2"/>
  <c r="J338" i="2" s="1"/>
  <c r="Q337" i="2"/>
  <c r="P337" i="2"/>
  <c r="O337" i="2"/>
  <c r="N337" i="2"/>
  <c r="M337" i="2"/>
  <c r="K337" i="2"/>
  <c r="J337" i="2"/>
  <c r="I337" i="2"/>
  <c r="Q336" i="2"/>
  <c r="P336" i="2"/>
  <c r="N336" i="2"/>
  <c r="M336" i="2"/>
  <c r="K336" i="2"/>
  <c r="I336" i="2"/>
  <c r="J336" i="2" s="1"/>
  <c r="E336" i="2"/>
  <c r="G336" i="2" s="1"/>
  <c r="Q335" i="2"/>
  <c r="P335" i="2"/>
  <c r="N335" i="2"/>
  <c r="M335" i="2"/>
  <c r="K335" i="2"/>
  <c r="I335" i="2"/>
  <c r="J335" i="2" s="1"/>
  <c r="Q334" i="2"/>
  <c r="P334" i="2"/>
  <c r="N334" i="2"/>
  <c r="M334" i="2"/>
  <c r="K334" i="2"/>
  <c r="I334" i="2"/>
  <c r="J334" i="2" s="1"/>
  <c r="Q333" i="2"/>
  <c r="P333" i="2"/>
  <c r="N333" i="2"/>
  <c r="M333" i="2"/>
  <c r="K333" i="2"/>
  <c r="I333" i="2"/>
  <c r="J333" i="2" s="1"/>
  <c r="Q332" i="2"/>
  <c r="P332" i="2"/>
  <c r="N332" i="2"/>
  <c r="M332" i="2"/>
  <c r="K332" i="2"/>
  <c r="I332" i="2"/>
  <c r="J332" i="2" s="1"/>
  <c r="E332" i="2"/>
  <c r="Q331" i="2"/>
  <c r="P331" i="2"/>
  <c r="R331" i="2" s="1"/>
  <c r="N331" i="2"/>
  <c r="M331" i="2"/>
  <c r="K331" i="2"/>
  <c r="I331" i="2"/>
  <c r="J331" i="2" s="1"/>
  <c r="Q330" i="2"/>
  <c r="P330" i="2"/>
  <c r="N330" i="2"/>
  <c r="M330" i="2"/>
  <c r="K330" i="2"/>
  <c r="I330" i="2"/>
  <c r="J330" i="2" s="1"/>
  <c r="Q329" i="2"/>
  <c r="P329" i="2"/>
  <c r="N329" i="2"/>
  <c r="M329" i="2"/>
  <c r="O329" i="2" s="1"/>
  <c r="K329" i="2"/>
  <c r="I329" i="2"/>
  <c r="J329" i="2" s="1"/>
  <c r="Q328" i="2"/>
  <c r="P328" i="2"/>
  <c r="N328" i="2"/>
  <c r="M328" i="2"/>
  <c r="K328" i="2"/>
  <c r="I328" i="2"/>
  <c r="J328" i="2" s="1"/>
  <c r="Q327" i="2"/>
  <c r="P327" i="2"/>
  <c r="N327" i="2"/>
  <c r="M327" i="2"/>
  <c r="K327" i="2"/>
  <c r="I327" i="2"/>
  <c r="J327" i="2" s="1"/>
  <c r="Q326" i="2"/>
  <c r="P326" i="2"/>
  <c r="N326" i="2"/>
  <c r="M326" i="2"/>
  <c r="K326" i="2"/>
  <c r="I326" i="2"/>
  <c r="J326" i="2" s="1"/>
  <c r="Q325" i="2"/>
  <c r="P325" i="2"/>
  <c r="N325" i="2"/>
  <c r="M325" i="2"/>
  <c r="O325" i="2" s="1"/>
  <c r="K325" i="2"/>
  <c r="J325" i="2"/>
  <c r="I325" i="2"/>
  <c r="Q324" i="2"/>
  <c r="P324" i="2"/>
  <c r="N324" i="2"/>
  <c r="M324" i="2"/>
  <c r="K324" i="2"/>
  <c r="I324" i="2"/>
  <c r="J324" i="2" s="1"/>
  <c r="E324" i="2"/>
  <c r="Q323" i="2"/>
  <c r="P323" i="2"/>
  <c r="R323" i="2" s="1"/>
  <c r="N323" i="2"/>
  <c r="M323" i="2"/>
  <c r="K323" i="2"/>
  <c r="I323" i="2"/>
  <c r="J323" i="2" s="1"/>
  <c r="Q322" i="2"/>
  <c r="P322" i="2"/>
  <c r="N322" i="2"/>
  <c r="M322" i="2"/>
  <c r="K322" i="2"/>
  <c r="I322" i="2"/>
  <c r="J322" i="2" s="1"/>
  <c r="Q321" i="2"/>
  <c r="P321" i="2"/>
  <c r="N321" i="2"/>
  <c r="M321" i="2"/>
  <c r="K321" i="2"/>
  <c r="I321" i="2"/>
  <c r="J321" i="2" s="1"/>
  <c r="Q320" i="2"/>
  <c r="P320" i="2"/>
  <c r="N320" i="2"/>
  <c r="M320" i="2"/>
  <c r="K320" i="2"/>
  <c r="I320" i="2"/>
  <c r="J320" i="2" s="1"/>
  <c r="Q319" i="2"/>
  <c r="P319" i="2"/>
  <c r="R319" i="2" s="1"/>
  <c r="N319" i="2"/>
  <c r="M319" i="2"/>
  <c r="K319" i="2"/>
  <c r="I319" i="2"/>
  <c r="J319" i="2" s="1"/>
  <c r="Q318" i="2"/>
  <c r="P318" i="2"/>
  <c r="N318" i="2"/>
  <c r="M318" i="2"/>
  <c r="K318" i="2"/>
  <c r="I318" i="2"/>
  <c r="J318" i="2" s="1"/>
  <c r="Q317" i="2"/>
  <c r="P317" i="2"/>
  <c r="N317" i="2"/>
  <c r="M317" i="2"/>
  <c r="K317" i="2"/>
  <c r="I317" i="2"/>
  <c r="J317" i="2" s="1"/>
  <c r="E317" i="2"/>
  <c r="G317" i="2" s="1"/>
  <c r="Q316" i="2"/>
  <c r="P316" i="2"/>
  <c r="N316" i="2"/>
  <c r="M316" i="2"/>
  <c r="K316" i="2"/>
  <c r="I316" i="2"/>
  <c r="J316" i="2" s="1"/>
  <c r="E316" i="2"/>
  <c r="G316" i="2" s="1"/>
  <c r="Q315" i="2"/>
  <c r="P315" i="2"/>
  <c r="N315" i="2"/>
  <c r="M315" i="2"/>
  <c r="K315" i="2"/>
  <c r="I315" i="2"/>
  <c r="J315" i="2" s="1"/>
  <c r="Q314" i="2"/>
  <c r="P314" i="2"/>
  <c r="N314" i="2"/>
  <c r="M314" i="2"/>
  <c r="K314" i="2"/>
  <c r="I314" i="2"/>
  <c r="J314" i="2" s="1"/>
  <c r="Q313" i="2"/>
  <c r="P313" i="2"/>
  <c r="N313" i="2"/>
  <c r="M313" i="2"/>
  <c r="K313" i="2"/>
  <c r="I313" i="2"/>
  <c r="J313" i="2" s="1"/>
  <c r="Q312" i="2"/>
  <c r="P312" i="2"/>
  <c r="N312" i="2"/>
  <c r="M312" i="2"/>
  <c r="K312" i="2"/>
  <c r="I312" i="2"/>
  <c r="J312" i="2" s="1"/>
  <c r="Q311" i="2"/>
  <c r="P311" i="2"/>
  <c r="N311" i="2"/>
  <c r="M311" i="2"/>
  <c r="K311" i="2"/>
  <c r="I311" i="2"/>
  <c r="J311" i="2" s="1"/>
  <c r="Q310" i="2"/>
  <c r="P310" i="2"/>
  <c r="N310" i="2"/>
  <c r="M310" i="2"/>
  <c r="K310" i="2"/>
  <c r="I310" i="2"/>
  <c r="J310" i="2" s="1"/>
  <c r="E310" i="2"/>
  <c r="G310" i="2" s="1"/>
  <c r="Q309" i="2"/>
  <c r="P309" i="2"/>
  <c r="N309" i="2"/>
  <c r="M309" i="2"/>
  <c r="K309" i="2"/>
  <c r="I309" i="2"/>
  <c r="J309" i="2" s="1"/>
  <c r="E309" i="2"/>
  <c r="G309" i="2" s="1"/>
  <c r="Q308" i="2"/>
  <c r="P308" i="2"/>
  <c r="N308" i="2"/>
  <c r="M308" i="2"/>
  <c r="K308" i="2"/>
  <c r="I308" i="2"/>
  <c r="J308" i="2" s="1"/>
  <c r="Q307" i="2"/>
  <c r="P307" i="2"/>
  <c r="N307" i="2"/>
  <c r="M307" i="2"/>
  <c r="K307" i="2"/>
  <c r="I307" i="2"/>
  <c r="J307" i="2" s="1"/>
  <c r="E307" i="2"/>
  <c r="G307" i="2" s="1"/>
  <c r="Q306" i="2"/>
  <c r="P306" i="2"/>
  <c r="N306" i="2"/>
  <c r="M306" i="2"/>
  <c r="K306" i="2"/>
  <c r="I306" i="2"/>
  <c r="J306" i="2" s="1"/>
  <c r="Q305" i="2"/>
  <c r="P305" i="2"/>
  <c r="N305" i="2"/>
  <c r="M305" i="2"/>
  <c r="K305" i="2"/>
  <c r="I305" i="2"/>
  <c r="J305" i="2" s="1"/>
  <c r="Q304" i="2"/>
  <c r="P304" i="2"/>
  <c r="N304" i="2"/>
  <c r="M304" i="2"/>
  <c r="K304" i="2"/>
  <c r="I304" i="2"/>
  <c r="J304" i="2" s="1"/>
  <c r="Q303" i="2"/>
  <c r="P303" i="2"/>
  <c r="N303" i="2"/>
  <c r="M303" i="2"/>
  <c r="K303" i="2"/>
  <c r="I303" i="2"/>
  <c r="J303" i="2" s="1"/>
  <c r="Q302" i="2"/>
  <c r="P302" i="2"/>
  <c r="N302" i="2"/>
  <c r="M302" i="2"/>
  <c r="K302" i="2"/>
  <c r="I302" i="2"/>
  <c r="J302" i="2" s="1"/>
  <c r="E302" i="2"/>
  <c r="G302" i="2" s="1"/>
  <c r="Q301" i="2"/>
  <c r="P301" i="2"/>
  <c r="N301" i="2"/>
  <c r="M301" i="2"/>
  <c r="K301" i="2"/>
  <c r="I301" i="2"/>
  <c r="J301" i="2" s="1"/>
  <c r="Q300" i="2"/>
  <c r="P300" i="2"/>
  <c r="N300" i="2"/>
  <c r="M300" i="2"/>
  <c r="K300" i="2"/>
  <c r="I300" i="2"/>
  <c r="J300" i="2" s="1"/>
  <c r="Q299" i="2"/>
  <c r="P299" i="2"/>
  <c r="R299" i="2" s="1"/>
  <c r="N299" i="2"/>
  <c r="M299" i="2"/>
  <c r="O299" i="2" s="1"/>
  <c r="K299" i="2"/>
  <c r="I299" i="2"/>
  <c r="J299" i="2" s="1"/>
  <c r="E299" i="2"/>
  <c r="G299" i="2" s="1"/>
  <c r="Q298" i="2"/>
  <c r="P298" i="2"/>
  <c r="N298" i="2"/>
  <c r="M298" i="2"/>
  <c r="K298" i="2"/>
  <c r="I298" i="2"/>
  <c r="J298" i="2" s="1"/>
  <c r="E298" i="2"/>
  <c r="G298" i="2" s="1"/>
  <c r="Q297" i="2"/>
  <c r="P297" i="2"/>
  <c r="N297" i="2"/>
  <c r="M297" i="2"/>
  <c r="K297" i="2"/>
  <c r="I297" i="2"/>
  <c r="J297" i="2" s="1"/>
  <c r="Q296" i="2"/>
  <c r="P296" i="2"/>
  <c r="N296" i="2"/>
  <c r="M296" i="2"/>
  <c r="K296" i="2"/>
  <c r="I296" i="2"/>
  <c r="J296" i="2" s="1"/>
  <c r="E296" i="2"/>
  <c r="G296" i="2" s="1"/>
  <c r="Q295" i="2"/>
  <c r="P295" i="2"/>
  <c r="N295" i="2"/>
  <c r="M295" i="2"/>
  <c r="K295" i="2"/>
  <c r="I295" i="2"/>
  <c r="J295" i="2" s="1"/>
  <c r="E295" i="2"/>
  <c r="G295" i="2" s="1"/>
  <c r="Q294" i="2"/>
  <c r="P294" i="2"/>
  <c r="N294" i="2"/>
  <c r="M294" i="2"/>
  <c r="K294" i="2"/>
  <c r="I294" i="2"/>
  <c r="J294" i="2" s="1"/>
  <c r="E294" i="2"/>
  <c r="G294" i="2" s="1"/>
  <c r="Q293" i="2"/>
  <c r="P293" i="2"/>
  <c r="N293" i="2"/>
  <c r="M293" i="2"/>
  <c r="K293" i="2"/>
  <c r="I293" i="2"/>
  <c r="J293" i="2" s="1"/>
  <c r="Q292" i="2"/>
  <c r="P292" i="2"/>
  <c r="N292" i="2"/>
  <c r="M292" i="2"/>
  <c r="K292" i="2"/>
  <c r="I292" i="2"/>
  <c r="J292" i="2" s="1"/>
  <c r="Q291" i="2"/>
  <c r="P291" i="2"/>
  <c r="N291" i="2"/>
  <c r="M291" i="2"/>
  <c r="K291" i="2"/>
  <c r="I291" i="2"/>
  <c r="J291" i="2" s="1"/>
  <c r="Q290" i="2"/>
  <c r="P290" i="2"/>
  <c r="R290" i="2" s="1"/>
  <c r="N290" i="2"/>
  <c r="M290" i="2"/>
  <c r="K290" i="2"/>
  <c r="I290" i="2"/>
  <c r="J290" i="2" s="1"/>
  <c r="Q289" i="2"/>
  <c r="P289" i="2"/>
  <c r="N289" i="2"/>
  <c r="M289" i="2"/>
  <c r="O289" i="2" s="1"/>
  <c r="K289" i="2"/>
  <c r="I289" i="2"/>
  <c r="J289" i="2" s="1"/>
  <c r="Q288" i="2"/>
  <c r="P288" i="2"/>
  <c r="N288" i="2"/>
  <c r="M288" i="2"/>
  <c r="K288" i="2"/>
  <c r="I288" i="2"/>
  <c r="J288" i="2" s="1"/>
  <c r="Q287" i="2"/>
  <c r="P287" i="2"/>
  <c r="N287" i="2"/>
  <c r="M287" i="2"/>
  <c r="K287" i="2"/>
  <c r="I287" i="2"/>
  <c r="J287" i="2" s="1"/>
  <c r="Q286" i="2"/>
  <c r="R286" i="2" s="1"/>
  <c r="P286" i="2"/>
  <c r="N286" i="2"/>
  <c r="M286" i="2"/>
  <c r="K286" i="2"/>
  <c r="I286" i="2"/>
  <c r="J286" i="2" s="1"/>
  <c r="Q285" i="2"/>
  <c r="P285" i="2"/>
  <c r="N285" i="2"/>
  <c r="M285" i="2"/>
  <c r="K285" i="2"/>
  <c r="I285" i="2"/>
  <c r="J285" i="2" s="1"/>
  <c r="Q284" i="2"/>
  <c r="P284" i="2"/>
  <c r="N284" i="2"/>
  <c r="M284" i="2"/>
  <c r="K284" i="2"/>
  <c r="I284" i="2"/>
  <c r="J284" i="2" s="1"/>
  <c r="E284" i="2"/>
  <c r="G284" i="2" s="1"/>
  <c r="Q283" i="2"/>
  <c r="P283" i="2"/>
  <c r="N283" i="2"/>
  <c r="M283" i="2"/>
  <c r="O283" i="2" s="1"/>
  <c r="K283" i="2"/>
  <c r="I283" i="2"/>
  <c r="J283" i="2" s="1"/>
  <c r="E283" i="2"/>
  <c r="G283" i="2" s="1"/>
  <c r="Q282" i="2"/>
  <c r="R282" i="2" s="1"/>
  <c r="P282" i="2"/>
  <c r="N282" i="2"/>
  <c r="M282" i="2"/>
  <c r="K282" i="2"/>
  <c r="I282" i="2"/>
  <c r="J282" i="2" s="1"/>
  <c r="Q281" i="2"/>
  <c r="P281" i="2"/>
  <c r="N281" i="2"/>
  <c r="M281" i="2"/>
  <c r="K281" i="2"/>
  <c r="I281" i="2"/>
  <c r="J281" i="2" s="1"/>
  <c r="E281" i="2"/>
  <c r="G281" i="2" s="1"/>
  <c r="Q280" i="2"/>
  <c r="P280" i="2"/>
  <c r="N280" i="2"/>
  <c r="M280" i="2"/>
  <c r="K280" i="2"/>
  <c r="I280" i="2"/>
  <c r="J280" i="2" s="1"/>
  <c r="Q279" i="2"/>
  <c r="P279" i="2"/>
  <c r="N279" i="2"/>
  <c r="M279" i="2"/>
  <c r="K279" i="2"/>
  <c r="I279" i="2"/>
  <c r="J279" i="2" s="1"/>
  <c r="Q278" i="2"/>
  <c r="R278" i="2" s="1"/>
  <c r="P278" i="2"/>
  <c r="N278" i="2"/>
  <c r="M278" i="2"/>
  <c r="K278" i="2"/>
  <c r="I278" i="2"/>
  <c r="J278" i="2" s="1"/>
  <c r="Q277" i="2"/>
  <c r="P277" i="2"/>
  <c r="N277" i="2"/>
  <c r="M277" i="2"/>
  <c r="K277" i="2"/>
  <c r="I277" i="2"/>
  <c r="J277" i="2" s="1"/>
  <c r="Q276" i="2"/>
  <c r="R276" i="2" s="1"/>
  <c r="P276" i="2"/>
  <c r="N276" i="2"/>
  <c r="M276" i="2"/>
  <c r="K276" i="2"/>
  <c r="I276" i="2"/>
  <c r="J276" i="2" s="1"/>
  <c r="E276" i="2"/>
  <c r="Q275" i="2"/>
  <c r="P275" i="2"/>
  <c r="N275" i="2"/>
  <c r="M275" i="2"/>
  <c r="K275" i="2"/>
  <c r="I275" i="2"/>
  <c r="J275" i="2" s="1"/>
  <c r="Q274" i="2"/>
  <c r="P274" i="2"/>
  <c r="N274" i="2"/>
  <c r="M274" i="2"/>
  <c r="K274" i="2"/>
  <c r="I274" i="2"/>
  <c r="J274" i="2" s="1"/>
  <c r="Q273" i="2"/>
  <c r="P273" i="2"/>
  <c r="N273" i="2"/>
  <c r="M273" i="2"/>
  <c r="K273" i="2"/>
  <c r="I273" i="2"/>
  <c r="J273" i="2" s="1"/>
  <c r="E273" i="2"/>
  <c r="G273" i="2" s="1"/>
  <c r="Q272" i="2"/>
  <c r="P272" i="2"/>
  <c r="N272" i="2"/>
  <c r="M272" i="2"/>
  <c r="K272" i="2"/>
  <c r="I272" i="2"/>
  <c r="J272" i="2" s="1"/>
  <c r="E272" i="2"/>
  <c r="G272" i="2" s="1"/>
  <c r="Q271" i="2"/>
  <c r="P271" i="2"/>
  <c r="N271" i="2"/>
  <c r="M271" i="2"/>
  <c r="K271" i="2"/>
  <c r="I271" i="2"/>
  <c r="J271" i="2" s="1"/>
  <c r="Q270" i="2"/>
  <c r="P270" i="2"/>
  <c r="N270" i="2"/>
  <c r="M270" i="2"/>
  <c r="K270" i="2"/>
  <c r="I270" i="2"/>
  <c r="J270" i="2" s="1"/>
  <c r="Q269" i="2"/>
  <c r="P269" i="2"/>
  <c r="N269" i="2"/>
  <c r="M269" i="2"/>
  <c r="O269" i="2" s="1"/>
  <c r="K269" i="2"/>
  <c r="I269" i="2"/>
  <c r="J269" i="2" s="1"/>
  <c r="Q268" i="2"/>
  <c r="P268" i="2"/>
  <c r="N268" i="2"/>
  <c r="M268" i="2"/>
  <c r="K268" i="2"/>
  <c r="I268" i="2"/>
  <c r="J268" i="2" s="1"/>
  <c r="Q267" i="2"/>
  <c r="P267" i="2"/>
  <c r="N267" i="2"/>
  <c r="M267" i="2"/>
  <c r="K267" i="2"/>
  <c r="I267" i="2"/>
  <c r="J267" i="2" s="1"/>
  <c r="Q266" i="2"/>
  <c r="P266" i="2"/>
  <c r="N266" i="2"/>
  <c r="M266" i="2"/>
  <c r="K266" i="2"/>
  <c r="I266" i="2"/>
  <c r="J266" i="2" s="1"/>
  <c r="Q265" i="2"/>
  <c r="P265" i="2"/>
  <c r="N265" i="2"/>
  <c r="M265" i="2"/>
  <c r="K265" i="2"/>
  <c r="I265" i="2"/>
  <c r="J265" i="2" s="1"/>
  <c r="Q264" i="2"/>
  <c r="P264" i="2"/>
  <c r="N264" i="2"/>
  <c r="M264" i="2"/>
  <c r="K264" i="2"/>
  <c r="I264" i="2"/>
  <c r="J264" i="2" s="1"/>
  <c r="E264" i="2"/>
  <c r="G264" i="2" s="1"/>
  <c r="Q263" i="2"/>
  <c r="P263" i="2"/>
  <c r="N263" i="2"/>
  <c r="M263" i="2"/>
  <c r="K263" i="2"/>
  <c r="I263" i="2"/>
  <c r="J263" i="2" s="1"/>
  <c r="Q262" i="2"/>
  <c r="P262" i="2"/>
  <c r="N262" i="2"/>
  <c r="M262" i="2"/>
  <c r="K262" i="2"/>
  <c r="I262" i="2"/>
  <c r="J262" i="2" s="1"/>
  <c r="E262" i="2"/>
  <c r="G262" i="2" s="1"/>
  <c r="Q261" i="2"/>
  <c r="P261" i="2"/>
  <c r="N261" i="2"/>
  <c r="M261" i="2"/>
  <c r="K261" i="2"/>
  <c r="I261" i="2"/>
  <c r="J261" i="2" s="1"/>
  <c r="E261" i="2"/>
  <c r="G261" i="2" s="1"/>
  <c r="Q260" i="2"/>
  <c r="P260" i="2"/>
  <c r="N260" i="2"/>
  <c r="M260" i="2"/>
  <c r="K260" i="2"/>
  <c r="I260" i="2"/>
  <c r="J260" i="2" s="1"/>
  <c r="Q259" i="2"/>
  <c r="P259" i="2"/>
  <c r="R259" i="2" s="1"/>
  <c r="N259" i="2"/>
  <c r="M259" i="2"/>
  <c r="K259" i="2"/>
  <c r="I259" i="2"/>
  <c r="J259" i="2" s="1"/>
  <c r="E259" i="2"/>
  <c r="G259" i="2" s="1"/>
  <c r="Q258" i="2"/>
  <c r="P258" i="2"/>
  <c r="N258" i="2"/>
  <c r="M258" i="2"/>
  <c r="K258" i="2"/>
  <c r="I258" i="2"/>
  <c r="J258" i="2" s="1"/>
  <c r="Q257" i="2"/>
  <c r="P257" i="2"/>
  <c r="N257" i="2"/>
  <c r="M257" i="2"/>
  <c r="K257" i="2"/>
  <c r="I257" i="2"/>
  <c r="J257" i="2" s="1"/>
  <c r="Q256" i="2"/>
  <c r="P256" i="2"/>
  <c r="N256" i="2"/>
  <c r="M256" i="2"/>
  <c r="K256" i="2"/>
  <c r="I256" i="2"/>
  <c r="J256" i="2" s="1"/>
  <c r="Q255" i="2"/>
  <c r="P255" i="2"/>
  <c r="N255" i="2"/>
  <c r="M255" i="2"/>
  <c r="K255" i="2"/>
  <c r="I255" i="2"/>
  <c r="J255" i="2" s="1"/>
  <c r="E255" i="2"/>
  <c r="G255" i="2" s="1"/>
  <c r="Q254" i="2"/>
  <c r="P254" i="2"/>
  <c r="N254" i="2"/>
  <c r="M254" i="2"/>
  <c r="K254" i="2"/>
  <c r="I254" i="2"/>
  <c r="J254" i="2" s="1"/>
  <c r="Q253" i="2"/>
  <c r="P253" i="2"/>
  <c r="N253" i="2"/>
  <c r="M253" i="2"/>
  <c r="K253" i="2"/>
  <c r="I253" i="2"/>
  <c r="J253" i="2" s="1"/>
  <c r="E253" i="2"/>
  <c r="G253" i="2" s="1"/>
  <c r="Q252" i="2"/>
  <c r="P252" i="2"/>
  <c r="N252" i="2"/>
  <c r="M252" i="2"/>
  <c r="K252" i="2"/>
  <c r="I252" i="2"/>
  <c r="J252" i="2" s="1"/>
  <c r="E252" i="2"/>
  <c r="G252" i="2" s="1"/>
  <c r="Q251" i="2"/>
  <c r="P251" i="2"/>
  <c r="N251" i="2"/>
  <c r="M251" i="2"/>
  <c r="K251" i="2"/>
  <c r="I251" i="2"/>
  <c r="J251" i="2" s="1"/>
  <c r="Q250" i="2"/>
  <c r="P250" i="2"/>
  <c r="N250" i="2"/>
  <c r="M250" i="2"/>
  <c r="K250" i="2"/>
  <c r="I250" i="2"/>
  <c r="J250" i="2" s="1"/>
  <c r="E250" i="2"/>
  <c r="G250" i="2" s="1"/>
  <c r="Q249" i="2"/>
  <c r="P249" i="2"/>
  <c r="N249" i="2"/>
  <c r="M249" i="2"/>
  <c r="K249" i="2"/>
  <c r="I249" i="2"/>
  <c r="J249" i="2" s="1"/>
  <c r="E249" i="2"/>
  <c r="G249" i="2" s="1"/>
  <c r="Q248" i="2"/>
  <c r="P248" i="2"/>
  <c r="N248" i="2"/>
  <c r="M248" i="2"/>
  <c r="K248" i="2"/>
  <c r="I248" i="2"/>
  <c r="J248" i="2" s="1"/>
  <c r="Q247" i="2"/>
  <c r="P247" i="2"/>
  <c r="N247" i="2"/>
  <c r="M247" i="2"/>
  <c r="K247" i="2"/>
  <c r="I247" i="2"/>
  <c r="J247" i="2" s="1"/>
  <c r="E247" i="2"/>
  <c r="G247" i="2" s="1"/>
  <c r="Q246" i="2"/>
  <c r="P246" i="2"/>
  <c r="N246" i="2"/>
  <c r="M246" i="2"/>
  <c r="K246" i="2"/>
  <c r="I246" i="2"/>
  <c r="J246" i="2" s="1"/>
  <c r="E246" i="2"/>
  <c r="G246" i="2" s="1"/>
  <c r="Q245" i="2"/>
  <c r="P245" i="2"/>
  <c r="N245" i="2"/>
  <c r="M245" i="2"/>
  <c r="K245" i="2"/>
  <c r="I245" i="2"/>
  <c r="J245" i="2" s="1"/>
  <c r="E245" i="2"/>
  <c r="G245" i="2" s="1"/>
  <c r="Q244" i="2"/>
  <c r="P244" i="2"/>
  <c r="N244" i="2"/>
  <c r="M244" i="2"/>
  <c r="O244" i="2" s="1"/>
  <c r="K244" i="2"/>
  <c r="I244" i="2"/>
  <c r="J244" i="2" s="1"/>
  <c r="D244" i="2"/>
  <c r="F244" i="2" s="1"/>
  <c r="Q243" i="2"/>
  <c r="P243" i="2"/>
  <c r="R243" i="2" s="1"/>
  <c r="N243" i="2"/>
  <c r="M243" i="2"/>
  <c r="K243" i="2"/>
  <c r="I243" i="2"/>
  <c r="J243" i="2" s="1"/>
  <c r="Q242" i="2"/>
  <c r="P242" i="2"/>
  <c r="N242" i="2"/>
  <c r="M242" i="2"/>
  <c r="K242" i="2"/>
  <c r="I242" i="2"/>
  <c r="J242" i="2" s="1"/>
  <c r="E242" i="2"/>
  <c r="G242" i="2" s="1"/>
  <c r="Q241" i="2"/>
  <c r="P241" i="2"/>
  <c r="N241" i="2"/>
  <c r="M241" i="2"/>
  <c r="K241" i="2"/>
  <c r="I241" i="2"/>
  <c r="J241" i="2" s="1"/>
  <c r="E241" i="2"/>
  <c r="G241" i="2" s="1"/>
  <c r="Q240" i="2"/>
  <c r="P240" i="2"/>
  <c r="N240" i="2"/>
  <c r="M240" i="2"/>
  <c r="O240" i="2" s="1"/>
  <c r="K240" i="2"/>
  <c r="I240" i="2"/>
  <c r="J240" i="2" s="1"/>
  <c r="E240" i="2"/>
  <c r="G240" i="2" s="1"/>
  <c r="Q239" i="2"/>
  <c r="P239" i="2"/>
  <c r="N239" i="2"/>
  <c r="M239" i="2"/>
  <c r="K239" i="2"/>
  <c r="I239" i="2"/>
  <c r="J239" i="2" s="1"/>
  <c r="E239" i="2"/>
  <c r="G239" i="2" s="1"/>
  <c r="Q238" i="2"/>
  <c r="P238" i="2"/>
  <c r="R238" i="2" s="1"/>
  <c r="N238" i="2"/>
  <c r="M238" i="2"/>
  <c r="K238" i="2"/>
  <c r="I238" i="2"/>
  <c r="J238" i="2" s="1"/>
  <c r="Q237" i="2"/>
  <c r="P237" i="2"/>
  <c r="N237" i="2"/>
  <c r="M237" i="2"/>
  <c r="K237" i="2"/>
  <c r="I237" i="2"/>
  <c r="J237" i="2" s="1"/>
  <c r="E237" i="2"/>
  <c r="G237" i="2" s="1"/>
  <c r="Q236" i="2"/>
  <c r="P236" i="2"/>
  <c r="R236" i="2" s="1"/>
  <c r="N236" i="2"/>
  <c r="M236" i="2"/>
  <c r="K236" i="2"/>
  <c r="I236" i="2"/>
  <c r="J236" i="2" s="1"/>
  <c r="E236" i="2"/>
  <c r="G236" i="2" s="1"/>
  <c r="Q235" i="2"/>
  <c r="P235" i="2"/>
  <c r="N235" i="2"/>
  <c r="M235" i="2"/>
  <c r="K235" i="2"/>
  <c r="I235" i="2"/>
  <c r="J235" i="2" s="1"/>
  <c r="E235" i="2"/>
  <c r="G235" i="2" s="1"/>
  <c r="Q234" i="2"/>
  <c r="P234" i="2"/>
  <c r="N234" i="2"/>
  <c r="M234" i="2"/>
  <c r="K234" i="2"/>
  <c r="I234" i="2"/>
  <c r="J234" i="2" s="1"/>
  <c r="Q233" i="2"/>
  <c r="P233" i="2"/>
  <c r="N233" i="2"/>
  <c r="M233" i="2"/>
  <c r="K233" i="2"/>
  <c r="I233" i="2"/>
  <c r="J233" i="2" s="1"/>
  <c r="Q232" i="2"/>
  <c r="P232" i="2"/>
  <c r="N232" i="2"/>
  <c r="M232" i="2"/>
  <c r="K232" i="2"/>
  <c r="I232" i="2"/>
  <c r="J232" i="2" s="1"/>
  <c r="E232" i="2"/>
  <c r="G232" i="2" s="1"/>
  <c r="Q231" i="2"/>
  <c r="P231" i="2"/>
  <c r="N231" i="2"/>
  <c r="M231" i="2"/>
  <c r="K231" i="2"/>
  <c r="I231" i="2"/>
  <c r="J231" i="2" s="1"/>
  <c r="E231" i="2"/>
  <c r="G231" i="2" s="1"/>
  <c r="Q230" i="2"/>
  <c r="P230" i="2"/>
  <c r="N230" i="2"/>
  <c r="M230" i="2"/>
  <c r="K230" i="2"/>
  <c r="I230" i="2"/>
  <c r="J230" i="2" s="1"/>
  <c r="E230" i="2"/>
  <c r="G230" i="2" s="1"/>
  <c r="Q229" i="2"/>
  <c r="P229" i="2"/>
  <c r="N229" i="2"/>
  <c r="M229" i="2"/>
  <c r="K229" i="2"/>
  <c r="I229" i="2"/>
  <c r="J229" i="2" s="1"/>
  <c r="Q228" i="2"/>
  <c r="P228" i="2"/>
  <c r="N228" i="2"/>
  <c r="M228" i="2"/>
  <c r="K228" i="2"/>
  <c r="I228" i="2"/>
  <c r="J228" i="2" s="1"/>
  <c r="E228" i="2"/>
  <c r="G228" i="2" s="1"/>
  <c r="Q227" i="2"/>
  <c r="P227" i="2"/>
  <c r="R227" i="2" s="1"/>
  <c r="N227" i="2"/>
  <c r="M227" i="2"/>
  <c r="K227" i="2"/>
  <c r="I227" i="2"/>
  <c r="J227" i="2" s="1"/>
  <c r="Q226" i="2"/>
  <c r="P226" i="2"/>
  <c r="R226" i="2" s="1"/>
  <c r="N226" i="2"/>
  <c r="M226" i="2"/>
  <c r="K226" i="2"/>
  <c r="I226" i="2"/>
  <c r="J226" i="2" s="1"/>
  <c r="E226" i="2"/>
  <c r="G226" i="2" s="1"/>
  <c r="Q225" i="2"/>
  <c r="P225" i="2"/>
  <c r="N225" i="2"/>
  <c r="M225" i="2"/>
  <c r="K225" i="2"/>
  <c r="I225" i="2"/>
  <c r="J225" i="2" s="1"/>
  <c r="E225" i="2"/>
  <c r="G225" i="2" s="1"/>
  <c r="Q224" i="2"/>
  <c r="P224" i="2"/>
  <c r="N224" i="2"/>
  <c r="M224" i="2"/>
  <c r="K224" i="2"/>
  <c r="I224" i="2"/>
  <c r="J224" i="2" s="1"/>
  <c r="E224" i="2"/>
  <c r="G224" i="2" s="1"/>
  <c r="Q223" i="2"/>
  <c r="P223" i="2"/>
  <c r="N223" i="2"/>
  <c r="M223" i="2"/>
  <c r="K223" i="2"/>
  <c r="I223" i="2"/>
  <c r="J223" i="2" s="1"/>
  <c r="E223" i="2"/>
  <c r="G223" i="2" s="1"/>
  <c r="Q222" i="2"/>
  <c r="P222" i="2"/>
  <c r="N222" i="2"/>
  <c r="M222" i="2"/>
  <c r="K222" i="2"/>
  <c r="I222" i="2"/>
  <c r="J222" i="2" s="1"/>
  <c r="E222" i="2"/>
  <c r="G222" i="2" s="1"/>
  <c r="Q221" i="2"/>
  <c r="P221" i="2"/>
  <c r="N221" i="2"/>
  <c r="M221" i="2"/>
  <c r="K221" i="2"/>
  <c r="I221" i="2"/>
  <c r="J221" i="2" s="1"/>
  <c r="E221" i="2"/>
  <c r="G221" i="2" s="1"/>
  <c r="Q220" i="2"/>
  <c r="P220" i="2"/>
  <c r="N220" i="2"/>
  <c r="M220" i="2"/>
  <c r="K220" i="2"/>
  <c r="I220" i="2"/>
  <c r="J220" i="2" s="1"/>
  <c r="E220" i="2"/>
  <c r="G220" i="2" s="1"/>
  <c r="Q219" i="2"/>
  <c r="P219" i="2"/>
  <c r="N219" i="2"/>
  <c r="M219" i="2"/>
  <c r="K219" i="2"/>
  <c r="I219" i="2"/>
  <c r="J219" i="2" s="1"/>
  <c r="E219" i="2"/>
  <c r="G219" i="2" s="1"/>
  <c r="Q218" i="2"/>
  <c r="P218" i="2"/>
  <c r="R218" i="2" s="1"/>
  <c r="N218" i="2"/>
  <c r="O218" i="2" s="1"/>
  <c r="M218" i="2"/>
  <c r="K218" i="2"/>
  <c r="I218" i="2"/>
  <c r="J218" i="2" s="1"/>
  <c r="E218" i="2"/>
  <c r="G218" i="2" s="1"/>
  <c r="Q217" i="2"/>
  <c r="P217" i="2"/>
  <c r="N217" i="2"/>
  <c r="M217" i="2"/>
  <c r="K217" i="2"/>
  <c r="I217" i="2"/>
  <c r="J217" i="2" s="1"/>
  <c r="E217" i="2"/>
  <c r="G217" i="2" s="1"/>
  <c r="Q216" i="2"/>
  <c r="P216" i="2"/>
  <c r="N216" i="2"/>
  <c r="M216" i="2"/>
  <c r="K216" i="2"/>
  <c r="I216" i="2"/>
  <c r="J216" i="2" s="1"/>
  <c r="E216" i="2"/>
  <c r="G216" i="2" s="1"/>
  <c r="Q215" i="2"/>
  <c r="P215" i="2"/>
  <c r="N215" i="2"/>
  <c r="M215" i="2"/>
  <c r="K215" i="2"/>
  <c r="I215" i="2"/>
  <c r="J215" i="2" s="1"/>
  <c r="E215" i="2"/>
  <c r="Q214" i="2"/>
  <c r="P214" i="2"/>
  <c r="N214" i="2"/>
  <c r="M214" i="2"/>
  <c r="K214" i="2"/>
  <c r="I214" i="2"/>
  <c r="J214" i="2" s="1"/>
  <c r="E214" i="2"/>
  <c r="G214" i="2" s="1"/>
  <c r="Q213" i="2"/>
  <c r="P213" i="2"/>
  <c r="N213" i="2"/>
  <c r="M213" i="2"/>
  <c r="K213" i="2"/>
  <c r="I213" i="2"/>
  <c r="J213" i="2" s="1"/>
  <c r="E213" i="2"/>
  <c r="G213" i="2" s="1"/>
  <c r="Q212" i="2"/>
  <c r="P212" i="2"/>
  <c r="N212" i="2"/>
  <c r="M212" i="2"/>
  <c r="K212" i="2"/>
  <c r="I212" i="2"/>
  <c r="J212" i="2" s="1"/>
  <c r="E212" i="2"/>
  <c r="G212" i="2" s="1"/>
  <c r="Q211" i="2"/>
  <c r="P211" i="2"/>
  <c r="N211" i="2"/>
  <c r="M211" i="2"/>
  <c r="K211" i="2"/>
  <c r="I211" i="2"/>
  <c r="J211" i="2" s="1"/>
  <c r="E211" i="2"/>
  <c r="G211" i="2" s="1"/>
  <c r="Q210" i="2"/>
  <c r="P210" i="2"/>
  <c r="N210" i="2"/>
  <c r="M210" i="2"/>
  <c r="K210" i="2"/>
  <c r="I210" i="2"/>
  <c r="J210" i="2" s="1"/>
  <c r="E210" i="2"/>
  <c r="G210" i="2" s="1"/>
  <c r="Q209" i="2"/>
  <c r="P209" i="2"/>
  <c r="N209" i="2"/>
  <c r="M209" i="2"/>
  <c r="K209" i="2"/>
  <c r="I209" i="2"/>
  <c r="J209" i="2" s="1"/>
  <c r="E209" i="2"/>
  <c r="G209" i="2" s="1"/>
  <c r="Q208" i="2"/>
  <c r="P208" i="2"/>
  <c r="N208" i="2"/>
  <c r="M208" i="2"/>
  <c r="K208" i="2"/>
  <c r="I208" i="2"/>
  <c r="J208" i="2" s="1"/>
  <c r="E208" i="2"/>
  <c r="G208" i="2" s="1"/>
  <c r="Q207" i="2"/>
  <c r="P207" i="2"/>
  <c r="N207" i="2"/>
  <c r="M207" i="2"/>
  <c r="K207" i="2"/>
  <c r="I207" i="2"/>
  <c r="J207" i="2" s="1"/>
  <c r="E207" i="2"/>
  <c r="G207" i="2" s="1"/>
  <c r="Q206" i="2"/>
  <c r="P206" i="2"/>
  <c r="N206" i="2"/>
  <c r="M206" i="2"/>
  <c r="K206" i="2"/>
  <c r="I206" i="2"/>
  <c r="J206" i="2" s="1"/>
  <c r="E206" i="2"/>
  <c r="G206" i="2" s="1"/>
  <c r="Q205" i="2"/>
  <c r="P205" i="2"/>
  <c r="N205" i="2"/>
  <c r="M205" i="2"/>
  <c r="K205" i="2"/>
  <c r="I205" i="2"/>
  <c r="J205" i="2" s="1"/>
  <c r="E205" i="2"/>
  <c r="G205" i="2" s="1"/>
  <c r="Q204" i="2"/>
  <c r="P204" i="2"/>
  <c r="R204" i="2" s="1"/>
  <c r="N204" i="2"/>
  <c r="M204" i="2"/>
  <c r="K204" i="2"/>
  <c r="I204" i="2"/>
  <c r="J204" i="2" s="1"/>
  <c r="E204" i="2"/>
  <c r="G204" i="2" s="1"/>
  <c r="Q203" i="2"/>
  <c r="P203" i="2"/>
  <c r="N203" i="2"/>
  <c r="M203" i="2"/>
  <c r="K203" i="2"/>
  <c r="I203" i="2"/>
  <c r="J203" i="2" s="1"/>
  <c r="E203" i="2"/>
  <c r="Q202" i="2"/>
  <c r="P202" i="2"/>
  <c r="N202" i="2"/>
  <c r="M202" i="2"/>
  <c r="K202" i="2"/>
  <c r="I202" i="2"/>
  <c r="J202" i="2" s="1"/>
  <c r="E202" i="2"/>
  <c r="G202" i="2" s="1"/>
  <c r="Q201" i="2"/>
  <c r="P201" i="2"/>
  <c r="N201" i="2"/>
  <c r="M201" i="2"/>
  <c r="K201" i="2"/>
  <c r="I201" i="2"/>
  <c r="J201" i="2" s="1"/>
  <c r="E201" i="2"/>
  <c r="G201" i="2" s="1"/>
  <c r="Q200" i="2"/>
  <c r="P200" i="2"/>
  <c r="N200" i="2"/>
  <c r="M200" i="2"/>
  <c r="K200" i="2"/>
  <c r="I200" i="2"/>
  <c r="J200" i="2" s="1"/>
  <c r="E200" i="2"/>
  <c r="G200" i="2" s="1"/>
  <c r="Q199" i="2"/>
  <c r="P199" i="2"/>
  <c r="R199" i="2" s="1"/>
  <c r="N199" i="2"/>
  <c r="M199" i="2"/>
  <c r="K199" i="2"/>
  <c r="I199" i="2"/>
  <c r="J199" i="2" s="1"/>
  <c r="E199" i="2"/>
  <c r="G199" i="2" s="1"/>
  <c r="Q198" i="2"/>
  <c r="P198" i="2"/>
  <c r="N198" i="2"/>
  <c r="M198" i="2"/>
  <c r="K198" i="2"/>
  <c r="I198" i="2"/>
  <c r="J198" i="2" s="1"/>
  <c r="E198" i="2"/>
  <c r="G198" i="2" s="1"/>
  <c r="Q197" i="2"/>
  <c r="P197" i="2"/>
  <c r="N197" i="2"/>
  <c r="M197" i="2"/>
  <c r="K197" i="2"/>
  <c r="I197" i="2"/>
  <c r="J197" i="2" s="1"/>
  <c r="E197" i="2"/>
  <c r="G197" i="2" s="1"/>
  <c r="Q196" i="2"/>
  <c r="P196" i="2"/>
  <c r="N196" i="2"/>
  <c r="M196" i="2"/>
  <c r="K196" i="2"/>
  <c r="I196" i="2"/>
  <c r="J196" i="2" s="1"/>
  <c r="E196" i="2"/>
  <c r="G196" i="2" s="1"/>
  <c r="Q195" i="2"/>
  <c r="P195" i="2"/>
  <c r="N195" i="2"/>
  <c r="M195" i="2"/>
  <c r="O195" i="2" s="1"/>
  <c r="K195" i="2"/>
  <c r="I195" i="2"/>
  <c r="J195" i="2" s="1"/>
  <c r="E195" i="2"/>
  <c r="G195" i="2" s="1"/>
  <c r="Q194" i="2"/>
  <c r="P194" i="2"/>
  <c r="N194" i="2"/>
  <c r="M194" i="2"/>
  <c r="O194" i="2" s="1"/>
  <c r="K194" i="2"/>
  <c r="I194" i="2"/>
  <c r="J194" i="2" s="1"/>
  <c r="E194" i="2"/>
  <c r="G194" i="2" s="1"/>
  <c r="Q193" i="2"/>
  <c r="P193" i="2"/>
  <c r="N193" i="2"/>
  <c r="M193" i="2"/>
  <c r="K193" i="2"/>
  <c r="I193" i="2"/>
  <c r="J193" i="2" s="1"/>
  <c r="E193" i="2"/>
  <c r="G193" i="2" s="1"/>
  <c r="Q192" i="2"/>
  <c r="P192" i="2"/>
  <c r="R192" i="2" s="1"/>
  <c r="N192" i="2"/>
  <c r="M192" i="2"/>
  <c r="K192" i="2"/>
  <c r="I192" i="2"/>
  <c r="J192" i="2" s="1"/>
  <c r="E192" i="2"/>
  <c r="G192" i="2" s="1"/>
  <c r="Q191" i="2"/>
  <c r="P191" i="2"/>
  <c r="N191" i="2"/>
  <c r="M191" i="2"/>
  <c r="K191" i="2"/>
  <c r="I191" i="2"/>
  <c r="J191" i="2" s="1"/>
  <c r="E191" i="2"/>
  <c r="G191" i="2" s="1"/>
  <c r="Q190" i="2"/>
  <c r="P190" i="2"/>
  <c r="N190" i="2"/>
  <c r="M190" i="2"/>
  <c r="K190" i="2"/>
  <c r="I190" i="2"/>
  <c r="J190" i="2" s="1"/>
  <c r="E190" i="2"/>
  <c r="G190" i="2" s="1"/>
  <c r="Q189" i="2"/>
  <c r="P189" i="2"/>
  <c r="R189" i="2" s="1"/>
  <c r="N189" i="2"/>
  <c r="M189" i="2"/>
  <c r="K189" i="2"/>
  <c r="I189" i="2"/>
  <c r="J189" i="2" s="1"/>
  <c r="E189" i="2"/>
  <c r="Q188" i="2"/>
  <c r="P188" i="2"/>
  <c r="N188" i="2"/>
  <c r="M188" i="2"/>
  <c r="K188" i="2"/>
  <c r="I188" i="2"/>
  <c r="J188" i="2" s="1"/>
  <c r="E188" i="2"/>
  <c r="G188" i="2" s="1"/>
  <c r="Q187" i="2"/>
  <c r="P187" i="2"/>
  <c r="N187" i="2"/>
  <c r="M187" i="2"/>
  <c r="O187" i="2" s="1"/>
  <c r="K187" i="2"/>
  <c r="I187" i="2"/>
  <c r="J187" i="2" s="1"/>
  <c r="E187" i="2"/>
  <c r="G187" i="2" s="1"/>
  <c r="Q186" i="2"/>
  <c r="P186" i="2"/>
  <c r="N186" i="2"/>
  <c r="M186" i="2"/>
  <c r="K186" i="2"/>
  <c r="I186" i="2"/>
  <c r="J186" i="2" s="1"/>
  <c r="E186" i="2"/>
  <c r="G186" i="2" s="1"/>
  <c r="Q185" i="2"/>
  <c r="P185" i="2"/>
  <c r="N185" i="2"/>
  <c r="M185" i="2"/>
  <c r="K185" i="2"/>
  <c r="I185" i="2"/>
  <c r="J185" i="2" s="1"/>
  <c r="E185" i="2"/>
  <c r="G185" i="2" s="1"/>
  <c r="Q184" i="2"/>
  <c r="P184" i="2"/>
  <c r="R184" i="2" s="1"/>
  <c r="N184" i="2"/>
  <c r="M184" i="2"/>
  <c r="K184" i="2"/>
  <c r="I184" i="2"/>
  <c r="J184" i="2" s="1"/>
  <c r="E184" i="2"/>
  <c r="G184" i="2" s="1"/>
  <c r="Q183" i="2"/>
  <c r="P183" i="2"/>
  <c r="N183" i="2"/>
  <c r="M183" i="2"/>
  <c r="K183" i="2"/>
  <c r="I183" i="2"/>
  <c r="J183" i="2" s="1"/>
  <c r="E183" i="2"/>
  <c r="G183" i="2" s="1"/>
  <c r="Q182" i="2"/>
  <c r="P182" i="2"/>
  <c r="N182" i="2"/>
  <c r="M182" i="2"/>
  <c r="K182" i="2"/>
  <c r="I182" i="2"/>
  <c r="J182" i="2" s="1"/>
  <c r="E182" i="2"/>
  <c r="G182" i="2" s="1"/>
  <c r="Q181" i="2"/>
  <c r="P181" i="2"/>
  <c r="N181" i="2"/>
  <c r="M181" i="2"/>
  <c r="K181" i="2"/>
  <c r="I181" i="2"/>
  <c r="J181" i="2" s="1"/>
  <c r="E181" i="2"/>
  <c r="G181" i="2" s="1"/>
  <c r="Q180" i="2"/>
  <c r="P180" i="2"/>
  <c r="N180" i="2"/>
  <c r="M180" i="2"/>
  <c r="K180" i="2"/>
  <c r="I180" i="2"/>
  <c r="J180" i="2" s="1"/>
  <c r="E180" i="2"/>
  <c r="G180" i="2" s="1"/>
  <c r="Q179" i="2"/>
  <c r="P179" i="2"/>
  <c r="N179" i="2"/>
  <c r="M179" i="2"/>
  <c r="K179" i="2"/>
  <c r="I179" i="2"/>
  <c r="J179" i="2" s="1"/>
  <c r="G179" i="2"/>
  <c r="E179" i="2"/>
  <c r="D179" i="2"/>
  <c r="Q178" i="2"/>
  <c r="P178" i="2"/>
  <c r="N178" i="2"/>
  <c r="M178" i="2"/>
  <c r="K178" i="2"/>
  <c r="I178" i="2"/>
  <c r="J178" i="2" s="1"/>
  <c r="E178" i="2"/>
  <c r="G178" i="2" s="1"/>
  <c r="D178" i="2"/>
  <c r="F178" i="2" s="1"/>
  <c r="Q177" i="2"/>
  <c r="P177" i="2"/>
  <c r="N177" i="2"/>
  <c r="M177" i="2"/>
  <c r="K177" i="2"/>
  <c r="I177" i="2"/>
  <c r="J177" i="2" s="1"/>
  <c r="E177" i="2"/>
  <c r="G177" i="2" s="1"/>
  <c r="Q176" i="2"/>
  <c r="P176" i="2"/>
  <c r="R176" i="2" s="1"/>
  <c r="N176" i="2"/>
  <c r="M176" i="2"/>
  <c r="K176" i="2"/>
  <c r="I176" i="2"/>
  <c r="J176" i="2" s="1"/>
  <c r="E176" i="2"/>
  <c r="G176" i="2" s="1"/>
  <c r="D176" i="2"/>
  <c r="Q175" i="2"/>
  <c r="P175" i="2"/>
  <c r="N175" i="2"/>
  <c r="M175" i="2"/>
  <c r="K175" i="2"/>
  <c r="I175" i="2"/>
  <c r="J175" i="2" s="1"/>
  <c r="E175" i="2"/>
  <c r="G175" i="2" s="1"/>
  <c r="Q174" i="2"/>
  <c r="P174" i="2"/>
  <c r="N174" i="2"/>
  <c r="M174" i="2"/>
  <c r="K174" i="2"/>
  <c r="I174" i="2"/>
  <c r="J174" i="2" s="1"/>
  <c r="E174" i="2"/>
  <c r="G174" i="2" s="1"/>
  <c r="Q173" i="2"/>
  <c r="P173" i="2"/>
  <c r="N173" i="2"/>
  <c r="M173" i="2"/>
  <c r="K173" i="2"/>
  <c r="I173" i="2"/>
  <c r="J173" i="2" s="1"/>
  <c r="E173" i="2"/>
  <c r="G173" i="2" s="1"/>
  <c r="Q172" i="2"/>
  <c r="P172" i="2"/>
  <c r="N172" i="2"/>
  <c r="M172" i="2"/>
  <c r="K172" i="2"/>
  <c r="I172" i="2"/>
  <c r="J172" i="2" s="1"/>
  <c r="E172" i="2"/>
  <c r="G172" i="2" s="1"/>
  <c r="Q171" i="2"/>
  <c r="P171" i="2"/>
  <c r="N171" i="2"/>
  <c r="M171" i="2"/>
  <c r="K171" i="2"/>
  <c r="I171" i="2"/>
  <c r="J171" i="2" s="1"/>
  <c r="E171" i="2"/>
  <c r="G171" i="2" s="1"/>
  <c r="Q170" i="2"/>
  <c r="R170" i="2" s="1"/>
  <c r="P170" i="2"/>
  <c r="N170" i="2"/>
  <c r="M170" i="2"/>
  <c r="K170" i="2"/>
  <c r="I170" i="2"/>
  <c r="J170" i="2" s="1"/>
  <c r="E170" i="2"/>
  <c r="G170" i="2" s="1"/>
  <c r="Q169" i="2"/>
  <c r="P169" i="2"/>
  <c r="N169" i="2"/>
  <c r="M169" i="2"/>
  <c r="K169" i="2"/>
  <c r="I169" i="2"/>
  <c r="J169" i="2" s="1"/>
  <c r="E169" i="2"/>
  <c r="G169" i="2" s="1"/>
  <c r="Q168" i="2"/>
  <c r="P168" i="2"/>
  <c r="N168" i="2"/>
  <c r="M168" i="2"/>
  <c r="K168" i="2"/>
  <c r="I168" i="2"/>
  <c r="J168" i="2" s="1"/>
  <c r="E168" i="2"/>
  <c r="G168" i="2" s="1"/>
  <c r="Q167" i="2"/>
  <c r="P167" i="2"/>
  <c r="R167" i="2" s="1"/>
  <c r="N167" i="2"/>
  <c r="M167" i="2"/>
  <c r="K167" i="2"/>
  <c r="I167" i="2"/>
  <c r="J167" i="2" s="1"/>
  <c r="E167" i="2"/>
  <c r="G167" i="2" s="1"/>
  <c r="Q166" i="2"/>
  <c r="R166" i="2" s="1"/>
  <c r="P166" i="2"/>
  <c r="N166" i="2"/>
  <c r="M166" i="2"/>
  <c r="K166" i="2"/>
  <c r="I166" i="2"/>
  <c r="J166" i="2" s="1"/>
  <c r="E166" i="2"/>
  <c r="G166" i="2" s="1"/>
  <c r="Q165" i="2"/>
  <c r="P165" i="2"/>
  <c r="N165" i="2"/>
  <c r="M165" i="2"/>
  <c r="K165" i="2"/>
  <c r="I165" i="2"/>
  <c r="J165" i="2" s="1"/>
  <c r="E165" i="2"/>
  <c r="G165" i="2" s="1"/>
  <c r="Q164" i="2"/>
  <c r="R164" i="2" s="1"/>
  <c r="P164" i="2"/>
  <c r="N164" i="2"/>
  <c r="M164" i="2"/>
  <c r="K164" i="2"/>
  <c r="I164" i="2"/>
  <c r="J164" i="2" s="1"/>
  <c r="E164" i="2"/>
  <c r="G164" i="2" s="1"/>
  <c r="Q163" i="2"/>
  <c r="P163" i="2"/>
  <c r="N163" i="2"/>
  <c r="M163" i="2"/>
  <c r="K163" i="2"/>
  <c r="J163" i="2"/>
  <c r="I163" i="2"/>
  <c r="E163" i="2"/>
  <c r="G163" i="2" s="1"/>
  <c r="Q162" i="2"/>
  <c r="P162" i="2"/>
  <c r="N162" i="2"/>
  <c r="M162" i="2"/>
  <c r="K162" i="2"/>
  <c r="I162" i="2"/>
  <c r="J162" i="2" s="1"/>
  <c r="E162" i="2"/>
  <c r="G162" i="2" s="1"/>
  <c r="Q161" i="2"/>
  <c r="P161" i="2"/>
  <c r="N161" i="2"/>
  <c r="M161" i="2"/>
  <c r="K161" i="2"/>
  <c r="I161" i="2"/>
  <c r="J161" i="2" s="1"/>
  <c r="G161" i="2"/>
  <c r="E161" i="2"/>
  <c r="Q160" i="2"/>
  <c r="P160" i="2"/>
  <c r="N160" i="2"/>
  <c r="M160" i="2"/>
  <c r="K160" i="2"/>
  <c r="I160" i="2"/>
  <c r="J160" i="2" s="1"/>
  <c r="E160" i="2"/>
  <c r="G160" i="2" s="1"/>
  <c r="Q159" i="2"/>
  <c r="P159" i="2"/>
  <c r="N159" i="2"/>
  <c r="M159" i="2"/>
  <c r="K159" i="2"/>
  <c r="I159" i="2"/>
  <c r="J159" i="2" s="1"/>
  <c r="E159" i="2"/>
  <c r="G159" i="2" s="1"/>
  <c r="D159" i="2"/>
  <c r="Q158" i="2"/>
  <c r="P158" i="2"/>
  <c r="N158" i="2"/>
  <c r="M158" i="2"/>
  <c r="K158" i="2"/>
  <c r="I158" i="2"/>
  <c r="J158" i="2" s="1"/>
  <c r="E158" i="2"/>
  <c r="G158" i="2" s="1"/>
  <c r="D158" i="2"/>
  <c r="F158" i="2" s="1"/>
  <c r="Q157" i="2"/>
  <c r="P157" i="2"/>
  <c r="N157" i="2"/>
  <c r="M157" i="2"/>
  <c r="K157" i="2"/>
  <c r="I157" i="2"/>
  <c r="J157" i="2" s="1"/>
  <c r="E157" i="2"/>
  <c r="G157" i="2" s="1"/>
  <c r="Q156" i="2"/>
  <c r="P156" i="2"/>
  <c r="N156" i="2"/>
  <c r="M156" i="2"/>
  <c r="K156" i="2"/>
  <c r="I156" i="2"/>
  <c r="J156" i="2" s="1"/>
  <c r="E156" i="2"/>
  <c r="G156" i="2" s="1"/>
  <c r="Q155" i="2"/>
  <c r="P155" i="2"/>
  <c r="N155" i="2"/>
  <c r="M155" i="2"/>
  <c r="K155" i="2"/>
  <c r="I155" i="2"/>
  <c r="J155" i="2" s="1"/>
  <c r="E155" i="2"/>
  <c r="G155" i="2" s="1"/>
  <c r="Q154" i="2"/>
  <c r="P154" i="2"/>
  <c r="R154" i="2" s="1"/>
  <c r="N154" i="2"/>
  <c r="M154" i="2"/>
  <c r="K154" i="2"/>
  <c r="I154" i="2"/>
  <c r="J154" i="2" s="1"/>
  <c r="E154" i="2"/>
  <c r="G154" i="2" s="1"/>
  <c r="Q153" i="2"/>
  <c r="P153" i="2"/>
  <c r="N153" i="2"/>
  <c r="M153" i="2"/>
  <c r="K153" i="2"/>
  <c r="I153" i="2"/>
  <c r="J153" i="2" s="1"/>
  <c r="E153" i="2"/>
  <c r="G153" i="2" s="1"/>
  <c r="Q152" i="2"/>
  <c r="P152" i="2"/>
  <c r="N152" i="2"/>
  <c r="M152" i="2"/>
  <c r="K152" i="2"/>
  <c r="I152" i="2"/>
  <c r="J152" i="2" s="1"/>
  <c r="E152" i="2"/>
  <c r="G152" i="2" s="1"/>
  <c r="Q151" i="2"/>
  <c r="R151" i="2" s="1"/>
  <c r="P151" i="2"/>
  <c r="N151" i="2"/>
  <c r="M151" i="2"/>
  <c r="K151" i="2"/>
  <c r="I151" i="2"/>
  <c r="J151" i="2" s="1"/>
  <c r="E151" i="2"/>
  <c r="G151" i="2" s="1"/>
  <c r="Q150" i="2"/>
  <c r="P150" i="2"/>
  <c r="R150" i="2" s="1"/>
  <c r="N150" i="2"/>
  <c r="M150" i="2"/>
  <c r="K150" i="2"/>
  <c r="I150" i="2"/>
  <c r="J150" i="2" s="1"/>
  <c r="E150" i="2"/>
  <c r="G150" i="2" s="1"/>
  <c r="Q149" i="2"/>
  <c r="P149" i="2"/>
  <c r="R149" i="2" s="1"/>
  <c r="N149" i="2"/>
  <c r="M149" i="2"/>
  <c r="K149" i="2"/>
  <c r="I149" i="2"/>
  <c r="J149" i="2" s="1"/>
  <c r="E149" i="2"/>
  <c r="G149" i="2" s="1"/>
  <c r="Q148" i="2"/>
  <c r="P148" i="2"/>
  <c r="N148" i="2"/>
  <c r="M148" i="2"/>
  <c r="K148" i="2"/>
  <c r="I148" i="2"/>
  <c r="J148" i="2" s="1"/>
  <c r="E148" i="2"/>
  <c r="G148" i="2" s="1"/>
  <c r="Q147" i="2"/>
  <c r="P147" i="2"/>
  <c r="N147" i="2"/>
  <c r="M147" i="2"/>
  <c r="K147" i="2"/>
  <c r="I147" i="2"/>
  <c r="J147" i="2" s="1"/>
  <c r="E147" i="2"/>
  <c r="G147" i="2" s="1"/>
  <c r="Q146" i="2"/>
  <c r="P146" i="2"/>
  <c r="N146" i="2"/>
  <c r="M146" i="2"/>
  <c r="K146" i="2"/>
  <c r="I146" i="2"/>
  <c r="J146" i="2" s="1"/>
  <c r="E146" i="2"/>
  <c r="G146" i="2" s="1"/>
  <c r="Q145" i="2"/>
  <c r="P145" i="2"/>
  <c r="N145" i="2"/>
  <c r="M145" i="2"/>
  <c r="K145" i="2"/>
  <c r="I145" i="2"/>
  <c r="J145" i="2" s="1"/>
  <c r="E145" i="2"/>
  <c r="G145" i="2" s="1"/>
  <c r="Q144" i="2"/>
  <c r="P144" i="2"/>
  <c r="R144" i="2" s="1"/>
  <c r="N144" i="2"/>
  <c r="M144" i="2"/>
  <c r="K144" i="2"/>
  <c r="I144" i="2"/>
  <c r="J144" i="2" s="1"/>
  <c r="E144" i="2"/>
  <c r="G144" i="2" s="1"/>
  <c r="Q143" i="2"/>
  <c r="P143" i="2"/>
  <c r="N143" i="2"/>
  <c r="M143" i="2"/>
  <c r="K143" i="2"/>
  <c r="I143" i="2"/>
  <c r="J143" i="2" s="1"/>
  <c r="E143" i="2"/>
  <c r="G143" i="2" s="1"/>
  <c r="D143" i="2"/>
  <c r="F143" i="2" s="1"/>
  <c r="Q142" i="2"/>
  <c r="P142" i="2"/>
  <c r="N142" i="2"/>
  <c r="M142" i="2"/>
  <c r="K142" i="2"/>
  <c r="I142" i="2"/>
  <c r="J142" i="2" s="1"/>
  <c r="E142" i="2"/>
  <c r="G142" i="2" s="1"/>
  <c r="Q141" i="2"/>
  <c r="P141" i="2"/>
  <c r="N141" i="2"/>
  <c r="M141" i="2"/>
  <c r="K141" i="2"/>
  <c r="I141" i="2"/>
  <c r="J141" i="2" s="1"/>
  <c r="E141" i="2"/>
  <c r="G141" i="2" s="1"/>
  <c r="Q140" i="2"/>
  <c r="P140" i="2"/>
  <c r="N140" i="2"/>
  <c r="M140" i="2"/>
  <c r="K140" i="2"/>
  <c r="I140" i="2"/>
  <c r="J140" i="2" s="1"/>
  <c r="E140" i="2"/>
  <c r="G140" i="2" s="1"/>
  <c r="Q139" i="2"/>
  <c r="P139" i="2"/>
  <c r="R139" i="2" s="1"/>
  <c r="N139" i="2"/>
  <c r="M139" i="2"/>
  <c r="K139" i="2"/>
  <c r="I139" i="2"/>
  <c r="J139" i="2" s="1"/>
  <c r="E139" i="2"/>
  <c r="G139" i="2" s="1"/>
  <c r="Q138" i="2"/>
  <c r="P138" i="2"/>
  <c r="N138" i="2"/>
  <c r="M138" i="2"/>
  <c r="K138" i="2"/>
  <c r="I138" i="2"/>
  <c r="J138" i="2" s="1"/>
  <c r="E138" i="2"/>
  <c r="G138" i="2" s="1"/>
  <c r="Q137" i="2"/>
  <c r="P137" i="2"/>
  <c r="N137" i="2"/>
  <c r="M137" i="2"/>
  <c r="K137" i="2"/>
  <c r="I137" i="2"/>
  <c r="J137" i="2" s="1"/>
  <c r="E137" i="2"/>
  <c r="G137" i="2" s="1"/>
  <c r="Q136" i="2"/>
  <c r="P136" i="2"/>
  <c r="N136" i="2"/>
  <c r="M136" i="2"/>
  <c r="K136" i="2"/>
  <c r="I136" i="2"/>
  <c r="J136" i="2" s="1"/>
  <c r="E136" i="2"/>
  <c r="G136" i="2" s="1"/>
  <c r="Q135" i="2"/>
  <c r="P135" i="2"/>
  <c r="N135" i="2"/>
  <c r="M135" i="2"/>
  <c r="K135" i="2"/>
  <c r="I135" i="2"/>
  <c r="J135" i="2" s="1"/>
  <c r="E135" i="2"/>
  <c r="G135" i="2" s="1"/>
  <c r="Q134" i="2"/>
  <c r="P134" i="2"/>
  <c r="N134" i="2"/>
  <c r="M134" i="2"/>
  <c r="K134" i="2"/>
  <c r="I134" i="2"/>
  <c r="J134" i="2" s="1"/>
  <c r="E134" i="2"/>
  <c r="G134" i="2" s="1"/>
  <c r="Q133" i="2"/>
  <c r="P133" i="2"/>
  <c r="N133" i="2"/>
  <c r="M133" i="2"/>
  <c r="K133" i="2"/>
  <c r="I133" i="2"/>
  <c r="J133" i="2" s="1"/>
  <c r="E133" i="2"/>
  <c r="G133" i="2" s="1"/>
  <c r="Q132" i="2"/>
  <c r="P132" i="2"/>
  <c r="R132" i="2" s="1"/>
  <c r="N132" i="2"/>
  <c r="M132" i="2"/>
  <c r="K132" i="2"/>
  <c r="I132" i="2"/>
  <c r="J132" i="2" s="1"/>
  <c r="E132" i="2"/>
  <c r="G132" i="2" s="1"/>
  <c r="Q131" i="2"/>
  <c r="P131" i="2"/>
  <c r="N131" i="2"/>
  <c r="M131" i="2"/>
  <c r="K131" i="2"/>
  <c r="I131" i="2"/>
  <c r="J131" i="2" s="1"/>
  <c r="E131" i="2"/>
  <c r="G131" i="2" s="1"/>
  <c r="Q130" i="2"/>
  <c r="P130" i="2"/>
  <c r="N130" i="2"/>
  <c r="M130" i="2"/>
  <c r="K130" i="2"/>
  <c r="I130" i="2"/>
  <c r="J130" i="2" s="1"/>
  <c r="E130" i="2"/>
  <c r="G130" i="2" s="1"/>
  <c r="Q129" i="2"/>
  <c r="P129" i="2"/>
  <c r="R129" i="2" s="1"/>
  <c r="N129" i="2"/>
  <c r="M129" i="2"/>
  <c r="K129" i="2"/>
  <c r="I129" i="2"/>
  <c r="J129" i="2" s="1"/>
  <c r="E129" i="2"/>
  <c r="G129" i="2" s="1"/>
  <c r="Q128" i="2"/>
  <c r="P128" i="2"/>
  <c r="N128" i="2"/>
  <c r="M128" i="2"/>
  <c r="K128" i="2"/>
  <c r="I128" i="2"/>
  <c r="J128" i="2" s="1"/>
  <c r="E128" i="2"/>
  <c r="G128" i="2" s="1"/>
  <c r="Q127" i="2"/>
  <c r="P127" i="2"/>
  <c r="R127" i="2" s="1"/>
  <c r="N127" i="2"/>
  <c r="M127" i="2"/>
  <c r="K127" i="2"/>
  <c r="I127" i="2"/>
  <c r="J127" i="2" s="1"/>
  <c r="E127" i="2"/>
  <c r="G127" i="2" s="1"/>
  <c r="Q126" i="2"/>
  <c r="P126" i="2"/>
  <c r="N126" i="2"/>
  <c r="M126" i="2"/>
  <c r="K126" i="2"/>
  <c r="I126" i="2"/>
  <c r="J126" i="2" s="1"/>
  <c r="E126" i="2"/>
  <c r="G126" i="2" s="1"/>
  <c r="D126" i="2"/>
  <c r="Q125" i="2"/>
  <c r="P125" i="2"/>
  <c r="N125" i="2"/>
  <c r="M125" i="2"/>
  <c r="K125" i="2"/>
  <c r="I125" i="2"/>
  <c r="J125" i="2" s="1"/>
  <c r="E125" i="2"/>
  <c r="G125" i="2" s="1"/>
  <c r="Q124" i="2"/>
  <c r="P124" i="2"/>
  <c r="R124" i="2" s="1"/>
  <c r="N124" i="2"/>
  <c r="M124" i="2"/>
  <c r="K124" i="2"/>
  <c r="I124" i="2"/>
  <c r="J124" i="2" s="1"/>
  <c r="E124" i="2"/>
  <c r="G124" i="2" s="1"/>
  <c r="Q123" i="2"/>
  <c r="P123" i="2"/>
  <c r="N123" i="2"/>
  <c r="M123" i="2"/>
  <c r="K123" i="2"/>
  <c r="I123" i="2"/>
  <c r="J123" i="2" s="1"/>
  <c r="E123" i="2"/>
  <c r="G123" i="2" s="1"/>
  <c r="Q122" i="2"/>
  <c r="P122" i="2"/>
  <c r="N122" i="2"/>
  <c r="M122" i="2"/>
  <c r="K122" i="2"/>
  <c r="I122" i="2"/>
  <c r="J122" i="2" s="1"/>
  <c r="E122" i="2"/>
  <c r="G122" i="2" s="1"/>
  <c r="Q121" i="2"/>
  <c r="P121" i="2"/>
  <c r="N121" i="2"/>
  <c r="M121" i="2"/>
  <c r="K121" i="2"/>
  <c r="I121" i="2"/>
  <c r="J121" i="2" s="1"/>
  <c r="E121" i="2"/>
  <c r="G121" i="2" s="1"/>
  <c r="Q120" i="2"/>
  <c r="P120" i="2"/>
  <c r="N120" i="2"/>
  <c r="M120" i="2"/>
  <c r="K120" i="2"/>
  <c r="I120" i="2"/>
  <c r="J120" i="2" s="1"/>
  <c r="E120" i="2"/>
  <c r="G120" i="2" s="1"/>
  <c r="Q119" i="2"/>
  <c r="P119" i="2"/>
  <c r="N119" i="2"/>
  <c r="M119" i="2"/>
  <c r="K119" i="2"/>
  <c r="I119" i="2"/>
  <c r="J119" i="2" s="1"/>
  <c r="E119" i="2"/>
  <c r="G119" i="2" s="1"/>
  <c r="Q118" i="2"/>
  <c r="P118" i="2"/>
  <c r="N118" i="2"/>
  <c r="M118" i="2"/>
  <c r="K118" i="2"/>
  <c r="I118" i="2"/>
  <c r="J118" i="2" s="1"/>
  <c r="E118" i="2"/>
  <c r="G118" i="2" s="1"/>
  <c r="Q117" i="2"/>
  <c r="P117" i="2"/>
  <c r="N117" i="2"/>
  <c r="M117" i="2"/>
  <c r="K117" i="2"/>
  <c r="I117" i="2"/>
  <c r="J117" i="2" s="1"/>
  <c r="E117" i="2"/>
  <c r="G117" i="2" s="1"/>
  <c r="Q116" i="2"/>
  <c r="P116" i="2"/>
  <c r="N116" i="2"/>
  <c r="M116" i="2"/>
  <c r="K116" i="2"/>
  <c r="I116" i="2"/>
  <c r="J116" i="2" s="1"/>
  <c r="E116" i="2"/>
  <c r="G116" i="2" s="1"/>
  <c r="Q115" i="2"/>
  <c r="P115" i="2"/>
  <c r="R115" i="2" s="1"/>
  <c r="N115" i="2"/>
  <c r="M115" i="2"/>
  <c r="K115" i="2"/>
  <c r="I115" i="2"/>
  <c r="J115" i="2" s="1"/>
  <c r="E115" i="2"/>
  <c r="G115" i="2" s="1"/>
  <c r="Q114" i="2"/>
  <c r="P114" i="2"/>
  <c r="N114" i="2"/>
  <c r="M114" i="2"/>
  <c r="K114" i="2"/>
  <c r="I114" i="2"/>
  <c r="J114" i="2" s="1"/>
  <c r="E114" i="2"/>
  <c r="G114" i="2" s="1"/>
  <c r="Q113" i="2"/>
  <c r="P113" i="2"/>
  <c r="N113" i="2"/>
  <c r="M113" i="2"/>
  <c r="K113" i="2"/>
  <c r="I113" i="2"/>
  <c r="J113" i="2" s="1"/>
  <c r="E113" i="2"/>
  <c r="G113" i="2" s="1"/>
  <c r="Q112" i="2"/>
  <c r="P112" i="2"/>
  <c r="N112" i="2"/>
  <c r="M112" i="2"/>
  <c r="K112" i="2"/>
  <c r="I112" i="2"/>
  <c r="J112" i="2" s="1"/>
  <c r="E112" i="2"/>
  <c r="G112" i="2" s="1"/>
  <c r="Q111" i="2"/>
  <c r="P111" i="2"/>
  <c r="N111" i="2"/>
  <c r="M111" i="2"/>
  <c r="K111" i="2"/>
  <c r="I111" i="2"/>
  <c r="J111" i="2" s="1"/>
  <c r="E111" i="2"/>
  <c r="G111" i="2" s="1"/>
  <c r="Q110" i="2"/>
  <c r="P110" i="2"/>
  <c r="N110" i="2"/>
  <c r="M110" i="2"/>
  <c r="K110" i="2"/>
  <c r="I110" i="2"/>
  <c r="J110" i="2" s="1"/>
  <c r="E110" i="2"/>
  <c r="G110" i="2" s="1"/>
  <c r="Q109" i="2"/>
  <c r="P109" i="2"/>
  <c r="N109" i="2"/>
  <c r="M109" i="2"/>
  <c r="K109" i="2"/>
  <c r="I109" i="2"/>
  <c r="J109" i="2" s="1"/>
  <c r="E109" i="2"/>
  <c r="G109" i="2" s="1"/>
  <c r="Q108" i="2"/>
  <c r="P108" i="2"/>
  <c r="N108" i="2"/>
  <c r="M108" i="2"/>
  <c r="K108" i="2"/>
  <c r="I108" i="2"/>
  <c r="J108" i="2" s="1"/>
  <c r="E108" i="2"/>
  <c r="G108" i="2" s="1"/>
  <c r="Q107" i="2"/>
  <c r="P107" i="2"/>
  <c r="N107" i="2"/>
  <c r="M107" i="2"/>
  <c r="K107" i="2"/>
  <c r="I107" i="2"/>
  <c r="J107" i="2" s="1"/>
  <c r="E107" i="2"/>
  <c r="G107" i="2" s="1"/>
  <c r="Q106" i="2"/>
  <c r="P106" i="2"/>
  <c r="N106" i="2"/>
  <c r="M106" i="2"/>
  <c r="K106" i="2"/>
  <c r="I106" i="2"/>
  <c r="J106" i="2" s="1"/>
  <c r="E106" i="2"/>
  <c r="G106" i="2" s="1"/>
  <c r="Q105" i="2"/>
  <c r="R105" i="2" s="1"/>
  <c r="P105" i="2"/>
  <c r="N105" i="2"/>
  <c r="M105" i="2"/>
  <c r="K105" i="2"/>
  <c r="I105" i="2"/>
  <c r="J105" i="2" s="1"/>
  <c r="E105" i="2"/>
  <c r="G105" i="2" s="1"/>
  <c r="Q104" i="2"/>
  <c r="P104" i="2"/>
  <c r="R104" i="2" s="1"/>
  <c r="N104" i="2"/>
  <c r="M104" i="2"/>
  <c r="K104" i="2"/>
  <c r="I104" i="2"/>
  <c r="J104" i="2" s="1"/>
  <c r="E104" i="2"/>
  <c r="G104" i="2" s="1"/>
  <c r="Q103" i="2"/>
  <c r="P103" i="2"/>
  <c r="N103" i="2"/>
  <c r="M103" i="2"/>
  <c r="K103" i="2"/>
  <c r="I103" i="2"/>
  <c r="J103" i="2" s="1"/>
  <c r="E103" i="2"/>
  <c r="G103" i="2" s="1"/>
  <c r="Q102" i="2"/>
  <c r="P102" i="2"/>
  <c r="N102" i="2"/>
  <c r="M102" i="2"/>
  <c r="K102" i="2"/>
  <c r="I102" i="2"/>
  <c r="J102" i="2" s="1"/>
  <c r="E102" i="2"/>
  <c r="G102" i="2" s="1"/>
  <c r="Q101" i="2"/>
  <c r="P101" i="2"/>
  <c r="N101" i="2"/>
  <c r="M101" i="2"/>
  <c r="K101" i="2"/>
  <c r="I101" i="2"/>
  <c r="J101" i="2" s="1"/>
  <c r="E101" i="2"/>
  <c r="G101" i="2" s="1"/>
  <c r="Q100" i="2"/>
  <c r="P100" i="2"/>
  <c r="N100" i="2"/>
  <c r="M100" i="2"/>
  <c r="K100" i="2"/>
  <c r="I100" i="2"/>
  <c r="J100" i="2" s="1"/>
  <c r="E100" i="2"/>
  <c r="G100" i="2" s="1"/>
  <c r="Q99" i="2"/>
  <c r="P99" i="2"/>
  <c r="N99" i="2"/>
  <c r="M99" i="2"/>
  <c r="K99" i="2"/>
  <c r="I99" i="2"/>
  <c r="J99" i="2" s="1"/>
  <c r="E99" i="2"/>
  <c r="G99" i="2" s="1"/>
  <c r="Q98" i="2"/>
  <c r="P98" i="2"/>
  <c r="R98" i="2" s="1"/>
  <c r="N98" i="2"/>
  <c r="M98" i="2"/>
  <c r="K98" i="2"/>
  <c r="I98" i="2"/>
  <c r="J98" i="2" s="1"/>
  <c r="E98" i="2"/>
  <c r="G98" i="2" s="1"/>
  <c r="Q97" i="2"/>
  <c r="P97" i="2"/>
  <c r="N97" i="2"/>
  <c r="M97" i="2"/>
  <c r="K97" i="2"/>
  <c r="I97" i="2"/>
  <c r="J97" i="2" s="1"/>
  <c r="E97" i="2"/>
  <c r="G97" i="2" s="1"/>
  <c r="Q96" i="2"/>
  <c r="P96" i="2"/>
  <c r="N96" i="2"/>
  <c r="M96" i="2"/>
  <c r="K96" i="2"/>
  <c r="I96" i="2"/>
  <c r="J96" i="2" s="1"/>
  <c r="E96" i="2"/>
  <c r="G96" i="2" s="1"/>
  <c r="Q95" i="2"/>
  <c r="R95" i="2" s="1"/>
  <c r="P95" i="2"/>
  <c r="N95" i="2"/>
  <c r="M95" i="2"/>
  <c r="K95" i="2"/>
  <c r="I95" i="2"/>
  <c r="J95" i="2" s="1"/>
  <c r="E95" i="2"/>
  <c r="G95" i="2" s="1"/>
  <c r="Q94" i="2"/>
  <c r="P94" i="2"/>
  <c r="N94" i="2"/>
  <c r="M94" i="2"/>
  <c r="K94" i="2"/>
  <c r="I94" i="2"/>
  <c r="J94" i="2" s="1"/>
  <c r="E94" i="2"/>
  <c r="G94" i="2" s="1"/>
  <c r="Q93" i="2"/>
  <c r="P93" i="2"/>
  <c r="N93" i="2"/>
  <c r="M93" i="2"/>
  <c r="K93" i="2"/>
  <c r="I93" i="2"/>
  <c r="J93" i="2" s="1"/>
  <c r="E93" i="2"/>
  <c r="G93" i="2" s="1"/>
  <c r="Q92" i="2"/>
  <c r="P92" i="2"/>
  <c r="N92" i="2"/>
  <c r="M92" i="2"/>
  <c r="K92" i="2"/>
  <c r="I92" i="2"/>
  <c r="J92" i="2" s="1"/>
  <c r="E92" i="2"/>
  <c r="G92" i="2" s="1"/>
  <c r="Q91" i="2"/>
  <c r="P91" i="2"/>
  <c r="R91" i="2" s="1"/>
  <c r="N91" i="2"/>
  <c r="M91" i="2"/>
  <c r="K91" i="2"/>
  <c r="I91" i="2"/>
  <c r="J91" i="2" s="1"/>
  <c r="E91" i="2"/>
  <c r="G91" i="2" s="1"/>
  <c r="Q90" i="2"/>
  <c r="P90" i="2"/>
  <c r="N90" i="2"/>
  <c r="M90" i="2"/>
  <c r="K90" i="2"/>
  <c r="I90" i="2"/>
  <c r="J90" i="2" s="1"/>
  <c r="E90" i="2"/>
  <c r="G90" i="2" s="1"/>
  <c r="Q89" i="2"/>
  <c r="R89" i="2" s="1"/>
  <c r="P89" i="2"/>
  <c r="N89" i="2"/>
  <c r="M89" i="2"/>
  <c r="K89" i="2"/>
  <c r="I89" i="2"/>
  <c r="J89" i="2" s="1"/>
  <c r="E89" i="2"/>
  <c r="G89" i="2" s="1"/>
  <c r="Q88" i="2"/>
  <c r="P88" i="2"/>
  <c r="R88" i="2" s="1"/>
  <c r="N88" i="2"/>
  <c r="M88" i="2"/>
  <c r="K88" i="2"/>
  <c r="I88" i="2"/>
  <c r="J88" i="2" s="1"/>
  <c r="E88" i="2"/>
  <c r="G88" i="2" s="1"/>
  <c r="Q87" i="2"/>
  <c r="P87" i="2"/>
  <c r="N87" i="2"/>
  <c r="M87" i="2"/>
  <c r="K87" i="2"/>
  <c r="I87" i="2"/>
  <c r="J87" i="2" s="1"/>
  <c r="E87" i="2"/>
  <c r="G87" i="2" s="1"/>
  <c r="Q86" i="2"/>
  <c r="P86" i="2"/>
  <c r="N86" i="2"/>
  <c r="M86" i="2"/>
  <c r="K86" i="2"/>
  <c r="I86" i="2"/>
  <c r="J86" i="2" s="1"/>
  <c r="E86" i="2"/>
  <c r="G86" i="2" s="1"/>
  <c r="Q85" i="2"/>
  <c r="P85" i="2"/>
  <c r="N85" i="2"/>
  <c r="M85" i="2"/>
  <c r="K85" i="2"/>
  <c r="I85" i="2"/>
  <c r="J85" i="2" s="1"/>
  <c r="E85" i="2"/>
  <c r="G85" i="2" s="1"/>
  <c r="Q84" i="2"/>
  <c r="P84" i="2"/>
  <c r="R84" i="2" s="1"/>
  <c r="N84" i="2"/>
  <c r="M84" i="2"/>
  <c r="K84" i="2"/>
  <c r="I84" i="2"/>
  <c r="J84" i="2" s="1"/>
  <c r="E84" i="2"/>
  <c r="G84" i="2" s="1"/>
  <c r="Q83" i="2"/>
  <c r="P83" i="2"/>
  <c r="N83" i="2"/>
  <c r="M83" i="2"/>
  <c r="K83" i="2"/>
  <c r="I83" i="2"/>
  <c r="J83" i="2" s="1"/>
  <c r="E83" i="2"/>
  <c r="G83" i="2" s="1"/>
  <c r="Q82" i="2"/>
  <c r="P82" i="2"/>
  <c r="N82" i="2"/>
  <c r="M82" i="2"/>
  <c r="K82" i="2"/>
  <c r="I82" i="2"/>
  <c r="J82" i="2" s="1"/>
  <c r="E82" i="2"/>
  <c r="G82" i="2" s="1"/>
  <c r="Q81" i="2"/>
  <c r="P81" i="2"/>
  <c r="N81" i="2"/>
  <c r="M81" i="2"/>
  <c r="K81" i="2"/>
  <c r="I81" i="2"/>
  <c r="J81" i="2" s="1"/>
  <c r="E81" i="2"/>
  <c r="G81" i="2" s="1"/>
  <c r="Q80" i="2"/>
  <c r="P80" i="2"/>
  <c r="N80" i="2"/>
  <c r="M80" i="2"/>
  <c r="K80" i="2"/>
  <c r="I80" i="2"/>
  <c r="J80" i="2" s="1"/>
  <c r="E80" i="2"/>
  <c r="G80" i="2" s="1"/>
  <c r="Q79" i="2"/>
  <c r="P79" i="2"/>
  <c r="N79" i="2"/>
  <c r="M79" i="2"/>
  <c r="K79" i="2"/>
  <c r="I79" i="2"/>
  <c r="J79" i="2" s="1"/>
  <c r="E79" i="2"/>
  <c r="G79" i="2" s="1"/>
  <c r="Q78" i="2"/>
  <c r="P78" i="2"/>
  <c r="N78" i="2"/>
  <c r="M78" i="2"/>
  <c r="K78" i="2"/>
  <c r="I78" i="2"/>
  <c r="J78" i="2" s="1"/>
  <c r="E78" i="2"/>
  <c r="G78" i="2" s="1"/>
  <c r="D78" i="2"/>
  <c r="F78" i="2" s="1"/>
  <c r="Q77" i="2"/>
  <c r="P77" i="2"/>
  <c r="N77" i="2"/>
  <c r="M77" i="2"/>
  <c r="K77" i="2"/>
  <c r="I77" i="2"/>
  <c r="J77" i="2" s="1"/>
  <c r="E77" i="2"/>
  <c r="G77" i="2" s="1"/>
  <c r="Q76" i="2"/>
  <c r="P76" i="2"/>
  <c r="N76" i="2"/>
  <c r="M76" i="2"/>
  <c r="K76" i="2"/>
  <c r="I76" i="2"/>
  <c r="J76" i="2" s="1"/>
  <c r="E76" i="2"/>
  <c r="G76" i="2" s="1"/>
  <c r="Q75" i="2"/>
  <c r="P75" i="2"/>
  <c r="R75" i="2" s="1"/>
  <c r="N75" i="2"/>
  <c r="M75" i="2"/>
  <c r="K75" i="2"/>
  <c r="I75" i="2"/>
  <c r="J75" i="2" s="1"/>
  <c r="E75" i="2"/>
  <c r="G75" i="2" s="1"/>
  <c r="Q74" i="2"/>
  <c r="P74" i="2"/>
  <c r="N74" i="2"/>
  <c r="M74" i="2"/>
  <c r="K74" i="2"/>
  <c r="I74" i="2"/>
  <c r="J74" i="2" s="1"/>
  <c r="E74" i="2"/>
  <c r="G74" i="2" s="1"/>
  <c r="Q73" i="2"/>
  <c r="P73" i="2"/>
  <c r="N73" i="2"/>
  <c r="M73" i="2"/>
  <c r="K73" i="2"/>
  <c r="I73" i="2"/>
  <c r="J73" i="2" s="1"/>
  <c r="E73" i="2"/>
  <c r="G73" i="2" s="1"/>
  <c r="Q72" i="2"/>
  <c r="P72" i="2"/>
  <c r="N72" i="2"/>
  <c r="M72" i="2"/>
  <c r="K72" i="2"/>
  <c r="I72" i="2"/>
  <c r="J72" i="2" s="1"/>
  <c r="E72" i="2"/>
  <c r="G72" i="2" s="1"/>
  <c r="Q71" i="2"/>
  <c r="P71" i="2"/>
  <c r="R71" i="2" s="1"/>
  <c r="N71" i="2"/>
  <c r="M71" i="2"/>
  <c r="K71" i="2"/>
  <c r="I71" i="2"/>
  <c r="J71" i="2" s="1"/>
  <c r="E71" i="2"/>
  <c r="G71" i="2" s="1"/>
  <c r="Q70" i="2"/>
  <c r="P70" i="2"/>
  <c r="N70" i="2"/>
  <c r="M70" i="2"/>
  <c r="K70" i="2"/>
  <c r="I70" i="2"/>
  <c r="J70" i="2" s="1"/>
  <c r="E70" i="2"/>
  <c r="G70" i="2" s="1"/>
  <c r="Q69" i="2"/>
  <c r="P69" i="2"/>
  <c r="N69" i="2"/>
  <c r="M69" i="2"/>
  <c r="K69" i="2"/>
  <c r="I69" i="2"/>
  <c r="J69" i="2" s="1"/>
  <c r="E69" i="2"/>
  <c r="G69" i="2" s="1"/>
  <c r="D69" i="2"/>
  <c r="F69" i="2" s="1"/>
  <c r="Q68" i="2"/>
  <c r="P68" i="2"/>
  <c r="N68" i="2"/>
  <c r="M68" i="2"/>
  <c r="K68" i="2"/>
  <c r="I68" i="2"/>
  <c r="J68" i="2" s="1"/>
  <c r="E68" i="2"/>
  <c r="G68" i="2" s="1"/>
  <c r="Q67" i="2"/>
  <c r="P67" i="2"/>
  <c r="N67" i="2"/>
  <c r="M67" i="2"/>
  <c r="K67" i="2"/>
  <c r="I67" i="2"/>
  <c r="J67" i="2" s="1"/>
  <c r="E67" i="2"/>
  <c r="G67" i="2" s="1"/>
  <c r="Q66" i="2"/>
  <c r="P66" i="2"/>
  <c r="N66" i="2"/>
  <c r="M66" i="2"/>
  <c r="K66" i="2"/>
  <c r="I66" i="2"/>
  <c r="J66" i="2" s="1"/>
  <c r="E66" i="2"/>
  <c r="G66" i="2" s="1"/>
  <c r="Q65" i="2"/>
  <c r="P65" i="2"/>
  <c r="N65" i="2"/>
  <c r="M65" i="2"/>
  <c r="K65" i="2"/>
  <c r="I65" i="2"/>
  <c r="J65" i="2" s="1"/>
  <c r="E65" i="2"/>
  <c r="G65" i="2" s="1"/>
  <c r="Q64" i="2"/>
  <c r="P64" i="2"/>
  <c r="R64" i="2" s="1"/>
  <c r="N64" i="2"/>
  <c r="M64" i="2"/>
  <c r="K64" i="2"/>
  <c r="I64" i="2"/>
  <c r="J64" i="2" s="1"/>
  <c r="E64" i="2"/>
  <c r="G64" i="2" s="1"/>
  <c r="Q63" i="2"/>
  <c r="P63" i="2"/>
  <c r="N63" i="2"/>
  <c r="M63" i="2"/>
  <c r="K63" i="2"/>
  <c r="I63" i="2"/>
  <c r="J63" i="2" s="1"/>
  <c r="E63" i="2"/>
  <c r="G63" i="2" s="1"/>
  <c r="Q62" i="2"/>
  <c r="P62" i="2"/>
  <c r="N62" i="2"/>
  <c r="M62" i="2"/>
  <c r="K62" i="2"/>
  <c r="I62" i="2"/>
  <c r="J62" i="2" s="1"/>
  <c r="E62" i="2"/>
  <c r="G62" i="2" s="1"/>
  <c r="D62" i="2"/>
  <c r="F62" i="2" s="1"/>
  <c r="Q61" i="2"/>
  <c r="P61" i="2"/>
  <c r="N61" i="2"/>
  <c r="M61" i="2"/>
  <c r="K61" i="2"/>
  <c r="I61" i="2"/>
  <c r="J61" i="2" s="1"/>
  <c r="E61" i="2"/>
  <c r="G61" i="2" s="1"/>
  <c r="Q60" i="2"/>
  <c r="P60" i="2"/>
  <c r="N60" i="2"/>
  <c r="M60" i="2"/>
  <c r="K60" i="2"/>
  <c r="I60" i="2"/>
  <c r="J60" i="2" s="1"/>
  <c r="E60" i="2"/>
  <c r="G60" i="2" s="1"/>
  <c r="Q59" i="2"/>
  <c r="P59" i="2"/>
  <c r="R59" i="2" s="1"/>
  <c r="N59" i="2"/>
  <c r="M59" i="2"/>
  <c r="K59" i="2"/>
  <c r="I59" i="2"/>
  <c r="J59" i="2" s="1"/>
  <c r="E59" i="2"/>
  <c r="G59" i="2" s="1"/>
  <c r="Q58" i="2"/>
  <c r="P58" i="2"/>
  <c r="N58" i="2"/>
  <c r="M58" i="2"/>
  <c r="K58" i="2"/>
  <c r="I58" i="2"/>
  <c r="J58" i="2" s="1"/>
  <c r="E58" i="2"/>
  <c r="G58" i="2" s="1"/>
  <c r="Q57" i="2"/>
  <c r="P57" i="2"/>
  <c r="N57" i="2"/>
  <c r="M57" i="2"/>
  <c r="K57" i="2"/>
  <c r="I57" i="2"/>
  <c r="J57" i="2" s="1"/>
  <c r="E57" i="2"/>
  <c r="G57" i="2" s="1"/>
  <c r="Q56" i="2"/>
  <c r="P56" i="2"/>
  <c r="N56" i="2"/>
  <c r="M56" i="2"/>
  <c r="K56" i="2"/>
  <c r="I56" i="2"/>
  <c r="J56" i="2" s="1"/>
  <c r="E56" i="2"/>
  <c r="G56" i="2" s="1"/>
  <c r="Q55" i="2"/>
  <c r="R55" i="2" s="1"/>
  <c r="P55" i="2"/>
  <c r="N55" i="2"/>
  <c r="M55" i="2"/>
  <c r="K55" i="2"/>
  <c r="I55" i="2"/>
  <c r="J55" i="2" s="1"/>
  <c r="E55" i="2"/>
  <c r="G55" i="2" s="1"/>
  <c r="Q54" i="2"/>
  <c r="P54" i="2"/>
  <c r="N54" i="2"/>
  <c r="M54" i="2"/>
  <c r="K54" i="2"/>
  <c r="I54" i="2"/>
  <c r="J54" i="2" s="1"/>
  <c r="E54" i="2"/>
  <c r="G54" i="2" s="1"/>
  <c r="Q53" i="2"/>
  <c r="P53" i="2"/>
  <c r="N53" i="2"/>
  <c r="M53" i="2"/>
  <c r="K53" i="2"/>
  <c r="I53" i="2"/>
  <c r="J53" i="2" s="1"/>
  <c r="E53" i="2"/>
  <c r="G53" i="2" s="1"/>
  <c r="D53" i="2"/>
  <c r="F53" i="2" s="1"/>
  <c r="Q52" i="2"/>
  <c r="P52" i="2"/>
  <c r="N52" i="2"/>
  <c r="M52" i="2"/>
  <c r="K52" i="2"/>
  <c r="I52" i="2"/>
  <c r="J52" i="2" s="1"/>
  <c r="E52" i="2"/>
  <c r="G52" i="2" s="1"/>
  <c r="D52" i="2"/>
  <c r="F52" i="2" s="1"/>
  <c r="Q51" i="2"/>
  <c r="P51" i="2"/>
  <c r="R51" i="2" s="1"/>
  <c r="N51" i="2"/>
  <c r="M51" i="2"/>
  <c r="K51" i="2"/>
  <c r="I51" i="2"/>
  <c r="J51" i="2" s="1"/>
  <c r="E51" i="2"/>
  <c r="G51" i="2" s="1"/>
  <c r="Q50" i="2"/>
  <c r="P50" i="2"/>
  <c r="N50" i="2"/>
  <c r="M50" i="2"/>
  <c r="K50" i="2"/>
  <c r="I50" i="2"/>
  <c r="J50" i="2" s="1"/>
  <c r="E50" i="2"/>
  <c r="G50" i="2" s="1"/>
  <c r="Q49" i="2"/>
  <c r="P49" i="2"/>
  <c r="N49" i="2"/>
  <c r="M49" i="2"/>
  <c r="K49" i="2"/>
  <c r="I49" i="2"/>
  <c r="J49" i="2" s="1"/>
  <c r="E49" i="2"/>
  <c r="G49" i="2" s="1"/>
  <c r="D49" i="2"/>
  <c r="F49" i="2" s="1"/>
  <c r="Q48" i="2"/>
  <c r="P48" i="2"/>
  <c r="N48" i="2"/>
  <c r="M48" i="2"/>
  <c r="K48" i="2"/>
  <c r="I48" i="2"/>
  <c r="J48" i="2" s="1"/>
  <c r="E48" i="2"/>
  <c r="G48" i="2" s="1"/>
  <c r="D48" i="2"/>
  <c r="F48" i="2" s="1"/>
  <c r="Q47" i="2"/>
  <c r="P47" i="2"/>
  <c r="N47" i="2"/>
  <c r="M47" i="2"/>
  <c r="K47" i="2"/>
  <c r="I47" i="2"/>
  <c r="J47" i="2" s="1"/>
  <c r="E47" i="2"/>
  <c r="G47" i="2" s="1"/>
  <c r="Q46" i="2"/>
  <c r="P46" i="2"/>
  <c r="N46" i="2"/>
  <c r="M46" i="2"/>
  <c r="K46" i="2"/>
  <c r="I46" i="2"/>
  <c r="J46" i="2" s="1"/>
  <c r="E46" i="2"/>
  <c r="G46" i="2" s="1"/>
  <c r="Q45" i="2"/>
  <c r="P45" i="2"/>
  <c r="R45" i="2" s="1"/>
  <c r="N45" i="2"/>
  <c r="M45" i="2"/>
  <c r="K45" i="2"/>
  <c r="I45" i="2"/>
  <c r="J45" i="2" s="1"/>
  <c r="E45" i="2"/>
  <c r="G45" i="2" s="1"/>
  <c r="Q44" i="2"/>
  <c r="P44" i="2"/>
  <c r="R44" i="2" s="1"/>
  <c r="N44" i="2"/>
  <c r="M44" i="2"/>
  <c r="K44" i="2"/>
  <c r="I44" i="2"/>
  <c r="J44" i="2" s="1"/>
  <c r="E44" i="2"/>
  <c r="G44" i="2" s="1"/>
  <c r="Q43" i="2"/>
  <c r="P43" i="2"/>
  <c r="N43" i="2"/>
  <c r="M43" i="2"/>
  <c r="K43" i="2"/>
  <c r="I43" i="2"/>
  <c r="J43" i="2" s="1"/>
  <c r="E43" i="2"/>
  <c r="G43" i="2" s="1"/>
  <c r="Q42" i="2"/>
  <c r="P42" i="2"/>
  <c r="N42" i="2"/>
  <c r="M42" i="2"/>
  <c r="K42" i="2"/>
  <c r="I42" i="2"/>
  <c r="J42" i="2" s="1"/>
  <c r="E42" i="2"/>
  <c r="G42" i="2" s="1"/>
  <c r="Q41" i="2"/>
  <c r="P41" i="2"/>
  <c r="R41" i="2" s="1"/>
  <c r="N41" i="2"/>
  <c r="M41" i="2"/>
  <c r="K41" i="2"/>
  <c r="I41" i="2"/>
  <c r="J41" i="2" s="1"/>
  <c r="E41" i="2"/>
  <c r="G41" i="2" s="1"/>
  <c r="Q40" i="2"/>
  <c r="P40" i="2"/>
  <c r="N40" i="2"/>
  <c r="M40" i="2"/>
  <c r="K40" i="2"/>
  <c r="I40" i="2"/>
  <c r="J40" i="2" s="1"/>
  <c r="E40" i="2"/>
  <c r="G40" i="2" s="1"/>
  <c r="Q39" i="2"/>
  <c r="P39" i="2"/>
  <c r="R39" i="2" s="1"/>
  <c r="N39" i="2"/>
  <c r="M39" i="2"/>
  <c r="K39" i="2"/>
  <c r="I39" i="2"/>
  <c r="J39" i="2" s="1"/>
  <c r="E39" i="2"/>
  <c r="G39" i="2" s="1"/>
  <c r="Q38" i="2"/>
  <c r="P38" i="2"/>
  <c r="N38" i="2"/>
  <c r="M38" i="2"/>
  <c r="K38" i="2"/>
  <c r="I38" i="2"/>
  <c r="J38" i="2" s="1"/>
  <c r="E38" i="2"/>
  <c r="G38" i="2" s="1"/>
  <c r="D38" i="2"/>
  <c r="F38" i="2" s="1"/>
  <c r="Q37" i="2"/>
  <c r="P37" i="2"/>
  <c r="N37" i="2"/>
  <c r="M37" i="2"/>
  <c r="K37" i="2"/>
  <c r="I37" i="2"/>
  <c r="J37" i="2" s="1"/>
  <c r="E37" i="2"/>
  <c r="G37" i="2" s="1"/>
  <c r="Q36" i="2"/>
  <c r="P36" i="2"/>
  <c r="R36" i="2" s="1"/>
  <c r="N36" i="2"/>
  <c r="M36" i="2"/>
  <c r="K36" i="2"/>
  <c r="I36" i="2"/>
  <c r="J36" i="2" s="1"/>
  <c r="E36" i="2"/>
  <c r="G36" i="2" s="1"/>
  <c r="Q35" i="2"/>
  <c r="P35" i="2"/>
  <c r="N35" i="2"/>
  <c r="M35" i="2"/>
  <c r="K35" i="2"/>
  <c r="I35" i="2"/>
  <c r="J35" i="2" s="1"/>
  <c r="E35" i="2"/>
  <c r="G35" i="2" s="1"/>
  <c r="Q34" i="2"/>
  <c r="P34" i="2"/>
  <c r="R34" i="2" s="1"/>
  <c r="N34" i="2"/>
  <c r="M34" i="2"/>
  <c r="K34" i="2"/>
  <c r="I34" i="2"/>
  <c r="J34" i="2" s="1"/>
  <c r="E34" i="2"/>
  <c r="G34" i="2" s="1"/>
  <c r="Q33" i="2"/>
  <c r="P33" i="2"/>
  <c r="N33" i="2"/>
  <c r="M33" i="2"/>
  <c r="K33" i="2"/>
  <c r="I33" i="2"/>
  <c r="J33" i="2" s="1"/>
  <c r="E33" i="2"/>
  <c r="G33" i="2" s="1"/>
  <c r="Q32" i="2"/>
  <c r="P32" i="2"/>
  <c r="N32" i="2"/>
  <c r="M32" i="2"/>
  <c r="K32" i="2"/>
  <c r="I32" i="2"/>
  <c r="J32" i="2" s="1"/>
  <c r="E32" i="2"/>
  <c r="G32" i="2" s="1"/>
  <c r="Q31" i="2"/>
  <c r="R31" i="2" s="1"/>
  <c r="P31" i="2"/>
  <c r="N31" i="2"/>
  <c r="M31" i="2"/>
  <c r="K31" i="2"/>
  <c r="I31" i="2"/>
  <c r="J31" i="2" s="1"/>
  <c r="E31" i="2"/>
  <c r="G31" i="2" s="1"/>
  <c r="Q30" i="2"/>
  <c r="P30" i="2"/>
  <c r="N30" i="2"/>
  <c r="M30" i="2"/>
  <c r="K30" i="2"/>
  <c r="I30" i="2"/>
  <c r="J30" i="2" s="1"/>
  <c r="E30" i="2"/>
  <c r="G30" i="2" s="1"/>
  <c r="Q29" i="2"/>
  <c r="P29" i="2"/>
  <c r="N29" i="2"/>
  <c r="M29" i="2"/>
  <c r="K29" i="2"/>
  <c r="I29" i="2"/>
  <c r="J29" i="2" s="1"/>
  <c r="E29" i="2"/>
  <c r="G29" i="2" s="1"/>
  <c r="D29" i="2"/>
  <c r="F29" i="2" s="1"/>
  <c r="Q28" i="2"/>
  <c r="P28" i="2"/>
  <c r="N28" i="2"/>
  <c r="M28" i="2"/>
  <c r="K28" i="2"/>
  <c r="I28" i="2"/>
  <c r="J28" i="2" s="1"/>
  <c r="E28" i="2"/>
  <c r="G28" i="2" s="1"/>
  <c r="D28" i="2"/>
  <c r="F28" i="2" s="1"/>
  <c r="Q27" i="2"/>
  <c r="P27" i="2"/>
  <c r="N27" i="2"/>
  <c r="M27" i="2"/>
  <c r="K27" i="2"/>
  <c r="I27" i="2"/>
  <c r="J27" i="2" s="1"/>
  <c r="E27" i="2"/>
  <c r="G27" i="2" s="1"/>
  <c r="Q26" i="2"/>
  <c r="P26" i="2"/>
  <c r="R26" i="2" s="1"/>
  <c r="N26" i="2"/>
  <c r="M26" i="2"/>
  <c r="O26" i="2" s="1"/>
  <c r="K26" i="2"/>
  <c r="I26" i="2"/>
  <c r="J26" i="2" s="1"/>
  <c r="E26" i="2"/>
  <c r="G26" i="2" s="1"/>
  <c r="D26" i="2"/>
  <c r="F26" i="2" s="1"/>
  <c r="Q25" i="2"/>
  <c r="P25" i="2"/>
  <c r="N25" i="2"/>
  <c r="M25" i="2"/>
  <c r="K25" i="2"/>
  <c r="I25" i="2"/>
  <c r="J25" i="2" s="1"/>
  <c r="E25" i="2"/>
  <c r="G25" i="2" s="1"/>
  <c r="Q24" i="2"/>
  <c r="P24" i="2"/>
  <c r="N24" i="2"/>
  <c r="M24" i="2"/>
  <c r="K24" i="2"/>
  <c r="I24" i="2"/>
  <c r="J24" i="2" s="1"/>
  <c r="E24" i="2"/>
  <c r="G24" i="2" s="1"/>
  <c r="Q23" i="2"/>
  <c r="P23" i="2"/>
  <c r="N23" i="2"/>
  <c r="M23" i="2"/>
  <c r="K23" i="2"/>
  <c r="I23" i="2"/>
  <c r="J23" i="2" s="1"/>
  <c r="E23" i="2"/>
  <c r="G23" i="2" s="1"/>
  <c r="Q22" i="2"/>
  <c r="R22" i="2" s="1"/>
  <c r="P22" i="2"/>
  <c r="N22" i="2"/>
  <c r="M22" i="2"/>
  <c r="K22" i="2"/>
  <c r="I22" i="2"/>
  <c r="J22" i="2" s="1"/>
  <c r="E22" i="2"/>
  <c r="G22" i="2" s="1"/>
  <c r="Q21" i="2"/>
  <c r="P21" i="2"/>
  <c r="N21" i="2"/>
  <c r="M21" i="2"/>
  <c r="O21" i="2" s="1"/>
  <c r="K21" i="2"/>
  <c r="I21" i="2"/>
  <c r="J21" i="2" s="1"/>
  <c r="E21" i="2"/>
  <c r="G21" i="2" s="1"/>
  <c r="Q20" i="2"/>
  <c r="P20" i="2"/>
  <c r="N20" i="2"/>
  <c r="M20" i="2"/>
  <c r="K20" i="2"/>
  <c r="I20" i="2"/>
  <c r="J20" i="2" s="1"/>
  <c r="E20" i="2"/>
  <c r="G20" i="2" s="1"/>
  <c r="Q19" i="2"/>
  <c r="P19" i="2"/>
  <c r="R19" i="2" s="1"/>
  <c r="N19" i="2"/>
  <c r="M19" i="2"/>
  <c r="K19" i="2"/>
  <c r="I19" i="2"/>
  <c r="J19" i="2" s="1"/>
  <c r="E19" i="2"/>
  <c r="G19" i="2" s="1"/>
  <c r="Q18" i="2"/>
  <c r="P18" i="2"/>
  <c r="N18" i="2"/>
  <c r="M18" i="2"/>
  <c r="K18" i="2"/>
  <c r="I18" i="2"/>
  <c r="J18" i="2" s="1"/>
  <c r="E18" i="2"/>
  <c r="G18" i="2" s="1"/>
  <c r="Q17" i="2"/>
  <c r="P17" i="2"/>
  <c r="N17" i="2"/>
  <c r="M17" i="2"/>
  <c r="K17" i="2"/>
  <c r="I17" i="2"/>
  <c r="J17" i="2" s="1"/>
  <c r="E17" i="2"/>
  <c r="G17" i="2" s="1"/>
  <c r="Q16" i="2"/>
  <c r="P16" i="2"/>
  <c r="N16" i="2"/>
  <c r="M16" i="2"/>
  <c r="K16" i="2"/>
  <c r="I16" i="2"/>
  <c r="J16" i="2" s="1"/>
  <c r="E16" i="2"/>
  <c r="G16" i="2" s="1"/>
  <c r="Q15" i="2"/>
  <c r="P15" i="2"/>
  <c r="N15" i="2"/>
  <c r="M15" i="2"/>
  <c r="K15" i="2"/>
  <c r="I15" i="2"/>
  <c r="J15" i="2" s="1"/>
  <c r="E15" i="2"/>
  <c r="G15" i="2" s="1"/>
  <c r="D15" i="2"/>
  <c r="F15" i="2" s="1"/>
  <c r="Q14" i="2"/>
  <c r="P14" i="2"/>
  <c r="R14" i="2" s="1"/>
  <c r="N14" i="2"/>
  <c r="M14" i="2"/>
  <c r="K14" i="2"/>
  <c r="I14" i="2"/>
  <c r="J14" i="2" s="1"/>
  <c r="E14" i="2"/>
  <c r="G14" i="2" s="1"/>
  <c r="Q13" i="2"/>
  <c r="P13" i="2"/>
  <c r="N13" i="2"/>
  <c r="M13" i="2"/>
  <c r="K13" i="2"/>
  <c r="I13" i="2"/>
  <c r="J13" i="2" s="1"/>
  <c r="E13" i="2"/>
  <c r="G13" i="2" s="1"/>
  <c r="D13" i="2"/>
  <c r="F13" i="2" s="1"/>
  <c r="Q12" i="2"/>
  <c r="P12" i="2"/>
  <c r="N12" i="2"/>
  <c r="M12" i="2"/>
  <c r="K12" i="2"/>
  <c r="I12" i="2"/>
  <c r="J12" i="2" s="1"/>
  <c r="E12" i="2"/>
  <c r="G12" i="2" s="1"/>
  <c r="D12" i="2"/>
  <c r="F12" i="2" s="1"/>
  <c r="Q11" i="2"/>
  <c r="P11" i="2"/>
  <c r="N11" i="2"/>
  <c r="M11" i="2"/>
  <c r="K11" i="2"/>
  <c r="I11" i="2"/>
  <c r="J11" i="2" s="1"/>
  <c r="E11" i="2"/>
  <c r="G11" i="2" s="1"/>
  <c r="Q10" i="2"/>
  <c r="P10" i="2"/>
  <c r="N10" i="2"/>
  <c r="M10" i="2"/>
  <c r="K10" i="2"/>
  <c r="I10" i="2"/>
  <c r="J10" i="2" s="1"/>
  <c r="E10" i="2"/>
  <c r="G10" i="2" s="1"/>
  <c r="D10" i="2"/>
  <c r="F10" i="2" s="1"/>
  <c r="Q9" i="2"/>
  <c r="P9" i="2"/>
  <c r="N9" i="2"/>
  <c r="M9" i="2"/>
  <c r="K9" i="2"/>
  <c r="I9" i="2"/>
  <c r="J9" i="2" s="1"/>
  <c r="E9" i="2"/>
  <c r="G9" i="2" s="1"/>
  <c r="Q8" i="2"/>
  <c r="P8" i="2"/>
  <c r="N8" i="2"/>
  <c r="M8" i="2"/>
  <c r="K8" i="2"/>
  <c r="I8" i="2"/>
  <c r="J8" i="2" s="1"/>
  <c r="E8" i="2"/>
  <c r="G8" i="2" s="1"/>
  <c r="Q7" i="2"/>
  <c r="P7" i="2"/>
  <c r="N7" i="2"/>
  <c r="M7" i="2"/>
  <c r="K7" i="2"/>
  <c r="I7" i="2"/>
  <c r="J7" i="2" s="1"/>
  <c r="E7" i="2"/>
  <c r="G7" i="2" s="1"/>
  <c r="Q6" i="2"/>
  <c r="P6" i="2"/>
  <c r="N6" i="2"/>
  <c r="M6" i="2"/>
  <c r="K6" i="2"/>
  <c r="I6" i="2"/>
  <c r="J6" i="2" s="1"/>
  <c r="E6" i="2"/>
  <c r="G6" i="2" s="1"/>
  <c r="Q5" i="2"/>
  <c r="P5" i="2"/>
  <c r="N5" i="2"/>
  <c r="M5" i="2"/>
  <c r="K5" i="2"/>
  <c r="I5" i="2"/>
  <c r="J5" i="2" s="1"/>
  <c r="E5" i="2"/>
  <c r="G5" i="2" s="1"/>
  <c r="Q11" i="1"/>
  <c r="P11" i="1"/>
  <c r="R11" i="1" s="1"/>
  <c r="N11" i="1"/>
  <c r="M11" i="1"/>
  <c r="K11" i="1"/>
  <c r="I11" i="1"/>
  <c r="J11" i="1" s="1"/>
  <c r="O372" i="1"/>
  <c r="H5" i="4" l="1"/>
  <c r="H11" i="4"/>
  <c r="G18" i="4"/>
  <c r="O20" i="4"/>
  <c r="O40" i="4"/>
  <c r="H44" i="4"/>
  <c r="O53" i="4"/>
  <c r="G63" i="4"/>
  <c r="H86" i="4"/>
  <c r="O89" i="4"/>
  <c r="O90" i="4"/>
  <c r="O126" i="4"/>
  <c r="O137" i="4"/>
  <c r="G31" i="4"/>
  <c r="O13" i="4"/>
  <c r="H23" i="4"/>
  <c r="O32" i="4"/>
  <c r="H62" i="4"/>
  <c r="O76" i="4"/>
  <c r="H80" i="4"/>
  <c r="O82" i="4"/>
  <c r="O103" i="4"/>
  <c r="O123" i="4"/>
  <c r="G209" i="4"/>
  <c r="H209" i="4"/>
  <c r="H244" i="4"/>
  <c r="G244" i="4"/>
  <c r="O6" i="4"/>
  <c r="G9" i="4"/>
  <c r="O12" i="4"/>
  <c r="O25" i="4"/>
  <c r="H35" i="4"/>
  <c r="G42" i="4"/>
  <c r="O44" i="4"/>
  <c r="G49" i="4"/>
  <c r="G67" i="4"/>
  <c r="G73" i="4"/>
  <c r="O93" i="4"/>
  <c r="O5" i="4"/>
  <c r="O11" i="4"/>
  <c r="O31" i="4"/>
  <c r="H41" i="4"/>
  <c r="O50" i="4"/>
  <c r="G55" i="4"/>
  <c r="G61" i="4"/>
  <c r="O68" i="4"/>
  <c r="O74" i="4"/>
  <c r="H220" i="4"/>
  <c r="G220" i="4"/>
  <c r="H118" i="4"/>
  <c r="G118" i="4"/>
  <c r="H8" i="4"/>
  <c r="O37" i="4"/>
  <c r="H47" i="4"/>
  <c r="O101" i="4"/>
  <c r="H132" i="4"/>
  <c r="G197" i="4"/>
  <c r="H197" i="4"/>
  <c r="O30" i="4"/>
  <c r="G83" i="4"/>
  <c r="H83" i="4"/>
  <c r="G96" i="4"/>
  <c r="G143" i="4"/>
  <c r="H143" i="4"/>
  <c r="H184" i="4"/>
  <c r="G184" i="4"/>
  <c r="O16" i="4"/>
  <c r="H20" i="4"/>
  <c r="O29" i="4"/>
  <c r="O36" i="4"/>
  <c r="O49" i="4"/>
  <c r="H59" i="4"/>
  <c r="O73" i="4"/>
  <c r="H87" i="4"/>
  <c r="H89" i="4"/>
  <c r="H95" i="4"/>
  <c r="H141" i="4"/>
  <c r="G131" i="4"/>
  <c r="H131" i="4"/>
  <c r="G7" i="4"/>
  <c r="O8" i="4"/>
  <c r="O28" i="4"/>
  <c r="H32" i="4"/>
  <c r="O41" i="4"/>
  <c r="O48" i="4"/>
  <c r="O66" i="4"/>
  <c r="O84" i="4"/>
  <c r="H129" i="4"/>
  <c r="O67" i="4"/>
  <c r="H77" i="4"/>
  <c r="O80" i="4"/>
  <c r="O81" i="4"/>
  <c r="O88" i="4"/>
  <c r="O107" i="4"/>
  <c r="O108" i="4"/>
  <c r="H128" i="4"/>
  <c r="H140" i="4"/>
  <c r="H152" i="4"/>
  <c r="H155" i="4"/>
  <c r="H164" i="4"/>
  <c r="H167" i="4"/>
  <c r="O181" i="4"/>
  <c r="H186" i="4"/>
  <c r="O191" i="4"/>
  <c r="O192" i="4"/>
  <c r="H206" i="4"/>
  <c r="O215" i="4"/>
  <c r="O216" i="4"/>
  <c r="H219" i="4"/>
  <c r="O225" i="4"/>
  <c r="O226" i="4"/>
  <c r="O227" i="4"/>
  <c r="H234" i="4"/>
  <c r="O238" i="4"/>
  <c r="O239" i="4"/>
  <c r="O240" i="4"/>
  <c r="O241" i="4"/>
  <c r="H247" i="4"/>
  <c r="H258" i="4"/>
  <c r="O280" i="4"/>
  <c r="O292" i="4"/>
  <c r="H296" i="4"/>
  <c r="O309" i="4"/>
  <c r="H323" i="4"/>
  <c r="G324" i="4"/>
  <c r="G325" i="4"/>
  <c r="E334" i="4"/>
  <c r="G334" i="4" s="1"/>
  <c r="O340" i="4"/>
  <c r="O353" i="4"/>
  <c r="E361" i="4"/>
  <c r="G361" i="4" s="1"/>
  <c r="O363" i="4"/>
  <c r="H218" i="4"/>
  <c r="H231" i="4"/>
  <c r="O237" i="4"/>
  <c r="H243" i="4"/>
  <c r="O275" i="4"/>
  <c r="O287" i="4"/>
  <c r="O305" i="4"/>
  <c r="O307" i="4"/>
  <c r="H322" i="4"/>
  <c r="E342" i="4"/>
  <c r="E343" i="4"/>
  <c r="E344" i="4"/>
  <c r="G344" i="4" s="1"/>
  <c r="E345" i="4"/>
  <c r="E367" i="4"/>
  <c r="G367" i="4" s="1"/>
  <c r="O169" i="4"/>
  <c r="O180" i="4"/>
  <c r="O328" i="4"/>
  <c r="O362" i="4"/>
  <c r="O52" i="4"/>
  <c r="H56" i="4"/>
  <c r="O65" i="4"/>
  <c r="O72" i="4"/>
  <c r="O79" i="4"/>
  <c r="O97" i="4"/>
  <c r="O104" i="4"/>
  <c r="H109" i="4"/>
  <c r="O111" i="4"/>
  <c r="O112" i="4"/>
  <c r="O114" i="4"/>
  <c r="H126" i="4"/>
  <c r="O129" i="4"/>
  <c r="O133" i="4"/>
  <c r="H138" i="4"/>
  <c r="O141" i="4"/>
  <c r="O145" i="4"/>
  <c r="H150" i="4"/>
  <c r="O153" i="4"/>
  <c r="O157" i="4"/>
  <c r="H162" i="4"/>
  <c r="O165" i="4"/>
  <c r="H171" i="4"/>
  <c r="G172" i="4"/>
  <c r="H182" i="4"/>
  <c r="H185" i="4"/>
  <c r="H233" i="4"/>
  <c r="H253" i="4"/>
  <c r="H255" i="4"/>
  <c r="H285" i="4"/>
  <c r="G294" i="4"/>
  <c r="O298" i="4"/>
  <c r="H310" i="4"/>
  <c r="O327" i="4"/>
  <c r="E330" i="4"/>
  <c r="E331" i="4"/>
  <c r="E332" i="4"/>
  <c r="G332" i="4" s="1"/>
  <c r="E333" i="4"/>
  <c r="H341" i="4"/>
  <c r="O346" i="4"/>
  <c r="E350" i="4"/>
  <c r="G350" i="4" s="1"/>
  <c r="E351" i="4"/>
  <c r="O358" i="4"/>
  <c r="E360" i="4"/>
  <c r="G360" i="4" s="1"/>
  <c r="O368" i="4"/>
  <c r="H116" i="4"/>
  <c r="H123" i="4"/>
  <c r="O131" i="4"/>
  <c r="H135" i="4"/>
  <c r="O143" i="4"/>
  <c r="H147" i="4"/>
  <c r="O155" i="4"/>
  <c r="H159" i="4"/>
  <c r="O167" i="4"/>
  <c r="O195" i="4"/>
  <c r="H201" i="4"/>
  <c r="H204" i="4"/>
  <c r="O207" i="4"/>
  <c r="O245" i="4"/>
  <c r="O246" i="4"/>
  <c r="O247" i="4"/>
  <c r="O257" i="4"/>
  <c r="O258" i="4"/>
  <c r="H280" i="4"/>
  <c r="H292" i="4"/>
  <c r="H320" i="4"/>
  <c r="O323" i="4"/>
  <c r="O325" i="4"/>
  <c r="E341" i="4"/>
  <c r="G341" i="4" s="1"/>
  <c r="E348" i="4"/>
  <c r="E349" i="4"/>
  <c r="E357" i="4"/>
  <c r="H329" i="4"/>
  <c r="E340" i="4"/>
  <c r="G340" i="4" s="1"/>
  <c r="O352" i="4"/>
  <c r="E356" i="4"/>
  <c r="G356" i="4" s="1"/>
  <c r="O367" i="4"/>
  <c r="O117" i="4"/>
  <c r="O118" i="4"/>
  <c r="O120" i="4"/>
  <c r="H125" i="4"/>
  <c r="H134" i="4"/>
  <c r="H137" i="4"/>
  <c r="H146" i="4"/>
  <c r="H149" i="4"/>
  <c r="H158" i="4"/>
  <c r="O183" i="4"/>
  <c r="H189" i="4"/>
  <c r="H200" i="4"/>
  <c r="H212" i="4"/>
  <c r="O219" i="4"/>
  <c r="O220" i="4"/>
  <c r="O221" i="4"/>
  <c r="H225" i="4"/>
  <c r="O243" i="4"/>
  <c r="H260" i="4"/>
  <c r="O265" i="4"/>
  <c r="O274" i="4"/>
  <c r="O286" i="4"/>
  <c r="H299" i="4"/>
  <c r="O304" i="4"/>
  <c r="O311" i="4"/>
  <c r="O313" i="4"/>
  <c r="H328" i="4"/>
  <c r="E354" i="4"/>
  <c r="E355" i="4"/>
  <c r="O295" i="4"/>
  <c r="H317" i="4"/>
  <c r="O341" i="4"/>
  <c r="O343" i="4"/>
  <c r="E347" i="4"/>
  <c r="G347" i="4" s="1"/>
  <c r="E359" i="4"/>
  <c r="G359" i="4" s="1"/>
  <c r="E363" i="4"/>
  <c r="O171" i="4"/>
  <c r="H177" i="4"/>
  <c r="H188" i="4"/>
  <c r="H224" i="4"/>
  <c r="H237" i="4"/>
  <c r="O253" i="4"/>
  <c r="H298" i="4"/>
  <c r="O303" i="4"/>
  <c r="H316" i="4"/>
  <c r="H353" i="4"/>
  <c r="O135" i="4"/>
  <c r="H144" i="4"/>
  <c r="O147" i="4"/>
  <c r="H156" i="4"/>
  <c r="O159" i="4"/>
  <c r="H168" i="4"/>
  <c r="O173" i="4"/>
  <c r="H236" i="4"/>
  <c r="H248" i="4"/>
  <c r="O269" i="4"/>
  <c r="H287" i="4"/>
  <c r="H305" i="4"/>
  <c r="H326" i="4"/>
  <c r="O329" i="4"/>
  <c r="O331" i="4"/>
  <c r="O349" i="4"/>
  <c r="E353" i="4"/>
  <c r="G353" i="4" s="1"/>
  <c r="E362" i="4"/>
  <c r="G362" i="4" s="1"/>
  <c r="H365" i="4"/>
  <c r="O149" i="4"/>
  <c r="H153" i="4"/>
  <c r="O161" i="4"/>
  <c r="H165" i="4"/>
  <c r="H176" i="4"/>
  <c r="H198" i="4"/>
  <c r="O201" i="4"/>
  <c r="H207" i="4"/>
  <c r="H210" i="4"/>
  <c r="H245" i="4"/>
  <c r="H256" i="4"/>
  <c r="H266" i="4"/>
  <c r="H274" i="4"/>
  <c r="H286" i="4"/>
  <c r="O299" i="4"/>
  <c r="O301" i="4"/>
  <c r="H335" i="4"/>
  <c r="O347" i="4"/>
  <c r="O359" i="4"/>
  <c r="H175" i="4"/>
  <c r="F175" i="4"/>
  <c r="R229" i="4"/>
  <c r="G10" i="4"/>
  <c r="G16" i="4"/>
  <c r="G22" i="4"/>
  <c r="G28" i="4"/>
  <c r="G34" i="4"/>
  <c r="G40" i="4"/>
  <c r="G46" i="4"/>
  <c r="G52" i="4"/>
  <c r="G58" i="4"/>
  <c r="G64" i="4"/>
  <c r="G70" i="4"/>
  <c r="G76" i="4"/>
  <c r="G85" i="4"/>
  <c r="F101" i="4"/>
  <c r="F102" i="4"/>
  <c r="H119" i="4"/>
  <c r="F263" i="4"/>
  <c r="H263" i="4"/>
  <c r="H235" i="4"/>
  <c r="F235" i="4"/>
  <c r="F5" i="4"/>
  <c r="F11" i="4"/>
  <c r="F17" i="4"/>
  <c r="F23" i="4"/>
  <c r="F29" i="4"/>
  <c r="F35" i="4"/>
  <c r="F41" i="4"/>
  <c r="F47" i="4"/>
  <c r="F53" i="4"/>
  <c r="F59" i="4"/>
  <c r="F65" i="4"/>
  <c r="F71" i="4"/>
  <c r="F77" i="4"/>
  <c r="F86" i="4"/>
  <c r="F103" i="4"/>
  <c r="F108" i="4"/>
  <c r="F109" i="4"/>
  <c r="H127" i="4"/>
  <c r="F127" i="4"/>
  <c r="H139" i="4"/>
  <c r="F139" i="4"/>
  <c r="H151" i="4"/>
  <c r="F151" i="4"/>
  <c r="H163" i="4"/>
  <c r="F163" i="4"/>
  <c r="H205" i="4"/>
  <c r="F205" i="4"/>
  <c r="H262" i="4"/>
  <c r="F262" i="4"/>
  <c r="F78" i="4"/>
  <c r="F87" i="4"/>
  <c r="R90" i="4"/>
  <c r="F104" i="4"/>
  <c r="H107" i="4"/>
  <c r="R169" i="4"/>
  <c r="H193" i="4"/>
  <c r="F193" i="4"/>
  <c r="H217" i="4"/>
  <c r="F217" i="4"/>
  <c r="H242" i="4"/>
  <c r="F242" i="4"/>
  <c r="R81" i="4"/>
  <c r="R93" i="4"/>
  <c r="H229" i="4"/>
  <c r="F229" i="4"/>
  <c r="J374" i="4"/>
  <c r="H115" i="4"/>
  <c r="F115" i="4"/>
  <c r="H181" i="4"/>
  <c r="F181" i="4"/>
  <c r="H261" i="4"/>
  <c r="F261" i="4"/>
  <c r="H269" i="4"/>
  <c r="F269" i="4"/>
  <c r="J371" i="4"/>
  <c r="R223" i="4"/>
  <c r="O244" i="4"/>
  <c r="R266" i="4"/>
  <c r="K371" i="4"/>
  <c r="J376" i="4" s="1"/>
  <c r="H169" i="4"/>
  <c r="F169" i="4"/>
  <c r="H249" i="4"/>
  <c r="F249" i="4"/>
  <c r="H105" i="4"/>
  <c r="F105" i="4"/>
  <c r="F8" i="4"/>
  <c r="F14" i="4"/>
  <c r="F20" i="4"/>
  <c r="F26" i="4"/>
  <c r="F32" i="4"/>
  <c r="F38" i="4"/>
  <c r="F44" i="4"/>
  <c r="F50" i="4"/>
  <c r="F56" i="4"/>
  <c r="F62" i="4"/>
  <c r="F68" i="4"/>
  <c r="F74" i="4"/>
  <c r="F82" i="4"/>
  <c r="R84" i="4"/>
  <c r="R371" i="4" s="1"/>
  <c r="F92" i="4"/>
  <c r="R105" i="4"/>
  <c r="H133" i="4"/>
  <c r="F133" i="4"/>
  <c r="H145" i="4"/>
  <c r="F145" i="4"/>
  <c r="H157" i="4"/>
  <c r="F157" i="4"/>
  <c r="H199" i="4"/>
  <c r="F199" i="4"/>
  <c r="H211" i="4"/>
  <c r="F211" i="4"/>
  <c r="H93" i="4"/>
  <c r="G94" i="4"/>
  <c r="H113" i="4"/>
  <c r="H121" i="4"/>
  <c r="F121" i="4"/>
  <c r="R102" i="4"/>
  <c r="H187" i="4"/>
  <c r="F187" i="4"/>
  <c r="R205" i="4"/>
  <c r="H223" i="4"/>
  <c r="F223" i="4"/>
  <c r="H259" i="4"/>
  <c r="H273" i="4"/>
  <c r="H284" i="4"/>
  <c r="F250" i="4"/>
  <c r="G251" i="4"/>
  <c r="H281" i="4"/>
  <c r="H293" i="4"/>
  <c r="H302" i="4"/>
  <c r="F110" i="4"/>
  <c r="F116" i="4"/>
  <c r="F122" i="4"/>
  <c r="F224" i="4"/>
  <c r="F230" i="4"/>
  <c r="F236" i="4"/>
  <c r="F243" i="4"/>
  <c r="G265" i="4"/>
  <c r="F266" i="4"/>
  <c r="H267" i="4"/>
  <c r="R256" i="4"/>
  <c r="O259" i="4"/>
  <c r="F111" i="4"/>
  <c r="F117" i="4"/>
  <c r="F123" i="4"/>
  <c r="F129" i="4"/>
  <c r="F135" i="4"/>
  <c r="F141" i="4"/>
  <c r="F147" i="4"/>
  <c r="F153" i="4"/>
  <c r="F159" i="4"/>
  <c r="F165" i="4"/>
  <c r="F171" i="4"/>
  <c r="F177" i="4"/>
  <c r="F183" i="4"/>
  <c r="F189" i="4"/>
  <c r="F195" i="4"/>
  <c r="F201" i="4"/>
  <c r="F207" i="4"/>
  <c r="F213" i="4"/>
  <c r="F219" i="4"/>
  <c r="F225" i="4"/>
  <c r="F231" i="4"/>
  <c r="F237" i="4"/>
  <c r="F245" i="4"/>
  <c r="F253" i="4"/>
  <c r="O271" i="4"/>
  <c r="R273" i="4"/>
  <c r="H308" i="4"/>
  <c r="H338" i="4"/>
  <c r="H275" i="4"/>
  <c r="F275" i="4"/>
  <c r="O283" i="4"/>
  <c r="H368" i="4"/>
  <c r="F368" i="4"/>
  <c r="R250" i="4"/>
  <c r="H272" i="4"/>
  <c r="H314" i="4"/>
  <c r="D369" i="4"/>
  <c r="E369" i="4"/>
  <c r="G369" i="4" s="1"/>
  <c r="D358" i="4"/>
  <c r="D364" i="4"/>
  <c r="D370" i="4"/>
  <c r="E346" i="4"/>
  <c r="G346" i="4" s="1"/>
  <c r="E352" i="4"/>
  <c r="G352" i="4" s="1"/>
  <c r="E358" i="4"/>
  <c r="G358" i="4" s="1"/>
  <c r="E364" i="4"/>
  <c r="G364" i="4" s="1"/>
  <c r="E370" i="4"/>
  <c r="G370" i="4" s="1"/>
  <c r="F281" i="4"/>
  <c r="F287" i="4"/>
  <c r="F293" i="4"/>
  <c r="F299" i="4"/>
  <c r="F305" i="4"/>
  <c r="F311" i="4"/>
  <c r="F317" i="4"/>
  <c r="F323" i="4"/>
  <c r="F329" i="4"/>
  <c r="F335" i="4"/>
  <c r="F341" i="4"/>
  <c r="F347" i="4"/>
  <c r="F353" i="4"/>
  <c r="F359" i="4"/>
  <c r="D360" i="4"/>
  <c r="F365" i="4"/>
  <c r="D366" i="4"/>
  <c r="D361" i="4"/>
  <c r="D367" i="4"/>
  <c r="D362" i="4"/>
  <c r="R83" i="2"/>
  <c r="R119" i="2"/>
  <c r="R153" i="2"/>
  <c r="O155" i="2"/>
  <c r="O186" i="2"/>
  <c r="E229" i="2"/>
  <c r="G229" i="2" s="1"/>
  <c r="R230" i="2"/>
  <c r="E234" i="2"/>
  <c r="G234" i="2" s="1"/>
  <c r="E244" i="2"/>
  <c r="G244" i="2" s="1"/>
  <c r="R250" i="2"/>
  <c r="E256" i="2"/>
  <c r="G256" i="2" s="1"/>
  <c r="E269" i="2"/>
  <c r="G269" i="2" s="1"/>
  <c r="E287" i="2"/>
  <c r="G287" i="2" s="1"/>
  <c r="R292" i="2"/>
  <c r="R310" i="2"/>
  <c r="R340" i="2"/>
  <c r="R31" i="3"/>
  <c r="R60" i="3"/>
  <c r="R162" i="3"/>
  <c r="R194" i="3"/>
  <c r="R288" i="3"/>
  <c r="H341" i="3"/>
  <c r="D360" i="3"/>
  <c r="F360" i="3" s="1"/>
  <c r="R369" i="3"/>
  <c r="R23" i="2"/>
  <c r="R131" i="2"/>
  <c r="R173" i="2"/>
  <c r="D241" i="2"/>
  <c r="F241" i="2" s="1"/>
  <c r="E251" i="2"/>
  <c r="G251" i="2" s="1"/>
  <c r="E271" i="2"/>
  <c r="G271" i="2" s="1"/>
  <c r="E282" i="2"/>
  <c r="G282" i="2" s="1"/>
  <c r="E300" i="2"/>
  <c r="G300" i="2" s="1"/>
  <c r="E315" i="2"/>
  <c r="G315" i="2" s="1"/>
  <c r="E330" i="2"/>
  <c r="G330" i="2" s="1"/>
  <c r="R344" i="2"/>
  <c r="R15" i="3"/>
  <c r="R40" i="3"/>
  <c r="R43" i="3"/>
  <c r="R82" i="3"/>
  <c r="H106" i="3"/>
  <c r="R114" i="3"/>
  <c r="R117" i="3"/>
  <c r="R136" i="3"/>
  <c r="R226" i="3"/>
  <c r="R229" i="3"/>
  <c r="R275" i="3"/>
  <c r="G341" i="3"/>
  <c r="R346" i="3"/>
  <c r="R10" i="2"/>
  <c r="R13" i="2"/>
  <c r="R18" i="2"/>
  <c r="R33" i="2"/>
  <c r="R58" i="2"/>
  <c r="R97" i="2"/>
  <c r="R109" i="2"/>
  <c r="R138" i="2"/>
  <c r="R168" i="2"/>
  <c r="R181" i="2"/>
  <c r="R198" i="2"/>
  <c r="R208" i="2"/>
  <c r="R220" i="2"/>
  <c r="R247" i="2"/>
  <c r="R350" i="2"/>
  <c r="R24" i="3"/>
  <c r="R72" i="3"/>
  <c r="R75" i="3"/>
  <c r="R98" i="3"/>
  <c r="H153" i="3"/>
  <c r="O268" i="3"/>
  <c r="H282" i="3"/>
  <c r="R284" i="3"/>
  <c r="R287" i="3"/>
  <c r="R300" i="3"/>
  <c r="R319" i="3"/>
  <c r="D347" i="3"/>
  <c r="F347" i="3" s="1"/>
  <c r="D355" i="3"/>
  <c r="F355" i="3" s="1"/>
  <c r="R7" i="2"/>
  <c r="O15" i="2"/>
  <c r="R35" i="2"/>
  <c r="R60" i="2"/>
  <c r="R65" i="2"/>
  <c r="R70" i="2"/>
  <c r="R87" i="2"/>
  <c r="R99" i="2"/>
  <c r="R123" i="2"/>
  <c r="R157" i="2"/>
  <c r="R160" i="2"/>
  <c r="R183" i="2"/>
  <c r="O185" i="2"/>
  <c r="R200" i="2"/>
  <c r="E233" i="2"/>
  <c r="G233" i="2" s="1"/>
  <c r="E238" i="2"/>
  <c r="G238" i="2" s="1"/>
  <c r="E243" i="2"/>
  <c r="G243" i="2" s="1"/>
  <c r="E248" i="2"/>
  <c r="G248" i="2" s="1"/>
  <c r="R267" i="2"/>
  <c r="R274" i="2"/>
  <c r="E297" i="2"/>
  <c r="G297" i="2" s="1"/>
  <c r="E308" i="2"/>
  <c r="R318" i="2"/>
  <c r="R339" i="2"/>
  <c r="R370" i="2"/>
  <c r="R5" i="3"/>
  <c r="H76" i="3"/>
  <c r="R88" i="3"/>
  <c r="F153" i="3"/>
  <c r="R164" i="3"/>
  <c r="R167" i="3"/>
  <c r="R219" i="3"/>
  <c r="H250" i="3"/>
  <c r="R258" i="3"/>
  <c r="G337" i="3"/>
  <c r="D352" i="3"/>
  <c r="F352" i="3" s="1"/>
  <c r="D357" i="3"/>
  <c r="F357" i="3" s="1"/>
  <c r="O11" i="1"/>
  <c r="R15" i="2"/>
  <c r="R30" i="2"/>
  <c r="R47" i="2"/>
  <c r="R77" i="2"/>
  <c r="R82" i="2"/>
  <c r="R94" i="2"/>
  <c r="R269" i="2"/>
  <c r="E286" i="2"/>
  <c r="G286" i="2" s="1"/>
  <c r="R291" i="2"/>
  <c r="R293" i="2"/>
  <c r="O295" i="2"/>
  <c r="E369" i="2"/>
  <c r="G369" i="2" s="1"/>
  <c r="F44" i="3"/>
  <c r="H60" i="3"/>
  <c r="O131" i="3"/>
  <c r="O195" i="3"/>
  <c r="R199" i="3"/>
  <c r="H207" i="3"/>
  <c r="R228" i="3"/>
  <c r="R312" i="3"/>
  <c r="R353" i="3"/>
  <c r="R113" i="2"/>
  <c r="R125" i="2"/>
  <c r="R202" i="2"/>
  <c r="R212" i="2"/>
  <c r="R224" i="2"/>
  <c r="R23" i="3"/>
  <c r="R26" i="3"/>
  <c r="H82" i="3"/>
  <c r="R286" i="3"/>
  <c r="R370" i="3"/>
  <c r="R334" i="2"/>
  <c r="R106" i="3"/>
  <c r="R128" i="3"/>
  <c r="O153" i="3"/>
  <c r="R160" i="3"/>
  <c r="R166" i="3"/>
  <c r="H168" i="3"/>
  <c r="R192" i="3"/>
  <c r="H249" i="3"/>
  <c r="R276" i="3"/>
  <c r="R333" i="3"/>
  <c r="R344" i="3"/>
  <c r="R350" i="3"/>
  <c r="R174" i="2"/>
  <c r="R361" i="2"/>
  <c r="R80" i="3"/>
  <c r="R96" i="3"/>
  <c r="R134" i="3"/>
  <c r="H200" i="3"/>
  <c r="R208" i="3"/>
  <c r="R224" i="3"/>
  <c r="G249" i="3"/>
  <c r="R324" i="3"/>
  <c r="R6" i="2"/>
  <c r="R29" i="2"/>
  <c r="R54" i="2"/>
  <c r="R69" i="2"/>
  <c r="R76" i="2"/>
  <c r="R81" i="2"/>
  <c r="R93" i="2"/>
  <c r="R117" i="2"/>
  <c r="R134" i="2"/>
  <c r="R156" i="2"/>
  <c r="D205" i="2"/>
  <c r="F205" i="2" s="1"/>
  <c r="R216" i="2"/>
  <c r="E227" i="2"/>
  <c r="G227" i="2" s="1"/>
  <c r="R228" i="2"/>
  <c r="E254" i="2"/>
  <c r="G254" i="2" s="1"/>
  <c r="R255" i="2"/>
  <c r="E263" i="2"/>
  <c r="G263" i="2" s="1"/>
  <c r="R266" i="2"/>
  <c r="E274" i="2"/>
  <c r="G274" i="2" s="1"/>
  <c r="E285" i="2"/>
  <c r="G285" i="2" s="1"/>
  <c r="E318" i="2"/>
  <c r="G318" i="2" s="1"/>
  <c r="E364" i="2"/>
  <c r="G364" i="2" s="1"/>
  <c r="R13" i="3"/>
  <c r="R19" i="3"/>
  <c r="R25" i="3"/>
  <c r="H33" i="3"/>
  <c r="R54" i="3"/>
  <c r="R57" i="3"/>
  <c r="R70" i="3"/>
  <c r="R175" i="3"/>
  <c r="O191" i="3"/>
  <c r="R263" i="3"/>
  <c r="R285" i="3"/>
  <c r="R317" i="3"/>
  <c r="H241" i="3"/>
  <c r="H246" i="3"/>
  <c r="O262" i="3"/>
  <c r="O350" i="3"/>
  <c r="E356" i="3"/>
  <c r="G356" i="3" s="1"/>
  <c r="O19" i="3"/>
  <c r="H21" i="3"/>
  <c r="O93" i="3"/>
  <c r="H94" i="3"/>
  <c r="O179" i="3"/>
  <c r="O189" i="3"/>
  <c r="O221" i="3"/>
  <c r="O318" i="3"/>
  <c r="O369" i="3"/>
  <c r="O5" i="3"/>
  <c r="H6" i="3"/>
  <c r="H7" i="3"/>
  <c r="O11" i="3"/>
  <c r="H13" i="3"/>
  <c r="H30" i="3"/>
  <c r="H31" i="3"/>
  <c r="H32" i="3"/>
  <c r="H34" i="3"/>
  <c r="H52" i="3"/>
  <c r="O107" i="3"/>
  <c r="O113" i="3"/>
  <c r="O173" i="3"/>
  <c r="O202" i="3"/>
  <c r="O211" i="3"/>
  <c r="O212" i="3"/>
  <c r="H226" i="3"/>
  <c r="H238" i="3"/>
  <c r="O210" i="2"/>
  <c r="O275" i="2"/>
  <c r="E367" i="2"/>
  <c r="G367" i="2" s="1"/>
  <c r="O369" i="2"/>
  <c r="O11" i="2"/>
  <c r="O31" i="2"/>
  <c r="O177" i="2"/>
  <c r="O180" i="2"/>
  <c r="O253" i="2"/>
  <c r="O273" i="2"/>
  <c r="O301" i="2"/>
  <c r="E350" i="2"/>
  <c r="G350" i="2" s="1"/>
  <c r="R11" i="3"/>
  <c r="R14" i="3"/>
  <c r="F15" i="3"/>
  <c r="O15" i="3"/>
  <c r="O23" i="3"/>
  <c r="R27" i="3"/>
  <c r="R29" i="3"/>
  <c r="R32" i="3"/>
  <c r="R33" i="3"/>
  <c r="R34" i="3"/>
  <c r="R35" i="3"/>
  <c r="R53" i="3"/>
  <c r="O59" i="3"/>
  <c r="F7" i="3"/>
  <c r="O13" i="3"/>
  <c r="R17" i="3"/>
  <c r="R18" i="3"/>
  <c r="O20" i="3"/>
  <c r="O30" i="3"/>
  <c r="R38" i="3"/>
  <c r="R39" i="3"/>
  <c r="R71" i="3"/>
  <c r="R42" i="3"/>
  <c r="R44" i="3"/>
  <c r="R56" i="3"/>
  <c r="R58" i="3"/>
  <c r="R74" i="3"/>
  <c r="R76" i="3"/>
  <c r="R91" i="3"/>
  <c r="R99" i="3"/>
  <c r="F100" i="3"/>
  <c r="F106" i="3"/>
  <c r="R118" i="3"/>
  <c r="H120" i="3"/>
  <c r="O122" i="3"/>
  <c r="R132" i="3"/>
  <c r="R140" i="3"/>
  <c r="O144" i="3"/>
  <c r="R153" i="3"/>
  <c r="R157" i="3"/>
  <c r="O163" i="3"/>
  <c r="O164" i="3"/>
  <c r="R171" i="3"/>
  <c r="R176" i="3"/>
  <c r="R177" i="3"/>
  <c r="O181" i="3"/>
  <c r="R183" i="3"/>
  <c r="F185" i="3"/>
  <c r="R188" i="3"/>
  <c r="R195" i="3"/>
  <c r="R207" i="3"/>
  <c r="H216" i="3"/>
  <c r="O223" i="3"/>
  <c r="R236" i="3"/>
  <c r="R240" i="3"/>
  <c r="R241" i="3"/>
  <c r="O246" i="3"/>
  <c r="R248" i="3"/>
  <c r="O254" i="3"/>
  <c r="R270" i="3"/>
  <c r="H271" i="3"/>
  <c r="O272" i="3"/>
  <c r="R277" i="3"/>
  <c r="R301" i="3"/>
  <c r="O302" i="3"/>
  <c r="O304" i="3"/>
  <c r="R307" i="3"/>
  <c r="O308" i="3"/>
  <c r="R318" i="3"/>
  <c r="R320" i="3"/>
  <c r="R337" i="3"/>
  <c r="R342" i="3"/>
  <c r="R355" i="3"/>
  <c r="R359" i="3"/>
  <c r="R47" i="3"/>
  <c r="O49" i="3"/>
  <c r="R61" i="3"/>
  <c r="O63" i="3"/>
  <c r="R68" i="3"/>
  <c r="O73" i="3"/>
  <c r="R78" i="3"/>
  <c r="R83" i="3"/>
  <c r="R89" i="3"/>
  <c r="R92" i="3"/>
  <c r="R94" i="3"/>
  <c r="R100" i="3"/>
  <c r="O103" i="3"/>
  <c r="R112" i="3"/>
  <c r="O117" i="3"/>
  <c r="R127" i="3"/>
  <c r="R129" i="3"/>
  <c r="R133" i="3"/>
  <c r="O139" i="3"/>
  <c r="R155" i="3"/>
  <c r="H156" i="3"/>
  <c r="R159" i="3"/>
  <c r="R189" i="3"/>
  <c r="R197" i="3"/>
  <c r="R201" i="3"/>
  <c r="O205" i="3"/>
  <c r="R209" i="3"/>
  <c r="R211" i="3"/>
  <c r="R223" i="3"/>
  <c r="R232" i="3"/>
  <c r="R243" i="3"/>
  <c r="F246" i="3"/>
  <c r="R249" i="3"/>
  <c r="F250" i="3"/>
  <c r="O269" i="3"/>
  <c r="R280" i="3"/>
  <c r="R282" i="3"/>
  <c r="O287" i="3"/>
  <c r="R296" i="3"/>
  <c r="R297" i="3"/>
  <c r="R302" i="3"/>
  <c r="R303" i="3"/>
  <c r="R308" i="3"/>
  <c r="R313" i="3"/>
  <c r="O319" i="3"/>
  <c r="R322" i="3"/>
  <c r="R323" i="3"/>
  <c r="R335" i="3"/>
  <c r="R343" i="3"/>
  <c r="O345" i="3"/>
  <c r="O352" i="3"/>
  <c r="R354" i="3"/>
  <c r="R363" i="3"/>
  <c r="R366" i="3"/>
  <c r="R368" i="3"/>
  <c r="R81" i="3"/>
  <c r="R84" i="3"/>
  <c r="R97" i="3"/>
  <c r="R115" i="3"/>
  <c r="R137" i="3"/>
  <c r="R165" i="3"/>
  <c r="R173" i="3"/>
  <c r="R179" i="3"/>
  <c r="R181" i="3"/>
  <c r="R191" i="3"/>
  <c r="R203" i="3"/>
  <c r="O215" i="3"/>
  <c r="R217" i="3"/>
  <c r="R225" i="3"/>
  <c r="H233" i="3"/>
  <c r="O234" i="3"/>
  <c r="O242" i="3"/>
  <c r="R251" i="3"/>
  <c r="R274" i="3"/>
  <c r="R316" i="3"/>
  <c r="O288" i="3"/>
  <c r="O320" i="3"/>
  <c r="R329" i="3"/>
  <c r="R345" i="3"/>
  <c r="R348" i="3"/>
  <c r="R352" i="3"/>
  <c r="R360" i="3"/>
  <c r="R362" i="3"/>
  <c r="R365" i="3"/>
  <c r="R367" i="3"/>
  <c r="D369" i="3"/>
  <c r="F369" i="3" s="1"/>
  <c r="O7" i="2"/>
  <c r="R12" i="2"/>
  <c r="R28" i="2"/>
  <c r="O57" i="2"/>
  <c r="O85" i="2"/>
  <c r="O89" i="2"/>
  <c r="O101" i="2"/>
  <c r="O105" i="2"/>
  <c r="O121" i="2"/>
  <c r="O133" i="2"/>
  <c r="R135" i="2"/>
  <c r="O137" i="2"/>
  <c r="R145" i="2"/>
  <c r="R172" i="2"/>
  <c r="R182" i="2"/>
  <c r="O247" i="2"/>
  <c r="R257" i="2"/>
  <c r="O258" i="2"/>
  <c r="R260" i="2"/>
  <c r="R268" i="2"/>
  <c r="O307" i="2"/>
  <c r="O315" i="2"/>
  <c r="R324" i="2"/>
  <c r="R17" i="2"/>
  <c r="R37" i="2"/>
  <c r="R43" i="2"/>
  <c r="R50" i="2"/>
  <c r="R53" i="2"/>
  <c r="R57" i="2"/>
  <c r="O61" i="2"/>
  <c r="R63" i="2"/>
  <c r="O71" i="2"/>
  <c r="R74" i="2"/>
  <c r="R80" i="2"/>
  <c r="R85" i="2"/>
  <c r="R101" i="2"/>
  <c r="R111" i="2"/>
  <c r="R121" i="2"/>
  <c r="O125" i="2"/>
  <c r="R133" i="2"/>
  <c r="R137" i="2"/>
  <c r="R142" i="2"/>
  <c r="R143" i="2"/>
  <c r="R147" i="2"/>
  <c r="R152" i="2"/>
  <c r="R159" i="2"/>
  <c r="O163" i="2"/>
  <c r="R165" i="2"/>
  <c r="O167" i="2"/>
  <c r="O173" i="2"/>
  <c r="R175" i="2"/>
  <c r="R177" i="2"/>
  <c r="O183" i="2"/>
  <c r="R188" i="2"/>
  <c r="R195" i="2"/>
  <c r="R232" i="2"/>
  <c r="O239" i="2"/>
  <c r="R242" i="2"/>
  <c r="R244" i="2"/>
  <c r="R254" i="2"/>
  <c r="R336" i="2"/>
  <c r="R362" i="2"/>
  <c r="O19" i="2"/>
  <c r="R61" i="2"/>
  <c r="R67" i="2"/>
  <c r="R73" i="2"/>
  <c r="R136" i="2"/>
  <c r="R141" i="2"/>
  <c r="R146" i="2"/>
  <c r="R179" i="2"/>
  <c r="O181" i="2"/>
  <c r="R185" i="2"/>
  <c r="R186" i="2"/>
  <c r="R194" i="2"/>
  <c r="O196" i="2"/>
  <c r="R206" i="2"/>
  <c r="R210" i="2"/>
  <c r="R215" i="2"/>
  <c r="R248" i="2"/>
  <c r="R258" i="2"/>
  <c r="R261" i="2"/>
  <c r="O263" i="2"/>
  <c r="O287" i="2"/>
  <c r="O297" i="2"/>
  <c r="R300" i="2"/>
  <c r="R308" i="2"/>
  <c r="O317" i="2"/>
  <c r="O342" i="2"/>
  <c r="R346" i="2"/>
  <c r="R348" i="2"/>
  <c r="R366" i="2"/>
  <c r="R369" i="2"/>
  <c r="O33" i="2"/>
  <c r="R40" i="2"/>
  <c r="R46" i="2"/>
  <c r="R49" i="2"/>
  <c r="R79" i="2"/>
  <c r="O211" i="2"/>
  <c r="O212" i="2"/>
  <c r="R222" i="2"/>
  <c r="O224" i="2"/>
  <c r="R234" i="2"/>
  <c r="R239" i="2"/>
  <c r="R240" i="2"/>
  <c r="O242" i="2"/>
  <c r="R256" i="2"/>
  <c r="O285" i="2"/>
  <c r="R287" i="2"/>
  <c r="R289" i="2"/>
  <c r="O290" i="2"/>
  <c r="R298" i="2"/>
  <c r="R301" i="2"/>
  <c r="R306" i="2"/>
  <c r="R314" i="2"/>
  <c r="O323" i="2"/>
  <c r="R327" i="2"/>
  <c r="R329" i="2"/>
  <c r="R332" i="2"/>
  <c r="R343" i="2"/>
  <c r="O344" i="2"/>
  <c r="R354" i="2"/>
  <c r="O355" i="2"/>
  <c r="O360" i="2"/>
  <c r="R363" i="2"/>
  <c r="R368" i="2"/>
  <c r="O17" i="2"/>
  <c r="O23" i="2"/>
  <c r="O77" i="2"/>
  <c r="O145" i="2"/>
  <c r="O188" i="2"/>
  <c r="O230" i="2"/>
  <c r="O255" i="2"/>
  <c r="O366" i="2"/>
  <c r="O81" i="2"/>
  <c r="O97" i="2"/>
  <c r="O117" i="2"/>
  <c r="O153" i="2"/>
  <c r="O157" i="2"/>
  <c r="O175" i="2"/>
  <c r="O200" i="2"/>
  <c r="O214" i="2"/>
  <c r="O261" i="2"/>
  <c r="E267" i="2"/>
  <c r="G267" i="2" s="1"/>
  <c r="E268" i="2"/>
  <c r="G268" i="2" s="1"/>
  <c r="E270" i="2"/>
  <c r="G270" i="2" s="1"/>
  <c r="E279" i="2"/>
  <c r="G279" i="2" s="1"/>
  <c r="E280" i="2"/>
  <c r="G280" i="2" s="1"/>
  <c r="E289" i="2"/>
  <c r="G289" i="2" s="1"/>
  <c r="E290" i="2"/>
  <c r="G290" i="2" s="1"/>
  <c r="E291" i="2"/>
  <c r="G291" i="2" s="1"/>
  <c r="E293" i="2"/>
  <c r="G293" i="2" s="1"/>
  <c r="E305" i="2"/>
  <c r="G305" i="2" s="1"/>
  <c r="O305" i="2"/>
  <c r="E306" i="2"/>
  <c r="G306" i="2" s="1"/>
  <c r="E313" i="2"/>
  <c r="G313" i="2" s="1"/>
  <c r="E314" i="2"/>
  <c r="G314" i="2" s="1"/>
  <c r="E320" i="2"/>
  <c r="G320" i="2" s="1"/>
  <c r="E326" i="2"/>
  <c r="G326" i="2" s="1"/>
  <c r="O331" i="2"/>
  <c r="E361" i="2"/>
  <c r="G361" i="2" s="1"/>
  <c r="O368" i="2"/>
  <c r="O5" i="2"/>
  <c r="O9" i="2"/>
  <c r="O10" i="2"/>
  <c r="O27" i="2"/>
  <c r="O37" i="2"/>
  <c r="O55" i="2"/>
  <c r="O79" i="2"/>
  <c r="O119" i="2"/>
  <c r="O159" i="2"/>
  <c r="O165" i="2"/>
  <c r="O179" i="2"/>
  <c r="O189" i="2"/>
  <c r="E257" i="2"/>
  <c r="G257" i="2" s="1"/>
  <c r="O257" i="2"/>
  <c r="E258" i="2"/>
  <c r="G258" i="2" s="1"/>
  <c r="O259" i="2"/>
  <c r="E260" i="2"/>
  <c r="G260" i="2" s="1"/>
  <c r="E265" i="2"/>
  <c r="G265" i="2" s="1"/>
  <c r="O265" i="2"/>
  <c r="E266" i="2"/>
  <c r="G266" i="2" s="1"/>
  <c r="E275" i="2"/>
  <c r="G275" i="2" s="1"/>
  <c r="E277" i="2"/>
  <c r="G277" i="2" s="1"/>
  <c r="E278" i="2"/>
  <c r="G278" i="2" s="1"/>
  <c r="E288" i="2"/>
  <c r="O291" i="2"/>
  <c r="E292" i="2"/>
  <c r="G292" i="2" s="1"/>
  <c r="E301" i="2"/>
  <c r="G301" i="2" s="1"/>
  <c r="E303" i="2"/>
  <c r="G303" i="2" s="1"/>
  <c r="E304" i="2"/>
  <c r="G304" i="2" s="1"/>
  <c r="E311" i="2"/>
  <c r="G311" i="2" s="1"/>
  <c r="E312" i="2"/>
  <c r="G312" i="2" s="1"/>
  <c r="E319" i="2"/>
  <c r="G319" i="2" s="1"/>
  <c r="E322" i="2"/>
  <c r="G322" i="2" s="1"/>
  <c r="O324" i="2"/>
  <c r="E328" i="2"/>
  <c r="G328" i="2" s="1"/>
  <c r="O333" i="2"/>
  <c r="E334" i="2"/>
  <c r="G334" i="2" s="1"/>
  <c r="E338" i="2"/>
  <c r="O350" i="2"/>
  <c r="E359" i="2"/>
  <c r="G359" i="2" s="1"/>
  <c r="O40" i="3"/>
  <c r="O50" i="3"/>
  <c r="O64" i="3"/>
  <c r="O72" i="3"/>
  <c r="O85" i="3"/>
  <c r="H86" i="3"/>
  <c r="O95" i="3"/>
  <c r="H96" i="3"/>
  <c r="H128" i="3"/>
  <c r="O129" i="3"/>
  <c r="O133" i="3"/>
  <c r="H144" i="3"/>
  <c r="H152" i="3"/>
  <c r="O157" i="3"/>
  <c r="H159" i="3"/>
  <c r="O175" i="3"/>
  <c r="H184" i="3"/>
  <c r="H188" i="3"/>
  <c r="O219" i="3"/>
  <c r="O238" i="3"/>
  <c r="H264" i="3"/>
  <c r="O270" i="3"/>
  <c r="O286" i="3"/>
  <c r="O292" i="3"/>
  <c r="O303" i="3"/>
  <c r="O324" i="3"/>
  <c r="O338" i="3"/>
  <c r="E362" i="3"/>
  <c r="G362" i="3" s="1"/>
  <c r="E370" i="3"/>
  <c r="G370" i="3" s="1"/>
  <c r="O370" i="3"/>
  <c r="O16" i="3"/>
  <c r="O17" i="3"/>
  <c r="O21" i="3"/>
  <c r="H22" i="3"/>
  <c r="O22" i="3"/>
  <c r="H23" i="3"/>
  <c r="O28" i="3"/>
  <c r="H29" i="3"/>
  <c r="O58" i="3"/>
  <c r="O67" i="3"/>
  <c r="H68" i="3"/>
  <c r="O77" i="3"/>
  <c r="H78" i="3"/>
  <c r="O87" i="3"/>
  <c r="H88" i="3"/>
  <c r="H92" i="3"/>
  <c r="H98" i="3"/>
  <c r="O116" i="3"/>
  <c r="H121" i="3"/>
  <c r="O125" i="3"/>
  <c r="O126" i="3"/>
  <c r="O135" i="3"/>
  <c r="O136" i="3"/>
  <c r="H137" i="3"/>
  <c r="O155" i="3"/>
  <c r="H172" i="3"/>
  <c r="O186" i="3"/>
  <c r="H191" i="3"/>
  <c r="O196" i="3"/>
  <c r="O199" i="3"/>
  <c r="H217" i="3"/>
  <c r="O232" i="3"/>
  <c r="O252" i="3"/>
  <c r="O258" i="3"/>
  <c r="O274" i="3"/>
  <c r="H296" i="3"/>
  <c r="O337" i="3"/>
  <c r="O342" i="3"/>
  <c r="G345" i="3"/>
  <c r="E346" i="3"/>
  <c r="G346" i="3" s="1"/>
  <c r="E348" i="3"/>
  <c r="G348" i="3" s="1"/>
  <c r="E349" i="3"/>
  <c r="O349" i="3"/>
  <c r="O353" i="3"/>
  <c r="E355" i="3"/>
  <c r="G355" i="3" s="1"/>
  <c r="E358" i="3"/>
  <c r="G358" i="3" s="1"/>
  <c r="E361" i="3"/>
  <c r="G361" i="3" s="1"/>
  <c r="O363" i="3"/>
  <c r="E367" i="3"/>
  <c r="G367" i="3" s="1"/>
  <c r="E368" i="3"/>
  <c r="G368" i="3" s="1"/>
  <c r="O368" i="3"/>
  <c r="E369" i="3"/>
  <c r="G369" i="3" s="1"/>
  <c r="H5" i="3"/>
  <c r="O25" i="3"/>
  <c r="O79" i="3"/>
  <c r="H80" i="3"/>
  <c r="H84" i="3"/>
  <c r="H90" i="3"/>
  <c r="O101" i="3"/>
  <c r="O149" i="3"/>
  <c r="O151" i="3"/>
  <c r="O168" i="3"/>
  <c r="O170" i="3"/>
  <c r="H175" i="3"/>
  <c r="O180" i="3"/>
  <c r="O197" i="3"/>
  <c r="H201" i="3"/>
  <c r="O217" i="3"/>
  <c r="O218" i="3"/>
  <c r="H219" i="3"/>
  <c r="O226" i="3"/>
  <c r="O230" i="3"/>
  <c r="O241" i="3"/>
  <c r="O244" i="3"/>
  <c r="O250" i="3"/>
  <c r="H254" i="3"/>
  <c r="O276" i="3"/>
  <c r="H312" i="3"/>
  <c r="H328" i="3"/>
  <c r="O341" i="3"/>
  <c r="O359" i="3"/>
  <c r="F140" i="3"/>
  <c r="H140" i="3"/>
  <c r="H203" i="3"/>
  <c r="F203" i="3"/>
  <c r="H213" i="3"/>
  <c r="F213" i="3"/>
  <c r="O48" i="3"/>
  <c r="R102" i="3"/>
  <c r="R116" i="3"/>
  <c r="R124" i="3"/>
  <c r="H127" i="3"/>
  <c r="F127" i="3"/>
  <c r="F136" i="3"/>
  <c r="H136" i="3"/>
  <c r="R138" i="3"/>
  <c r="R158" i="3"/>
  <c r="H165" i="3"/>
  <c r="F165" i="3"/>
  <c r="H169" i="3"/>
  <c r="F169" i="3"/>
  <c r="H171" i="3"/>
  <c r="F171" i="3"/>
  <c r="H181" i="3"/>
  <c r="F181" i="3"/>
  <c r="O185" i="3"/>
  <c r="H187" i="3"/>
  <c r="F187" i="3"/>
  <c r="H197" i="3"/>
  <c r="F197" i="3"/>
  <c r="O201" i="3"/>
  <c r="F220" i="3"/>
  <c r="H220" i="3"/>
  <c r="H304" i="3"/>
  <c r="F304" i="3"/>
  <c r="F343" i="3"/>
  <c r="H343" i="3"/>
  <c r="O9" i="3"/>
  <c r="R10" i="3"/>
  <c r="O12" i="3"/>
  <c r="O14" i="3"/>
  <c r="R16" i="3"/>
  <c r="R28" i="3"/>
  <c r="F29" i="3"/>
  <c r="R30" i="3"/>
  <c r="F31" i="3"/>
  <c r="O31" i="3"/>
  <c r="F34" i="3"/>
  <c r="R41" i="3"/>
  <c r="O43" i="3"/>
  <c r="R55" i="3"/>
  <c r="O56" i="3"/>
  <c r="O57" i="3"/>
  <c r="R59" i="3"/>
  <c r="F60" i="3"/>
  <c r="R69" i="3"/>
  <c r="R73" i="3"/>
  <c r="O74" i="3"/>
  <c r="O75" i="3"/>
  <c r="R79" i="3"/>
  <c r="F80" i="3"/>
  <c r="O83" i="3"/>
  <c r="R87" i="3"/>
  <c r="F88" i="3"/>
  <c r="O91" i="3"/>
  <c r="R95" i="3"/>
  <c r="F96" i="3"/>
  <c r="O99" i="3"/>
  <c r="O108" i="3"/>
  <c r="R109" i="3"/>
  <c r="O110" i="3"/>
  <c r="H114" i="3"/>
  <c r="O115" i="3"/>
  <c r="O120" i="3"/>
  <c r="O123" i="3"/>
  <c r="F124" i="3"/>
  <c r="H124" i="3"/>
  <c r="R131" i="3"/>
  <c r="R143" i="3"/>
  <c r="R149" i="3"/>
  <c r="R151" i="3"/>
  <c r="O154" i="3"/>
  <c r="R161" i="3"/>
  <c r="O207" i="3"/>
  <c r="O209" i="3"/>
  <c r="R218" i="3"/>
  <c r="H270" i="3"/>
  <c r="F270" i="3"/>
  <c r="O7" i="3"/>
  <c r="O6" i="3"/>
  <c r="R8" i="3"/>
  <c r="R20" i="3"/>
  <c r="F21" i="3"/>
  <c r="R22" i="3"/>
  <c r="F23" i="3"/>
  <c r="O27" i="3"/>
  <c r="O35" i="3"/>
  <c r="R37" i="3"/>
  <c r="R45" i="3"/>
  <c r="R49" i="3"/>
  <c r="O51" i="3"/>
  <c r="R63" i="3"/>
  <c r="O65" i="3"/>
  <c r="R67" i="3"/>
  <c r="F68" i="3"/>
  <c r="R77" i="3"/>
  <c r="F78" i="3"/>
  <c r="O81" i="3"/>
  <c r="R85" i="3"/>
  <c r="F86" i="3"/>
  <c r="O89" i="3"/>
  <c r="R93" i="3"/>
  <c r="F94" i="3"/>
  <c r="O97" i="3"/>
  <c r="R101" i="3"/>
  <c r="R105" i="3"/>
  <c r="R119" i="3"/>
  <c r="F137" i="3"/>
  <c r="O142" i="3"/>
  <c r="H143" i="3"/>
  <c r="F143" i="3"/>
  <c r="R145" i="3"/>
  <c r="O148" i="3"/>
  <c r="O177" i="3"/>
  <c r="O193" i="3"/>
  <c r="R213" i="3"/>
  <c r="R215" i="3"/>
  <c r="O104" i="3"/>
  <c r="O105" i="3"/>
  <c r="O109" i="3"/>
  <c r="O111" i="3"/>
  <c r="R113" i="3"/>
  <c r="O119" i="3"/>
  <c r="R120" i="3"/>
  <c r="R121" i="3"/>
  <c r="R123" i="3"/>
  <c r="R125" i="3"/>
  <c r="O127" i="3"/>
  <c r="R130" i="3"/>
  <c r="O134" i="3"/>
  <c r="R135" i="3"/>
  <c r="O138" i="3"/>
  <c r="R139" i="3"/>
  <c r="R141" i="3"/>
  <c r="O143" i="3"/>
  <c r="O145" i="3"/>
  <c r="R147" i="3"/>
  <c r="R150" i="3"/>
  <c r="R152" i="3"/>
  <c r="R156" i="3"/>
  <c r="O158" i="3"/>
  <c r="O161" i="3"/>
  <c r="O169" i="3"/>
  <c r="R174" i="3"/>
  <c r="R182" i="3"/>
  <c r="O183" i="3"/>
  <c r="R184" i="3"/>
  <c r="R185" i="3"/>
  <c r="R190" i="3"/>
  <c r="R193" i="3"/>
  <c r="R198" i="3"/>
  <c r="R200" i="3"/>
  <c r="R206" i="3"/>
  <c r="R214" i="3"/>
  <c r="R216" i="3"/>
  <c r="F253" i="3"/>
  <c r="H253" i="3"/>
  <c r="R148" i="3"/>
  <c r="O152" i="3"/>
  <c r="O159" i="3"/>
  <c r="R163" i="3"/>
  <c r="O165" i="3"/>
  <c r="O167" i="3"/>
  <c r="R169" i="3"/>
  <c r="O171" i="3"/>
  <c r="R172" i="3"/>
  <c r="O174" i="3"/>
  <c r="R178" i="3"/>
  <c r="R180" i="3"/>
  <c r="O184" i="3"/>
  <c r="O187" i="3"/>
  <c r="O190" i="3"/>
  <c r="R196" i="3"/>
  <c r="O200" i="3"/>
  <c r="O203" i="3"/>
  <c r="R204" i="3"/>
  <c r="O206" i="3"/>
  <c r="R210" i="3"/>
  <c r="R212" i="3"/>
  <c r="O216" i="3"/>
  <c r="R220" i="3"/>
  <c r="O225" i="3"/>
  <c r="F237" i="3"/>
  <c r="H237" i="3"/>
  <c r="H242" i="3"/>
  <c r="F242" i="3"/>
  <c r="R221" i="3"/>
  <c r="R227" i="3"/>
  <c r="F232" i="3"/>
  <c r="R237" i="3"/>
  <c r="F238" i="3"/>
  <c r="R238" i="3"/>
  <c r="R239" i="3"/>
  <c r="O240" i="3"/>
  <c r="R244" i="3"/>
  <c r="H245" i="3"/>
  <c r="O245" i="3"/>
  <c r="R253" i="3"/>
  <c r="F254" i="3"/>
  <c r="R254" i="3"/>
  <c r="R255" i="3"/>
  <c r="O256" i="3"/>
  <c r="R260" i="3"/>
  <c r="H261" i="3"/>
  <c r="R262" i="3"/>
  <c r="H263" i="3"/>
  <c r="O263" i="3"/>
  <c r="R264" i="3"/>
  <c r="R266" i="3"/>
  <c r="H267" i="3"/>
  <c r="R268" i="3"/>
  <c r="R272" i="3"/>
  <c r="R281" i="3"/>
  <c r="F282" i="3"/>
  <c r="O282" i="3"/>
  <c r="R293" i="3"/>
  <c r="O294" i="3"/>
  <c r="O295" i="3"/>
  <c r="R299" i="3"/>
  <c r="O300" i="3"/>
  <c r="R305" i="3"/>
  <c r="R311" i="3"/>
  <c r="O312" i="3"/>
  <c r="R325" i="3"/>
  <c r="O326" i="3"/>
  <c r="O327" i="3"/>
  <c r="R331" i="3"/>
  <c r="O332" i="3"/>
  <c r="O336" i="3"/>
  <c r="H339" i="3"/>
  <c r="O344" i="3"/>
  <c r="H347" i="3"/>
  <c r="R361" i="3"/>
  <c r="O231" i="3"/>
  <c r="R233" i="3"/>
  <c r="O237" i="3"/>
  <c r="R245" i="3"/>
  <c r="R246" i="3"/>
  <c r="R247" i="3"/>
  <c r="O248" i="3"/>
  <c r="R252" i="3"/>
  <c r="O253" i="3"/>
  <c r="R256" i="3"/>
  <c r="R259" i="3"/>
  <c r="O260" i="3"/>
  <c r="R265" i="3"/>
  <c r="O266" i="3"/>
  <c r="R267" i="3"/>
  <c r="R269" i="3"/>
  <c r="R271" i="3"/>
  <c r="R279" i="3"/>
  <c r="O280" i="3"/>
  <c r="R283" i="3"/>
  <c r="O284" i="3"/>
  <c r="R289" i="3"/>
  <c r="R295" i="3"/>
  <c r="O296" i="3"/>
  <c r="R309" i="3"/>
  <c r="O310" i="3"/>
  <c r="O311" i="3"/>
  <c r="R315" i="3"/>
  <c r="O316" i="3"/>
  <c r="R321" i="3"/>
  <c r="R327" i="3"/>
  <c r="F328" i="3"/>
  <c r="O328" i="3"/>
  <c r="O340" i="3"/>
  <c r="O348" i="3"/>
  <c r="R351" i="3"/>
  <c r="O354" i="3"/>
  <c r="R357" i="3"/>
  <c r="O358" i="3"/>
  <c r="D359" i="3"/>
  <c r="F359" i="3" s="1"/>
  <c r="O360" i="3"/>
  <c r="D361" i="3"/>
  <c r="F361" i="3" s="1"/>
  <c r="O361" i="3"/>
  <c r="O362" i="3"/>
  <c r="D363" i="3"/>
  <c r="F363" i="3" s="1"/>
  <c r="D367" i="3"/>
  <c r="F367" i="3" s="1"/>
  <c r="D11" i="2"/>
  <c r="F11" i="2" s="1"/>
  <c r="R20" i="2"/>
  <c r="D22" i="2"/>
  <c r="F22" i="2" s="1"/>
  <c r="O25" i="2"/>
  <c r="D27" i="2"/>
  <c r="F27" i="2" s="1"/>
  <c r="D32" i="2"/>
  <c r="F32" i="2" s="1"/>
  <c r="D33" i="2"/>
  <c r="F33" i="2" s="1"/>
  <c r="D36" i="2"/>
  <c r="D39" i="2"/>
  <c r="F39" i="2" s="1"/>
  <c r="O41" i="2"/>
  <c r="D42" i="2"/>
  <c r="F42" i="2" s="1"/>
  <c r="D43" i="2"/>
  <c r="F43" i="2" s="1"/>
  <c r="O45" i="2"/>
  <c r="D46" i="2"/>
  <c r="D56" i="2"/>
  <c r="F56" i="2" s="1"/>
  <c r="D57" i="2"/>
  <c r="F57" i="2" s="1"/>
  <c r="D60" i="2"/>
  <c r="D63" i="2"/>
  <c r="F63" i="2" s="1"/>
  <c r="O65" i="2"/>
  <c r="D66" i="2"/>
  <c r="F66" i="2" s="1"/>
  <c r="D67" i="2"/>
  <c r="F67" i="2" s="1"/>
  <c r="D72" i="2"/>
  <c r="F72" i="2" s="1"/>
  <c r="D73" i="2"/>
  <c r="D76" i="2"/>
  <c r="D79" i="2"/>
  <c r="F79" i="2" s="1"/>
  <c r="D103" i="2"/>
  <c r="F103" i="2" s="1"/>
  <c r="D106" i="2"/>
  <c r="F106" i="2" s="1"/>
  <c r="D107" i="2"/>
  <c r="F107" i="2" s="1"/>
  <c r="D168" i="2"/>
  <c r="D174" i="2"/>
  <c r="D182" i="2"/>
  <c r="D210" i="2"/>
  <c r="F210" i="2" s="1"/>
  <c r="D233" i="2"/>
  <c r="F233" i="2" s="1"/>
  <c r="D330" i="2"/>
  <c r="F330" i="2" s="1"/>
  <c r="F126" i="2"/>
  <c r="H126" i="2"/>
  <c r="H159" i="2"/>
  <c r="F159" i="2"/>
  <c r="D365" i="2"/>
  <c r="F365" i="2" s="1"/>
  <c r="D363" i="2"/>
  <c r="F363" i="2" s="1"/>
  <c r="D361" i="2"/>
  <c r="F361" i="2" s="1"/>
  <c r="D359" i="2"/>
  <c r="D355" i="2"/>
  <c r="F355" i="2" s="1"/>
  <c r="D347" i="2"/>
  <c r="F347" i="2" s="1"/>
  <c r="D339" i="2"/>
  <c r="F339" i="2" s="1"/>
  <c r="D338" i="2"/>
  <c r="F338" i="2" s="1"/>
  <c r="D333" i="2"/>
  <c r="F333" i="2" s="1"/>
  <c r="D325" i="2"/>
  <c r="F325" i="2" s="1"/>
  <c r="D311" i="2"/>
  <c r="D310" i="2"/>
  <c r="D301" i="2"/>
  <c r="F301" i="2" s="1"/>
  <c r="D298" i="2"/>
  <c r="H298" i="2" s="1"/>
  <c r="D296" i="2"/>
  <c r="D287" i="2"/>
  <c r="F287" i="2" s="1"/>
  <c r="D286" i="2"/>
  <c r="D284" i="2"/>
  <c r="D282" i="2"/>
  <c r="D280" i="2"/>
  <c r="D277" i="2"/>
  <c r="D276" i="2"/>
  <c r="F276" i="2" s="1"/>
  <c r="D274" i="2"/>
  <c r="D272" i="2"/>
  <c r="D369" i="2"/>
  <c r="F369" i="2" s="1"/>
  <c r="D367" i="2"/>
  <c r="D349" i="2"/>
  <c r="F349" i="2" s="1"/>
  <c r="D332" i="2"/>
  <c r="F332" i="2" s="1"/>
  <c r="D327" i="2"/>
  <c r="F327" i="2" s="1"/>
  <c r="D324" i="2"/>
  <c r="F324" i="2" s="1"/>
  <c r="D323" i="2"/>
  <c r="F323" i="2" s="1"/>
  <c r="D317" i="2"/>
  <c r="F317" i="2" s="1"/>
  <c r="D315" i="2"/>
  <c r="F315" i="2" s="1"/>
  <c r="D313" i="2"/>
  <c r="F313" i="2" s="1"/>
  <c r="D307" i="2"/>
  <c r="F307" i="2" s="1"/>
  <c r="D305" i="2"/>
  <c r="F305" i="2" s="1"/>
  <c r="D303" i="2"/>
  <c r="F303" i="2" s="1"/>
  <c r="D302" i="2"/>
  <c r="F302" i="2" s="1"/>
  <c r="D300" i="2"/>
  <c r="D289" i="2"/>
  <c r="D288" i="2"/>
  <c r="F288" i="2" s="1"/>
  <c r="D353" i="2"/>
  <c r="F353" i="2" s="1"/>
  <c r="D337" i="2"/>
  <c r="F337" i="2" s="1"/>
  <c r="D336" i="2"/>
  <c r="D335" i="2"/>
  <c r="F335" i="2" s="1"/>
  <c r="D334" i="2"/>
  <c r="F334" i="2" s="1"/>
  <c r="D326" i="2"/>
  <c r="D322" i="2"/>
  <c r="D319" i="2"/>
  <c r="F319" i="2" s="1"/>
  <c r="D318" i="2"/>
  <c r="F318" i="2" s="1"/>
  <c r="D316" i="2"/>
  <c r="D314" i="2"/>
  <c r="D312" i="2"/>
  <c r="D309" i="2"/>
  <c r="D308" i="2"/>
  <c r="F308" i="2" s="1"/>
  <c r="D306" i="2"/>
  <c r="D304" i="2"/>
  <c r="D293" i="2"/>
  <c r="F293" i="2" s="1"/>
  <c r="D291" i="2"/>
  <c r="F291" i="2" s="1"/>
  <c r="D279" i="2"/>
  <c r="D278" i="2"/>
  <c r="D299" i="2"/>
  <c r="D283" i="2"/>
  <c r="F283" i="2" s="1"/>
  <c r="D281" i="2"/>
  <c r="F281" i="2" s="1"/>
  <c r="D275" i="2"/>
  <c r="F275" i="2" s="1"/>
  <c r="D261" i="2"/>
  <c r="F261" i="2" s="1"/>
  <c r="D259" i="2"/>
  <c r="F259" i="2" s="1"/>
  <c r="D255" i="2"/>
  <c r="F255" i="2" s="1"/>
  <c r="D254" i="2"/>
  <c r="F254" i="2" s="1"/>
  <c r="D252" i="2"/>
  <c r="D250" i="2"/>
  <c r="D245" i="2"/>
  <c r="F245" i="2" s="1"/>
  <c r="D243" i="2"/>
  <c r="F243" i="2" s="1"/>
  <c r="D239" i="2"/>
  <c r="F239" i="2" s="1"/>
  <c r="D235" i="2"/>
  <c r="D231" i="2"/>
  <c r="D223" i="2"/>
  <c r="D219" i="2"/>
  <c r="D345" i="2"/>
  <c r="F345" i="2" s="1"/>
  <c r="D341" i="2"/>
  <c r="D297" i="2"/>
  <c r="F297" i="2" s="1"/>
  <c r="D292" i="2"/>
  <c r="D267" i="2"/>
  <c r="D265" i="2"/>
  <c r="F265" i="2" s="1"/>
  <c r="D263" i="2"/>
  <c r="F263" i="2" s="1"/>
  <c r="D262" i="2"/>
  <c r="F262" i="2" s="1"/>
  <c r="D260" i="2"/>
  <c r="D258" i="2"/>
  <c r="D256" i="2"/>
  <c r="D249" i="2"/>
  <c r="F249" i="2" s="1"/>
  <c r="D228" i="2"/>
  <c r="F228" i="2" s="1"/>
  <c r="D216" i="2"/>
  <c r="F216" i="2" s="1"/>
  <c r="D215" i="2"/>
  <c r="F215" i="2" s="1"/>
  <c r="D209" i="2"/>
  <c r="F209" i="2" s="1"/>
  <c r="D351" i="2"/>
  <c r="D329" i="2"/>
  <c r="F329" i="2" s="1"/>
  <c r="D328" i="2"/>
  <c r="F328" i="2" s="1"/>
  <c r="D321" i="2"/>
  <c r="F321" i="2" s="1"/>
  <c r="D320" i="2"/>
  <c r="D295" i="2"/>
  <c r="F295" i="2" s="1"/>
  <c r="D294" i="2"/>
  <c r="D273" i="2"/>
  <c r="F273" i="2" s="1"/>
  <c r="D269" i="2"/>
  <c r="F269" i="2" s="1"/>
  <c r="D266" i="2"/>
  <c r="D264" i="2"/>
  <c r="D248" i="2"/>
  <c r="D247" i="2"/>
  <c r="F247" i="2" s="1"/>
  <c r="D242" i="2"/>
  <c r="F242" i="2" s="1"/>
  <c r="D238" i="2"/>
  <c r="D237" i="2"/>
  <c r="F237" i="2" s="1"/>
  <c r="D236" i="2"/>
  <c r="F236" i="2" s="1"/>
  <c r="D234" i="2"/>
  <c r="F234" i="2" s="1"/>
  <c r="D232" i="2"/>
  <c r="F232" i="2" s="1"/>
  <c r="D230" i="2"/>
  <c r="F230" i="2" s="1"/>
  <c r="D227" i="2"/>
  <c r="D226" i="2"/>
  <c r="D225" i="2"/>
  <c r="F225" i="2" s="1"/>
  <c r="D224" i="2"/>
  <c r="F224" i="2" s="1"/>
  <c r="D222" i="2"/>
  <c r="F222" i="2" s="1"/>
  <c r="D220" i="2"/>
  <c r="F220" i="2" s="1"/>
  <c r="D218" i="2"/>
  <c r="F218" i="2" s="1"/>
  <c r="D207" i="2"/>
  <c r="D201" i="2"/>
  <c r="F201" i="2" s="1"/>
  <c r="D200" i="2"/>
  <c r="F200" i="2" s="1"/>
  <c r="D193" i="2"/>
  <c r="D268" i="2"/>
  <c r="D257" i="2"/>
  <c r="D253" i="2"/>
  <c r="F253" i="2" s="1"/>
  <c r="D251" i="2"/>
  <c r="F251" i="2" s="1"/>
  <c r="D208" i="2"/>
  <c r="F208" i="2" s="1"/>
  <c r="D204" i="2"/>
  <c r="F204" i="2" s="1"/>
  <c r="D203" i="2"/>
  <c r="F203" i="2" s="1"/>
  <c r="D199" i="2"/>
  <c r="F199" i="2" s="1"/>
  <c r="D194" i="2"/>
  <c r="F194" i="2" s="1"/>
  <c r="D171" i="2"/>
  <c r="F171" i="2" s="1"/>
  <c r="D170" i="2"/>
  <c r="F170" i="2" s="1"/>
  <c r="D161" i="2"/>
  <c r="F161" i="2" s="1"/>
  <c r="D149" i="2"/>
  <c r="F149" i="2" s="1"/>
  <c r="D142" i="2"/>
  <c r="D132" i="2"/>
  <c r="D129" i="2"/>
  <c r="F129" i="2" s="1"/>
  <c r="D128" i="2"/>
  <c r="F128" i="2" s="1"/>
  <c r="D123" i="2"/>
  <c r="F123" i="2" s="1"/>
  <c r="D122" i="2"/>
  <c r="F122" i="2" s="1"/>
  <c r="D119" i="2"/>
  <c r="F119" i="2" s="1"/>
  <c r="D116" i="2"/>
  <c r="D113" i="2"/>
  <c r="F113" i="2" s="1"/>
  <c r="D112" i="2"/>
  <c r="F112" i="2" s="1"/>
  <c r="D109" i="2"/>
  <c r="F109" i="2" s="1"/>
  <c r="D102" i="2"/>
  <c r="D93" i="2"/>
  <c r="F93" i="2" s="1"/>
  <c r="D343" i="2"/>
  <c r="D240" i="2"/>
  <c r="F240" i="2" s="1"/>
  <c r="D212" i="2"/>
  <c r="F212" i="2" s="1"/>
  <c r="D211" i="2"/>
  <c r="D196" i="2"/>
  <c r="F196" i="2" s="1"/>
  <c r="D195" i="2"/>
  <c r="F195" i="2" s="1"/>
  <c r="D192" i="2"/>
  <c r="F192" i="2" s="1"/>
  <c r="D188" i="2"/>
  <c r="D187" i="2"/>
  <c r="F187" i="2" s="1"/>
  <c r="D186" i="2"/>
  <c r="F186" i="2" s="1"/>
  <c r="D181" i="2"/>
  <c r="D180" i="2"/>
  <c r="D163" i="2"/>
  <c r="F163" i="2" s="1"/>
  <c r="D160" i="2"/>
  <c r="F160" i="2" s="1"/>
  <c r="D155" i="2"/>
  <c r="F155" i="2" s="1"/>
  <c r="D154" i="2"/>
  <c r="F154" i="2" s="1"/>
  <c r="D151" i="2"/>
  <c r="F151" i="2" s="1"/>
  <c r="D148" i="2"/>
  <c r="D145" i="2"/>
  <c r="F145" i="2" s="1"/>
  <c r="D144" i="2"/>
  <c r="F144" i="2" s="1"/>
  <c r="D139" i="2"/>
  <c r="F139" i="2" s="1"/>
  <c r="D138" i="2"/>
  <c r="F138" i="2" s="1"/>
  <c r="D135" i="2"/>
  <c r="F135" i="2" s="1"/>
  <c r="D134" i="2"/>
  <c r="F134" i="2" s="1"/>
  <c r="D125" i="2"/>
  <c r="F125" i="2" s="1"/>
  <c r="D118" i="2"/>
  <c r="D108" i="2"/>
  <c r="D105" i="2"/>
  <c r="D104" i="2"/>
  <c r="F104" i="2" s="1"/>
  <c r="D99" i="2"/>
  <c r="F99" i="2" s="1"/>
  <c r="D98" i="2"/>
  <c r="F98" i="2" s="1"/>
  <c r="D95" i="2"/>
  <c r="F95" i="2" s="1"/>
  <c r="D92" i="2"/>
  <c r="D89" i="2"/>
  <c r="F89" i="2" s="1"/>
  <c r="D88" i="2"/>
  <c r="F88" i="2" s="1"/>
  <c r="D83" i="2"/>
  <c r="F83" i="2" s="1"/>
  <c r="D82" i="2"/>
  <c r="F82" i="2" s="1"/>
  <c r="D246" i="2"/>
  <c r="F246" i="2" s="1"/>
  <c r="D229" i="2"/>
  <c r="F229" i="2" s="1"/>
  <c r="D221" i="2"/>
  <c r="F221" i="2" s="1"/>
  <c r="D217" i="2"/>
  <c r="F217" i="2" s="1"/>
  <c r="D214" i="2"/>
  <c r="F214" i="2" s="1"/>
  <c r="D206" i="2"/>
  <c r="F206" i="2" s="1"/>
  <c r="D202" i="2"/>
  <c r="F202" i="2" s="1"/>
  <c r="D198" i="2"/>
  <c r="D197" i="2"/>
  <c r="F197" i="2" s="1"/>
  <c r="D191" i="2"/>
  <c r="F191" i="2" s="1"/>
  <c r="D185" i="2"/>
  <c r="F185" i="2" s="1"/>
  <c r="D183" i="2"/>
  <c r="F183" i="2" s="1"/>
  <c r="D177" i="2"/>
  <c r="F177" i="2" s="1"/>
  <c r="D175" i="2"/>
  <c r="F175" i="2" s="1"/>
  <c r="D173" i="2"/>
  <c r="F173" i="2" s="1"/>
  <c r="D172" i="2"/>
  <c r="D169" i="2"/>
  <c r="D167" i="2"/>
  <c r="F167" i="2" s="1"/>
  <c r="D165" i="2"/>
  <c r="F165" i="2" s="1"/>
  <c r="D164" i="2"/>
  <c r="D162" i="2"/>
  <c r="D157" i="2"/>
  <c r="F157" i="2" s="1"/>
  <c r="D156" i="2"/>
  <c r="D150" i="2"/>
  <c r="D141" i="2"/>
  <c r="F141" i="2" s="1"/>
  <c r="D131" i="2"/>
  <c r="F131" i="2" s="1"/>
  <c r="D130" i="2"/>
  <c r="F130" i="2" s="1"/>
  <c r="D127" i="2"/>
  <c r="F127" i="2" s="1"/>
  <c r="D124" i="2"/>
  <c r="D121" i="2"/>
  <c r="F121" i="2" s="1"/>
  <c r="D120" i="2"/>
  <c r="F120" i="2" s="1"/>
  <c r="D115" i="2"/>
  <c r="F115" i="2" s="1"/>
  <c r="D114" i="2"/>
  <c r="F114" i="2" s="1"/>
  <c r="D111" i="2"/>
  <c r="F111" i="2" s="1"/>
  <c r="D110" i="2"/>
  <c r="F110" i="2" s="1"/>
  <c r="D101" i="2"/>
  <c r="F101" i="2" s="1"/>
  <c r="D94" i="2"/>
  <c r="D85" i="2"/>
  <c r="F85" i="2" s="1"/>
  <c r="D6" i="2"/>
  <c r="F6" i="2" s="1"/>
  <c r="D5" i="2"/>
  <c r="F5" i="2" s="1"/>
  <c r="D7" i="2"/>
  <c r="R8" i="2"/>
  <c r="R9" i="2"/>
  <c r="R11" i="2"/>
  <c r="R16" i="2"/>
  <c r="D18" i="2"/>
  <c r="F18" i="2" s="1"/>
  <c r="D20" i="2"/>
  <c r="F20" i="2" s="1"/>
  <c r="D21" i="2"/>
  <c r="F21" i="2" s="1"/>
  <c r="D23" i="2"/>
  <c r="R24" i="2"/>
  <c r="R25" i="2"/>
  <c r="R27" i="2"/>
  <c r="D37" i="2"/>
  <c r="F37" i="2" s="1"/>
  <c r="H38" i="2"/>
  <c r="O39" i="2"/>
  <c r="D47" i="2"/>
  <c r="F47" i="2" s="1"/>
  <c r="R48" i="2"/>
  <c r="O49" i="2"/>
  <c r="D50" i="2"/>
  <c r="F50" i="2" s="1"/>
  <c r="D51" i="2"/>
  <c r="F51" i="2" s="1"/>
  <c r="R52" i="2"/>
  <c r="O53" i="2"/>
  <c r="D54" i="2"/>
  <c r="D61" i="2"/>
  <c r="F61" i="2" s="1"/>
  <c r="H62" i="2"/>
  <c r="O63" i="2"/>
  <c r="R68" i="2"/>
  <c r="O69" i="2"/>
  <c r="D70" i="2"/>
  <c r="D77" i="2"/>
  <c r="F77" i="2" s="1"/>
  <c r="H78" i="2"/>
  <c r="D136" i="2"/>
  <c r="F136" i="2" s="1"/>
  <c r="D137" i="2"/>
  <c r="D140" i="2"/>
  <c r="D152" i="2"/>
  <c r="F152" i="2" s="1"/>
  <c r="D153" i="2"/>
  <c r="D166" i="2"/>
  <c r="D184" i="2"/>
  <c r="H184" i="2" s="1"/>
  <c r="D270" i="2"/>
  <c r="D271" i="2"/>
  <c r="F271" i="2" s="1"/>
  <c r="D285" i="2"/>
  <c r="F285" i="2" s="1"/>
  <c r="D290" i="2"/>
  <c r="H290" i="2" s="1"/>
  <c r="H179" i="2"/>
  <c r="F179" i="2"/>
  <c r="D357" i="2"/>
  <c r="F357" i="2" s="1"/>
  <c r="R5" i="2"/>
  <c r="D8" i="2"/>
  <c r="F8" i="2" s="1"/>
  <c r="O8" i="2"/>
  <c r="D9" i="2"/>
  <c r="O13" i="2"/>
  <c r="D14" i="2"/>
  <c r="F14" i="2" s="1"/>
  <c r="D16" i="2"/>
  <c r="F16" i="2" s="1"/>
  <c r="D17" i="2"/>
  <c r="F17" i="2" s="1"/>
  <c r="D19" i="2"/>
  <c r="F19" i="2" s="1"/>
  <c r="R21" i="2"/>
  <c r="D24" i="2"/>
  <c r="F24" i="2" s="1"/>
  <c r="O24" i="2"/>
  <c r="D25" i="2"/>
  <c r="O29" i="2"/>
  <c r="D30" i="2"/>
  <c r="F30" i="2" s="1"/>
  <c r="D31" i="2"/>
  <c r="F31" i="2" s="1"/>
  <c r="R32" i="2"/>
  <c r="D34" i="2"/>
  <c r="F34" i="2" s="1"/>
  <c r="D35" i="2"/>
  <c r="F35" i="2" s="1"/>
  <c r="R38" i="2"/>
  <c r="D40" i="2"/>
  <c r="F40" i="2" s="1"/>
  <c r="D41" i="2"/>
  <c r="F41" i="2" s="1"/>
  <c r="R42" i="2"/>
  <c r="D44" i="2"/>
  <c r="F44" i="2" s="1"/>
  <c r="D45" i="2"/>
  <c r="F45" i="2" s="1"/>
  <c r="O47" i="2"/>
  <c r="D55" i="2"/>
  <c r="F55" i="2" s="1"/>
  <c r="R56" i="2"/>
  <c r="D58" i="2"/>
  <c r="F58" i="2" s="1"/>
  <c r="D59" i="2"/>
  <c r="F59" i="2" s="1"/>
  <c r="R62" i="2"/>
  <c r="D64" i="2"/>
  <c r="F64" i="2" s="1"/>
  <c r="D65" i="2"/>
  <c r="F65" i="2" s="1"/>
  <c r="R66" i="2"/>
  <c r="D68" i="2"/>
  <c r="D71" i="2"/>
  <c r="F71" i="2" s="1"/>
  <c r="R72" i="2"/>
  <c r="O73" i="2"/>
  <c r="D74" i="2"/>
  <c r="F74" i="2" s="1"/>
  <c r="D75" i="2"/>
  <c r="F75" i="2" s="1"/>
  <c r="R78" i="2"/>
  <c r="D80" i="2"/>
  <c r="F80" i="2" s="1"/>
  <c r="D81" i="2"/>
  <c r="F81" i="2" s="1"/>
  <c r="D84" i="2"/>
  <c r="D86" i="2"/>
  <c r="D87" i="2"/>
  <c r="F87" i="2" s="1"/>
  <c r="D90" i="2"/>
  <c r="F90" i="2" s="1"/>
  <c r="D91" i="2"/>
  <c r="F91" i="2" s="1"/>
  <c r="D96" i="2"/>
  <c r="F96" i="2" s="1"/>
  <c r="D97" i="2"/>
  <c r="F97" i="2" s="1"/>
  <c r="D100" i="2"/>
  <c r="R103" i="2"/>
  <c r="R107" i="2"/>
  <c r="D117" i="2"/>
  <c r="F117" i="2" s="1"/>
  <c r="D133" i="2"/>
  <c r="F133" i="2" s="1"/>
  <c r="D146" i="2"/>
  <c r="F146" i="2" s="1"/>
  <c r="D147" i="2"/>
  <c r="F147" i="2" s="1"/>
  <c r="D189" i="2"/>
  <c r="F189" i="2" s="1"/>
  <c r="D190" i="2"/>
  <c r="F190" i="2" s="1"/>
  <c r="D213" i="2"/>
  <c r="F213" i="2" s="1"/>
  <c r="O87" i="2"/>
  <c r="R92" i="2"/>
  <c r="O93" i="2"/>
  <c r="O103" i="2"/>
  <c r="R108" i="2"/>
  <c r="O109" i="2"/>
  <c r="R112" i="2"/>
  <c r="O113" i="2"/>
  <c r="R118" i="2"/>
  <c r="R122" i="2"/>
  <c r="R128" i="2"/>
  <c r="O129" i="2"/>
  <c r="O143" i="2"/>
  <c r="R148" i="2"/>
  <c r="O149" i="2"/>
  <c r="O161" i="2"/>
  <c r="R162" i="2"/>
  <c r="R169" i="2"/>
  <c r="O171" i="2"/>
  <c r="R180" i="2"/>
  <c r="O184" i="2"/>
  <c r="H189" i="2"/>
  <c r="O197" i="2"/>
  <c r="R203" i="2"/>
  <c r="R86" i="2"/>
  <c r="R90" i="2"/>
  <c r="R96" i="2"/>
  <c r="R102" i="2"/>
  <c r="R106" i="2"/>
  <c r="O111" i="2"/>
  <c r="R116" i="2"/>
  <c r="O127" i="2"/>
  <c r="O160" i="2"/>
  <c r="H185" i="2"/>
  <c r="O95" i="2"/>
  <c r="R100" i="2"/>
  <c r="R110" i="2"/>
  <c r="R114" i="2"/>
  <c r="R120" i="2"/>
  <c r="R126" i="2"/>
  <c r="R130" i="2"/>
  <c r="O135" i="2"/>
  <c r="R140" i="2"/>
  <c r="O141" i="2"/>
  <c r="O151" i="2"/>
  <c r="R155" i="2"/>
  <c r="R158" i="2"/>
  <c r="R161" i="2"/>
  <c r="R163" i="2"/>
  <c r="O169" i="2"/>
  <c r="R171" i="2"/>
  <c r="R178" i="2"/>
  <c r="R190" i="2"/>
  <c r="R196" i="2"/>
  <c r="O198" i="2"/>
  <c r="O202" i="2"/>
  <c r="R214" i="2"/>
  <c r="O226" i="2"/>
  <c r="O236" i="2"/>
  <c r="O190" i="2"/>
  <c r="O192" i="2"/>
  <c r="O199" i="2"/>
  <c r="O206" i="2"/>
  <c r="R207" i="2"/>
  <c r="O208" i="2"/>
  <c r="R211" i="2"/>
  <c r="O225" i="2"/>
  <c r="O237" i="2"/>
  <c r="R249" i="2"/>
  <c r="R251" i="2"/>
  <c r="R253" i="2"/>
  <c r="R262" i="2"/>
  <c r="R264" i="2"/>
  <c r="O293" i="2"/>
  <c r="O319" i="2"/>
  <c r="R326" i="2"/>
  <c r="O327" i="2"/>
  <c r="O216" i="2"/>
  <c r="R219" i="2"/>
  <c r="O220" i="2"/>
  <c r="R223" i="2"/>
  <c r="O228" i="2"/>
  <c r="R231" i="2"/>
  <c r="O232" i="2"/>
  <c r="R235" i="2"/>
  <c r="O238" i="2"/>
  <c r="R246" i="2"/>
  <c r="O249" i="2"/>
  <c r="O250" i="2"/>
  <c r="O251" i="2"/>
  <c r="R252" i="2"/>
  <c r="R263" i="2"/>
  <c r="R265" i="2"/>
  <c r="R271" i="2"/>
  <c r="R273" i="2"/>
  <c r="R275" i="2"/>
  <c r="O278" i="2"/>
  <c r="R279" i="2"/>
  <c r="R281" i="2"/>
  <c r="R283" i="2"/>
  <c r="R285" i="2"/>
  <c r="R288" i="2"/>
  <c r="R295" i="2"/>
  <c r="R297" i="2"/>
  <c r="R302" i="2"/>
  <c r="O303" i="2"/>
  <c r="R304" i="2"/>
  <c r="R309" i="2"/>
  <c r="R312" i="2"/>
  <c r="O313" i="2"/>
  <c r="R316" i="2"/>
  <c r="O321" i="2"/>
  <c r="R322" i="2"/>
  <c r="O335" i="2"/>
  <c r="O336" i="2"/>
  <c r="R337" i="2"/>
  <c r="R341" i="2"/>
  <c r="R351" i="2"/>
  <c r="O352" i="2"/>
  <c r="R357" i="2"/>
  <c r="R358" i="2"/>
  <c r="R359" i="2"/>
  <c r="R360" i="2"/>
  <c r="R270" i="2"/>
  <c r="O271" i="2"/>
  <c r="R272" i="2"/>
  <c r="R277" i="2"/>
  <c r="O279" i="2"/>
  <c r="R280" i="2"/>
  <c r="O281" i="2"/>
  <c r="R284" i="2"/>
  <c r="R294" i="2"/>
  <c r="R296" i="2"/>
  <c r="R303" i="2"/>
  <c r="R305" i="2"/>
  <c r="R307" i="2"/>
  <c r="O309" i="2"/>
  <c r="O310" i="2"/>
  <c r="R311" i="2"/>
  <c r="R313" i="2"/>
  <c r="R315" i="2"/>
  <c r="R317" i="2"/>
  <c r="R320" i="2"/>
  <c r="R321" i="2"/>
  <c r="R325" i="2"/>
  <c r="R328" i="2"/>
  <c r="R330" i="2"/>
  <c r="R333" i="2"/>
  <c r="R335" i="2"/>
  <c r="O340" i="2"/>
  <c r="R345" i="2"/>
  <c r="R349" i="2"/>
  <c r="R352" i="2"/>
  <c r="R353" i="2"/>
  <c r="O362" i="2"/>
  <c r="O364" i="2"/>
  <c r="G33" i="3"/>
  <c r="O34" i="3"/>
  <c r="O46" i="3"/>
  <c r="O54" i="3"/>
  <c r="O62" i="3"/>
  <c r="O70" i="3"/>
  <c r="G116" i="3"/>
  <c r="H116" i="3"/>
  <c r="G164" i="3"/>
  <c r="H164" i="3"/>
  <c r="H247" i="3"/>
  <c r="G247" i="3"/>
  <c r="G148" i="3"/>
  <c r="H148" i="3"/>
  <c r="O8" i="3"/>
  <c r="H9" i="3"/>
  <c r="H17" i="3"/>
  <c r="H18" i="3"/>
  <c r="O24" i="3"/>
  <c r="H25" i="3"/>
  <c r="H26" i="3"/>
  <c r="O38" i="3"/>
  <c r="O39" i="3"/>
  <c r="O44" i="3"/>
  <c r="O47" i="3"/>
  <c r="O52" i="3"/>
  <c r="O55" i="3"/>
  <c r="O60" i="3"/>
  <c r="O68" i="3"/>
  <c r="O71" i="3"/>
  <c r="O76" i="3"/>
  <c r="O78" i="3"/>
  <c r="O80" i="3"/>
  <c r="O82" i="3"/>
  <c r="O84" i="3"/>
  <c r="O86" i="3"/>
  <c r="O88" i="3"/>
  <c r="O90" i="3"/>
  <c r="O92" i="3"/>
  <c r="O94" i="3"/>
  <c r="O96" i="3"/>
  <c r="O98" i="3"/>
  <c r="O100" i="3"/>
  <c r="G132" i="3"/>
  <c r="H132" i="3"/>
  <c r="O10" i="3"/>
  <c r="H11" i="3"/>
  <c r="H12" i="3"/>
  <c r="O18" i="3"/>
  <c r="H19" i="3"/>
  <c r="O26" i="3"/>
  <c r="H27" i="3"/>
  <c r="O32" i="3"/>
  <c r="O36" i="3"/>
  <c r="O42" i="3"/>
  <c r="O45" i="3"/>
  <c r="H46" i="3"/>
  <c r="O53" i="3"/>
  <c r="H54" i="3"/>
  <c r="O61" i="3"/>
  <c r="H62" i="3"/>
  <c r="O66" i="3"/>
  <c r="O69" i="3"/>
  <c r="H70" i="3"/>
  <c r="H102" i="3"/>
  <c r="O102" i="3"/>
  <c r="H103" i="3"/>
  <c r="O106" i="3"/>
  <c r="O121" i="3"/>
  <c r="G180" i="3"/>
  <c r="H180" i="3"/>
  <c r="G196" i="3"/>
  <c r="H196" i="3"/>
  <c r="G212" i="3"/>
  <c r="H212" i="3"/>
  <c r="H111" i="3"/>
  <c r="H117" i="3"/>
  <c r="H123" i="3"/>
  <c r="O132" i="3"/>
  <c r="H133" i="3"/>
  <c r="H139" i="3"/>
  <c r="H149" i="3"/>
  <c r="H155" i="3"/>
  <c r="H251" i="3"/>
  <c r="G251" i="3"/>
  <c r="O112" i="3"/>
  <c r="O118" i="3"/>
  <c r="H119" i="3"/>
  <c r="O128" i="3"/>
  <c r="H129" i="3"/>
  <c r="H135" i="3"/>
  <c r="H145" i="3"/>
  <c r="O150" i="3"/>
  <c r="H151" i="3"/>
  <c r="H160" i="3"/>
  <c r="O160" i="3"/>
  <c r="H161" i="3"/>
  <c r="O166" i="3"/>
  <c r="H167" i="3"/>
  <c r="H176" i="3"/>
  <c r="O176" i="3"/>
  <c r="H177" i="3"/>
  <c r="O182" i="3"/>
  <c r="H183" i="3"/>
  <c r="H192" i="3"/>
  <c r="O192" i="3"/>
  <c r="H193" i="3"/>
  <c r="O198" i="3"/>
  <c r="H199" i="3"/>
  <c r="H208" i="3"/>
  <c r="O208" i="3"/>
  <c r="H209" i="3"/>
  <c r="O222" i="3"/>
  <c r="G224" i="3"/>
  <c r="H224" i="3"/>
  <c r="O236" i="3"/>
  <c r="H239" i="3"/>
  <c r="G239" i="3"/>
  <c r="H255" i="3"/>
  <c r="G255" i="3"/>
  <c r="O264" i="3"/>
  <c r="G275" i="3"/>
  <c r="H275" i="3"/>
  <c r="H107" i="3"/>
  <c r="O114" i="3"/>
  <c r="H115" i="3"/>
  <c r="O124" i="3"/>
  <c r="H125" i="3"/>
  <c r="O130" i="3"/>
  <c r="H131" i="3"/>
  <c r="O140" i="3"/>
  <c r="H141" i="3"/>
  <c r="O146" i="3"/>
  <c r="H147" i="3"/>
  <c r="O156" i="3"/>
  <c r="H157" i="3"/>
  <c r="O162" i="3"/>
  <c r="H163" i="3"/>
  <c r="O172" i="3"/>
  <c r="H173" i="3"/>
  <c r="O178" i="3"/>
  <c r="H179" i="3"/>
  <c r="O188" i="3"/>
  <c r="H189" i="3"/>
  <c r="O194" i="3"/>
  <c r="H195" i="3"/>
  <c r="O204" i="3"/>
  <c r="H205" i="3"/>
  <c r="O210" i="3"/>
  <c r="H211" i="3"/>
  <c r="O213" i="3"/>
  <c r="O228" i="3"/>
  <c r="H243" i="3"/>
  <c r="G243" i="3"/>
  <c r="O214" i="3"/>
  <c r="H215" i="3"/>
  <c r="O224" i="3"/>
  <c r="H225" i="3"/>
  <c r="O227" i="3"/>
  <c r="H228" i="3"/>
  <c r="O235" i="3"/>
  <c r="H236" i="3"/>
  <c r="O265" i="3"/>
  <c r="H266" i="3"/>
  <c r="O275" i="3"/>
  <c r="H276" i="3"/>
  <c r="O278" i="3"/>
  <c r="O279" i="3"/>
  <c r="O285" i="3"/>
  <c r="O290" i="3"/>
  <c r="O293" i="3"/>
  <c r="O298" i="3"/>
  <c r="O301" i="3"/>
  <c r="O306" i="3"/>
  <c r="O309" i="3"/>
  <c r="O314" i="3"/>
  <c r="O317" i="3"/>
  <c r="O322" i="3"/>
  <c r="O325" i="3"/>
  <c r="O330" i="3"/>
  <c r="O333" i="3"/>
  <c r="O334" i="3"/>
  <c r="H338" i="3"/>
  <c r="H342" i="3"/>
  <c r="H346" i="3"/>
  <c r="E351" i="3"/>
  <c r="G351" i="3" s="1"/>
  <c r="E354" i="3"/>
  <c r="G354" i="3" s="1"/>
  <c r="O356" i="3"/>
  <c r="E359" i="3"/>
  <c r="G359" i="3" s="1"/>
  <c r="E363" i="3"/>
  <c r="G363" i="3" s="1"/>
  <c r="E364" i="3"/>
  <c r="G364" i="3" s="1"/>
  <c r="O364" i="3"/>
  <c r="O220" i="3"/>
  <c r="H221" i="3"/>
  <c r="O229" i="3"/>
  <c r="H230" i="3"/>
  <c r="O239" i="3"/>
  <c r="H240" i="3"/>
  <c r="O243" i="3"/>
  <c r="H244" i="3"/>
  <c r="O247" i="3"/>
  <c r="H248" i="3"/>
  <c r="O251" i="3"/>
  <c r="H252" i="3"/>
  <c r="O255" i="3"/>
  <c r="H256" i="3"/>
  <c r="O257" i="3"/>
  <c r="H258" i="3"/>
  <c r="O259" i="3"/>
  <c r="H260" i="3"/>
  <c r="O271" i="3"/>
  <c r="H272" i="3"/>
  <c r="O277" i="3"/>
  <c r="H278" i="3"/>
  <c r="O283" i="3"/>
  <c r="H284" i="3"/>
  <c r="O291" i="3"/>
  <c r="H292" i="3"/>
  <c r="O299" i="3"/>
  <c r="H300" i="3"/>
  <c r="O307" i="3"/>
  <c r="H308" i="3"/>
  <c r="O315" i="3"/>
  <c r="H316" i="3"/>
  <c r="O323" i="3"/>
  <c r="H324" i="3"/>
  <c r="O331" i="3"/>
  <c r="H332" i="3"/>
  <c r="H334" i="3"/>
  <c r="O335" i="3"/>
  <c r="O339" i="3"/>
  <c r="O343" i="3"/>
  <c r="O347" i="3"/>
  <c r="E350" i="3"/>
  <c r="G350" i="3" s="1"/>
  <c r="E352" i="3"/>
  <c r="G352" i="3" s="1"/>
  <c r="E357" i="3"/>
  <c r="G357" i="3" s="1"/>
  <c r="O357" i="3"/>
  <c r="E360" i="3"/>
  <c r="G360" i="3" s="1"/>
  <c r="E365" i="3"/>
  <c r="G365" i="3" s="1"/>
  <c r="O365" i="3"/>
  <c r="O366" i="3"/>
  <c r="H223" i="3"/>
  <c r="O233" i="3"/>
  <c r="H234" i="3"/>
  <c r="O261" i="3"/>
  <c r="H262" i="3"/>
  <c r="O267" i="3"/>
  <c r="H268" i="3"/>
  <c r="O273" i="3"/>
  <c r="H274" i="3"/>
  <c r="O289" i="3"/>
  <c r="O297" i="3"/>
  <c r="O305" i="3"/>
  <c r="O313" i="3"/>
  <c r="O321" i="3"/>
  <c r="O329" i="3"/>
  <c r="H336" i="3"/>
  <c r="H340" i="3"/>
  <c r="H344" i="3"/>
  <c r="H348" i="3"/>
  <c r="O355" i="3"/>
  <c r="O367" i="3"/>
  <c r="J371" i="3"/>
  <c r="K371" i="3"/>
  <c r="J376" i="3" s="1"/>
  <c r="H8" i="3"/>
  <c r="H10" i="3"/>
  <c r="H16" i="3"/>
  <c r="H20" i="3"/>
  <c r="H24" i="3"/>
  <c r="H28" i="3"/>
  <c r="H104" i="3"/>
  <c r="F104" i="3"/>
  <c r="H112" i="3"/>
  <c r="F112" i="3"/>
  <c r="F265" i="3"/>
  <c r="H265" i="3"/>
  <c r="F6" i="3"/>
  <c r="F12" i="3"/>
  <c r="F14" i="3"/>
  <c r="F18" i="3"/>
  <c r="F22" i="3"/>
  <c r="F26" i="3"/>
  <c r="F30" i="3"/>
  <c r="F32" i="3"/>
  <c r="H36" i="3"/>
  <c r="O37" i="3"/>
  <c r="H42" i="3"/>
  <c r="H50" i="3"/>
  <c r="H58" i="3"/>
  <c r="H66" i="3"/>
  <c r="H74" i="3"/>
  <c r="H108" i="3"/>
  <c r="F108" i="3"/>
  <c r="J374" i="3"/>
  <c r="O33" i="3"/>
  <c r="H38" i="3"/>
  <c r="H40" i="3"/>
  <c r="H48" i="3"/>
  <c r="H56" i="3"/>
  <c r="H64" i="3"/>
  <c r="H72" i="3"/>
  <c r="H35" i="3"/>
  <c r="H37" i="3"/>
  <c r="H39" i="3"/>
  <c r="H41" i="3"/>
  <c r="H43" i="3"/>
  <c r="H45" i="3"/>
  <c r="H47" i="3"/>
  <c r="H49" i="3"/>
  <c r="H51" i="3"/>
  <c r="H53" i="3"/>
  <c r="H55" i="3"/>
  <c r="H57" i="3"/>
  <c r="H59" i="3"/>
  <c r="H61" i="3"/>
  <c r="H63" i="3"/>
  <c r="H65" i="3"/>
  <c r="H67" i="3"/>
  <c r="H69" i="3"/>
  <c r="H71" i="3"/>
  <c r="H73" i="3"/>
  <c r="H75" i="3"/>
  <c r="H77" i="3"/>
  <c r="H79" i="3"/>
  <c r="H81" i="3"/>
  <c r="H83" i="3"/>
  <c r="H85" i="3"/>
  <c r="H87" i="3"/>
  <c r="H89" i="3"/>
  <c r="H91" i="3"/>
  <c r="H93" i="3"/>
  <c r="H95" i="3"/>
  <c r="H97" i="3"/>
  <c r="H99" i="3"/>
  <c r="H101" i="3"/>
  <c r="H105" i="3"/>
  <c r="H109" i="3"/>
  <c r="H113" i="3"/>
  <c r="F229" i="3"/>
  <c r="H229" i="3"/>
  <c r="F259" i="3"/>
  <c r="H259" i="3"/>
  <c r="F277" i="3"/>
  <c r="H277" i="3"/>
  <c r="R103" i="3"/>
  <c r="R107" i="3"/>
  <c r="R111" i="3"/>
  <c r="F273" i="3"/>
  <c r="H273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F235" i="3"/>
  <c r="H235" i="3"/>
  <c r="F269" i="3"/>
  <c r="H269" i="3"/>
  <c r="H227" i="3"/>
  <c r="H231" i="3"/>
  <c r="R235" i="3"/>
  <c r="H257" i="3"/>
  <c r="R261" i="3"/>
  <c r="R231" i="3"/>
  <c r="R257" i="3"/>
  <c r="H290" i="3"/>
  <c r="H298" i="3"/>
  <c r="H306" i="3"/>
  <c r="H314" i="3"/>
  <c r="H322" i="3"/>
  <c r="H330" i="3"/>
  <c r="H280" i="3"/>
  <c r="O281" i="3"/>
  <c r="H286" i="3"/>
  <c r="H294" i="3"/>
  <c r="H302" i="3"/>
  <c r="H310" i="3"/>
  <c r="H318" i="3"/>
  <c r="H326" i="3"/>
  <c r="H279" i="3"/>
  <c r="H281" i="3"/>
  <c r="H283" i="3"/>
  <c r="H285" i="3"/>
  <c r="H287" i="3"/>
  <c r="H289" i="3"/>
  <c r="H291" i="3"/>
  <c r="H293" i="3"/>
  <c r="H295" i="3"/>
  <c r="H297" i="3"/>
  <c r="H299" i="3"/>
  <c r="H301" i="3"/>
  <c r="H303" i="3"/>
  <c r="H305" i="3"/>
  <c r="H307" i="3"/>
  <c r="H309" i="3"/>
  <c r="H311" i="3"/>
  <c r="H313" i="3"/>
  <c r="H315" i="3"/>
  <c r="H317" i="3"/>
  <c r="H319" i="3"/>
  <c r="H321" i="3"/>
  <c r="H323" i="3"/>
  <c r="H325" i="3"/>
  <c r="H327" i="3"/>
  <c r="H329" i="3"/>
  <c r="H331" i="3"/>
  <c r="H333" i="3"/>
  <c r="H335" i="3"/>
  <c r="H370" i="3"/>
  <c r="F370" i="3"/>
  <c r="O351" i="3"/>
  <c r="H356" i="3"/>
  <c r="H353" i="3"/>
  <c r="H369" i="3"/>
  <c r="D362" i="3"/>
  <c r="D364" i="3"/>
  <c r="D366" i="3"/>
  <c r="D368" i="3"/>
  <c r="H11" i="2"/>
  <c r="O12" i="2"/>
  <c r="H13" i="2"/>
  <c r="O14" i="2"/>
  <c r="H27" i="2"/>
  <c r="O28" i="2"/>
  <c r="H29" i="2"/>
  <c r="H33" i="2"/>
  <c r="O35" i="2"/>
  <c r="H39" i="2"/>
  <c r="H41" i="2"/>
  <c r="O43" i="2"/>
  <c r="H47" i="2"/>
  <c r="H49" i="2"/>
  <c r="O51" i="2"/>
  <c r="H55" i="2"/>
  <c r="O59" i="2"/>
  <c r="H63" i="2"/>
  <c r="O67" i="2"/>
  <c r="O75" i="2"/>
  <c r="H79" i="2"/>
  <c r="H81" i="2"/>
  <c r="O83" i="2"/>
  <c r="H89" i="2"/>
  <c r="O91" i="2"/>
  <c r="H95" i="2"/>
  <c r="H97" i="2"/>
  <c r="O99" i="2"/>
  <c r="H103" i="2"/>
  <c r="O107" i="2"/>
  <c r="H113" i="2"/>
  <c r="O115" i="2"/>
  <c r="O123" i="2"/>
  <c r="H127" i="2"/>
  <c r="H129" i="2"/>
  <c r="O131" i="2"/>
  <c r="O139" i="2"/>
  <c r="H143" i="2"/>
  <c r="O147" i="2"/>
  <c r="H151" i="2"/>
  <c r="H158" i="2"/>
  <c r="H161" i="2"/>
  <c r="H171" i="2"/>
  <c r="O172" i="2"/>
  <c r="H173" i="2"/>
  <c r="H178" i="2"/>
  <c r="H183" i="2"/>
  <c r="G189" i="2"/>
  <c r="G215" i="2"/>
  <c r="G288" i="2"/>
  <c r="H288" i="2"/>
  <c r="G332" i="2"/>
  <c r="H332" i="2"/>
  <c r="H15" i="2"/>
  <c r="O16" i="2"/>
  <c r="O18" i="2"/>
  <c r="H110" i="2"/>
  <c r="H134" i="2"/>
  <c r="H163" i="2"/>
  <c r="O164" i="2"/>
  <c r="H165" i="2"/>
  <c r="H170" i="2"/>
  <c r="O176" i="2"/>
  <c r="O191" i="2"/>
  <c r="O267" i="2"/>
  <c r="G276" i="2"/>
  <c r="G338" i="2"/>
  <c r="H338" i="2"/>
  <c r="G308" i="2"/>
  <c r="H308" i="2"/>
  <c r="H5" i="2"/>
  <c r="O6" i="2"/>
  <c r="O20" i="2"/>
  <c r="H21" i="2"/>
  <c r="O22" i="2"/>
  <c r="H35" i="2"/>
  <c r="H51" i="2"/>
  <c r="H52" i="2"/>
  <c r="H59" i="2"/>
  <c r="H67" i="2"/>
  <c r="H83" i="2"/>
  <c r="H107" i="2"/>
  <c r="H115" i="2"/>
  <c r="H123" i="2"/>
  <c r="H139" i="2"/>
  <c r="O156" i="2"/>
  <c r="O168" i="2"/>
  <c r="O193" i="2"/>
  <c r="H203" i="2"/>
  <c r="G203" i="2"/>
  <c r="O204" i="2"/>
  <c r="O277" i="2"/>
  <c r="O311" i="2"/>
  <c r="O201" i="2"/>
  <c r="H202" i="2"/>
  <c r="O203" i="2"/>
  <c r="O213" i="2"/>
  <c r="H214" i="2"/>
  <c r="O215" i="2"/>
  <c r="O222" i="2"/>
  <c r="O227" i="2"/>
  <c r="O234" i="2"/>
  <c r="O241" i="2"/>
  <c r="H242" i="2"/>
  <c r="H259" i="2"/>
  <c r="H269" i="2"/>
  <c r="O270" i="2"/>
  <c r="H271" i="2"/>
  <c r="H281" i="2"/>
  <c r="O282" i="2"/>
  <c r="H291" i="2"/>
  <c r="O302" i="2"/>
  <c r="O314" i="2"/>
  <c r="O346" i="2"/>
  <c r="E348" i="2"/>
  <c r="G348" i="2" s="1"/>
  <c r="O348" i="2"/>
  <c r="O354" i="2"/>
  <c r="E356" i="2"/>
  <c r="G356" i="2" s="1"/>
  <c r="O205" i="2"/>
  <c r="O207" i="2"/>
  <c r="O217" i="2"/>
  <c r="O219" i="2"/>
  <c r="O229" i="2"/>
  <c r="H230" i="2"/>
  <c r="O231" i="2"/>
  <c r="O243" i="2"/>
  <c r="H253" i="2"/>
  <c r="O254" i="2"/>
  <c r="H255" i="2"/>
  <c r="O262" i="2"/>
  <c r="H263" i="2"/>
  <c r="O274" i="2"/>
  <c r="H283" i="2"/>
  <c r="O294" i="2"/>
  <c r="H295" i="2"/>
  <c r="O306" i="2"/>
  <c r="O328" i="2"/>
  <c r="H330" i="2"/>
  <c r="O345" i="2"/>
  <c r="E351" i="2"/>
  <c r="G351" i="2" s="1"/>
  <c r="E353" i="2"/>
  <c r="G353" i="2" s="1"/>
  <c r="O353" i="2"/>
  <c r="E358" i="2"/>
  <c r="G358" i="2" s="1"/>
  <c r="O209" i="2"/>
  <c r="O221" i="2"/>
  <c r="H222" i="2"/>
  <c r="O223" i="2"/>
  <c r="O233" i="2"/>
  <c r="H234" i="2"/>
  <c r="O235" i="2"/>
  <c r="O245" i="2"/>
  <c r="H265" i="2"/>
  <c r="O266" i="2"/>
  <c r="H275" i="2"/>
  <c r="H285" i="2"/>
  <c r="O286" i="2"/>
  <c r="H287" i="2"/>
  <c r="O298" i="2"/>
  <c r="H307" i="2"/>
  <c r="H317" i="2"/>
  <c r="O318" i="2"/>
  <c r="O320" i="2"/>
  <c r="O326" i="2"/>
  <c r="O334" i="2"/>
  <c r="O339" i="2"/>
  <c r="O361" i="2"/>
  <c r="H195" i="2"/>
  <c r="H6" i="2"/>
  <c r="H14" i="2"/>
  <c r="H30" i="2"/>
  <c r="F274" i="2"/>
  <c r="H274" i="2"/>
  <c r="F306" i="2"/>
  <c r="H306" i="2"/>
  <c r="J371" i="2"/>
  <c r="F168" i="2"/>
  <c r="H168" i="2"/>
  <c r="F176" i="2"/>
  <c r="H176" i="2"/>
  <c r="H10" i="2"/>
  <c r="H22" i="2"/>
  <c r="H26" i="2"/>
  <c r="H32" i="2"/>
  <c r="H48" i="2"/>
  <c r="H64" i="2"/>
  <c r="H72" i="2"/>
  <c r="H80" i="2"/>
  <c r="H96" i="2"/>
  <c r="H104" i="2"/>
  <c r="H112" i="2"/>
  <c r="H120" i="2"/>
  <c r="H128" i="2"/>
  <c r="H136" i="2"/>
  <c r="H144" i="2"/>
  <c r="H152" i="2"/>
  <c r="F156" i="2"/>
  <c r="H156" i="2"/>
  <c r="F164" i="2"/>
  <c r="H164" i="2"/>
  <c r="F172" i="2"/>
  <c r="H172" i="2"/>
  <c r="F180" i="2"/>
  <c r="H180" i="2"/>
  <c r="F211" i="2"/>
  <c r="H211" i="2"/>
  <c r="K371" i="2"/>
  <c r="J376" i="2" s="1"/>
  <c r="H8" i="2"/>
  <c r="H12" i="2"/>
  <c r="H16" i="2"/>
  <c r="H20" i="2"/>
  <c r="H24" i="2"/>
  <c r="H28" i="2"/>
  <c r="H34" i="2"/>
  <c r="H45" i="2"/>
  <c r="H50" i="2"/>
  <c r="H53" i="2"/>
  <c r="H61" i="2"/>
  <c r="H69" i="2"/>
  <c r="H74" i="2"/>
  <c r="H77" i="2"/>
  <c r="H82" i="2"/>
  <c r="H90" i="2"/>
  <c r="H93" i="2"/>
  <c r="H101" i="2"/>
  <c r="H109" i="2"/>
  <c r="H114" i="2"/>
  <c r="H117" i="2"/>
  <c r="H122" i="2"/>
  <c r="H125" i="2"/>
  <c r="H130" i="2"/>
  <c r="H133" i="2"/>
  <c r="H138" i="2"/>
  <c r="H141" i="2"/>
  <c r="H146" i="2"/>
  <c r="H154" i="2"/>
  <c r="F227" i="2"/>
  <c r="H227" i="2"/>
  <c r="F258" i="2"/>
  <c r="F326" i="2"/>
  <c r="H326" i="2"/>
  <c r="F341" i="2"/>
  <c r="F351" i="2"/>
  <c r="F266" i="2"/>
  <c r="H266" i="2"/>
  <c r="F298" i="2"/>
  <c r="J374" i="2"/>
  <c r="O30" i="2"/>
  <c r="O32" i="2"/>
  <c r="O34" i="2"/>
  <c r="O36" i="2"/>
  <c r="O38" i="2"/>
  <c r="O40" i="2"/>
  <c r="O42" i="2"/>
  <c r="O44" i="2"/>
  <c r="O46" i="2"/>
  <c r="O48" i="2"/>
  <c r="O50" i="2"/>
  <c r="O52" i="2"/>
  <c r="O54" i="2"/>
  <c r="O56" i="2"/>
  <c r="O58" i="2"/>
  <c r="O60" i="2"/>
  <c r="O62" i="2"/>
  <c r="O64" i="2"/>
  <c r="O66" i="2"/>
  <c r="O68" i="2"/>
  <c r="O70" i="2"/>
  <c r="O72" i="2"/>
  <c r="O74" i="2"/>
  <c r="O76" i="2"/>
  <c r="O78" i="2"/>
  <c r="O80" i="2"/>
  <c r="O82" i="2"/>
  <c r="O84" i="2"/>
  <c r="O86" i="2"/>
  <c r="O88" i="2"/>
  <c r="O90" i="2"/>
  <c r="O92" i="2"/>
  <c r="O94" i="2"/>
  <c r="O96" i="2"/>
  <c r="O98" i="2"/>
  <c r="O100" i="2"/>
  <c r="O102" i="2"/>
  <c r="O104" i="2"/>
  <c r="O106" i="2"/>
  <c r="O108" i="2"/>
  <c r="O110" i="2"/>
  <c r="O112" i="2"/>
  <c r="O114" i="2"/>
  <c r="O116" i="2"/>
  <c r="O118" i="2"/>
  <c r="O120" i="2"/>
  <c r="O122" i="2"/>
  <c r="O124" i="2"/>
  <c r="O126" i="2"/>
  <c r="O128" i="2"/>
  <c r="O130" i="2"/>
  <c r="O132" i="2"/>
  <c r="O134" i="2"/>
  <c r="O136" i="2"/>
  <c r="O138" i="2"/>
  <c r="O140" i="2"/>
  <c r="O142" i="2"/>
  <c r="O144" i="2"/>
  <c r="O146" i="2"/>
  <c r="O148" i="2"/>
  <c r="O150" i="2"/>
  <c r="O152" i="2"/>
  <c r="O154" i="2"/>
  <c r="O158" i="2"/>
  <c r="O162" i="2"/>
  <c r="O166" i="2"/>
  <c r="O170" i="2"/>
  <c r="O174" i="2"/>
  <c r="O178" i="2"/>
  <c r="O182" i="2"/>
  <c r="F282" i="2"/>
  <c r="H282" i="2"/>
  <c r="F314" i="2"/>
  <c r="H187" i="2"/>
  <c r="H191" i="2"/>
  <c r="R193" i="2"/>
  <c r="H197" i="2"/>
  <c r="H201" i="2"/>
  <c r="H205" i="2"/>
  <c r="H217" i="2"/>
  <c r="H221" i="2"/>
  <c r="H225" i="2"/>
  <c r="H233" i="2"/>
  <c r="H237" i="2"/>
  <c r="H241" i="2"/>
  <c r="H245" i="2"/>
  <c r="H262" i="2"/>
  <c r="F270" i="2"/>
  <c r="H270" i="2"/>
  <c r="F278" i="2"/>
  <c r="F286" i="2"/>
  <c r="H286" i="2"/>
  <c r="F294" i="2"/>
  <c r="H294" i="2"/>
  <c r="F310" i="2"/>
  <c r="H310" i="2"/>
  <c r="G324" i="2"/>
  <c r="H324" i="2"/>
  <c r="H186" i="2"/>
  <c r="R187" i="2"/>
  <c r="H190" i="2"/>
  <c r="R191" i="2"/>
  <c r="H196" i="2"/>
  <c r="R197" i="2"/>
  <c r="H200" i="2"/>
  <c r="R201" i="2"/>
  <c r="H204" i="2"/>
  <c r="R205" i="2"/>
  <c r="R209" i="2"/>
  <c r="R213" i="2"/>
  <c r="H216" i="2"/>
  <c r="R217" i="2"/>
  <c r="H220" i="2"/>
  <c r="R221" i="2"/>
  <c r="R225" i="2"/>
  <c r="H228" i="2"/>
  <c r="R229" i="2"/>
  <c r="H232" i="2"/>
  <c r="R233" i="2"/>
  <c r="H236" i="2"/>
  <c r="R237" i="2"/>
  <c r="R241" i="2"/>
  <c r="H244" i="2"/>
  <c r="R245" i="2"/>
  <c r="H247" i="2"/>
  <c r="F250" i="2"/>
  <c r="H250" i="2"/>
  <c r="F367" i="2"/>
  <c r="H320" i="2"/>
  <c r="F320" i="2"/>
  <c r="F336" i="2"/>
  <c r="H336" i="2"/>
  <c r="O246" i="2"/>
  <c r="O248" i="2"/>
  <c r="O252" i="2"/>
  <c r="O256" i="2"/>
  <c r="O260" i="2"/>
  <c r="O264" i="2"/>
  <c r="O268" i="2"/>
  <c r="O272" i="2"/>
  <c r="O276" i="2"/>
  <c r="O280" i="2"/>
  <c r="O284" i="2"/>
  <c r="O288" i="2"/>
  <c r="O292" i="2"/>
  <c r="O296" i="2"/>
  <c r="O300" i="2"/>
  <c r="O304" i="2"/>
  <c r="O308" i="2"/>
  <c r="O312" i="2"/>
  <c r="O316" i="2"/>
  <c r="O332" i="2"/>
  <c r="F343" i="2"/>
  <c r="H343" i="2"/>
  <c r="F359" i="2"/>
  <c r="H359" i="2"/>
  <c r="R367" i="2"/>
  <c r="E368" i="2"/>
  <c r="G368" i="2" s="1"/>
  <c r="E363" i="2"/>
  <c r="E360" i="2"/>
  <c r="G360" i="2" s="1"/>
  <c r="E355" i="2"/>
  <c r="E352" i="2"/>
  <c r="G352" i="2" s="1"/>
  <c r="E347" i="2"/>
  <c r="E344" i="2"/>
  <c r="G344" i="2" s="1"/>
  <c r="E339" i="2"/>
  <c r="E337" i="2"/>
  <c r="G337" i="2" s="1"/>
  <c r="E335" i="2"/>
  <c r="G335" i="2" s="1"/>
  <c r="E333" i="2"/>
  <c r="G333" i="2" s="1"/>
  <c r="E331" i="2"/>
  <c r="G331" i="2" s="1"/>
  <c r="E329" i="2"/>
  <c r="G329" i="2" s="1"/>
  <c r="E327" i="2"/>
  <c r="G327" i="2" s="1"/>
  <c r="E325" i="2"/>
  <c r="G325" i="2" s="1"/>
  <c r="E323" i="2"/>
  <c r="G323" i="2" s="1"/>
  <c r="E321" i="2"/>
  <c r="G321" i="2" s="1"/>
  <c r="E370" i="2"/>
  <c r="G370" i="2" s="1"/>
  <c r="E365" i="2"/>
  <c r="G365" i="2" s="1"/>
  <c r="E362" i="2"/>
  <c r="G362" i="2" s="1"/>
  <c r="E357" i="2"/>
  <c r="G357" i="2" s="1"/>
  <c r="E354" i="2"/>
  <c r="G354" i="2" s="1"/>
  <c r="E349" i="2"/>
  <c r="G349" i="2" s="1"/>
  <c r="E346" i="2"/>
  <c r="G346" i="2" s="1"/>
  <c r="E341" i="2"/>
  <c r="G341" i="2" s="1"/>
  <c r="O322" i="2"/>
  <c r="O330" i="2"/>
  <c r="O338" i="2"/>
  <c r="O347" i="2"/>
  <c r="O363" i="2"/>
  <c r="O343" i="2"/>
  <c r="H345" i="2"/>
  <c r="O351" i="2"/>
  <c r="O359" i="2"/>
  <c r="O367" i="2"/>
  <c r="O341" i="2"/>
  <c r="O349" i="2"/>
  <c r="O357" i="2"/>
  <c r="O365" i="2"/>
  <c r="D370" i="2"/>
  <c r="D368" i="2"/>
  <c r="D366" i="2"/>
  <c r="D364" i="2"/>
  <c r="D362" i="2"/>
  <c r="D360" i="2"/>
  <c r="D358" i="2"/>
  <c r="D356" i="2"/>
  <c r="D354" i="2"/>
  <c r="D352" i="2"/>
  <c r="D350" i="2"/>
  <c r="D348" i="2"/>
  <c r="D346" i="2"/>
  <c r="D344" i="2"/>
  <c r="D342" i="2"/>
  <c r="D340" i="2"/>
  <c r="Q357" i="1"/>
  <c r="Q363" i="1"/>
  <c r="Q370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8" i="1"/>
  <c r="Q359" i="1"/>
  <c r="Q360" i="1"/>
  <c r="Q361" i="1"/>
  <c r="Q362" i="1"/>
  <c r="Q364" i="1"/>
  <c r="Q365" i="1"/>
  <c r="Q366" i="1"/>
  <c r="Q367" i="1"/>
  <c r="Q368" i="1"/>
  <c r="Q369" i="1"/>
  <c r="Q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R349" i="1" s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R363" i="1" s="1"/>
  <c r="P364" i="1"/>
  <c r="R364" i="1" s="1"/>
  <c r="P365" i="1"/>
  <c r="R365" i="1" s="1"/>
  <c r="P366" i="1"/>
  <c r="R366" i="1" s="1"/>
  <c r="P367" i="1"/>
  <c r="R367" i="1" s="1"/>
  <c r="P368" i="1"/>
  <c r="P369" i="1"/>
  <c r="P370" i="1"/>
  <c r="P5" i="1"/>
  <c r="L371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5" i="1"/>
  <c r="I6" i="1"/>
  <c r="J6" i="1" s="1"/>
  <c r="I7" i="1"/>
  <c r="J7" i="1" s="1"/>
  <c r="I8" i="1"/>
  <c r="J8" i="1" s="1"/>
  <c r="I9" i="1"/>
  <c r="J9" i="1" s="1"/>
  <c r="I10" i="1"/>
  <c r="J10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D375" i="1"/>
  <c r="C375" i="1"/>
  <c r="D11" i="1" s="1"/>
  <c r="I5" i="1"/>
  <c r="J5" i="1" s="1"/>
  <c r="H359" i="4" l="1"/>
  <c r="G357" i="4"/>
  <c r="H357" i="4"/>
  <c r="G333" i="4"/>
  <c r="H333" i="4"/>
  <c r="H342" i="4"/>
  <c r="G342" i="4"/>
  <c r="H355" i="4"/>
  <c r="G355" i="4"/>
  <c r="H356" i="4"/>
  <c r="H344" i="4"/>
  <c r="H343" i="4"/>
  <c r="G343" i="4"/>
  <c r="H354" i="4"/>
  <c r="G354" i="4"/>
  <c r="H349" i="4"/>
  <c r="G349" i="4"/>
  <c r="H331" i="4"/>
  <c r="G331" i="4"/>
  <c r="H347" i="4"/>
  <c r="H348" i="4"/>
  <c r="G348" i="4"/>
  <c r="H330" i="4"/>
  <c r="G330" i="4"/>
  <c r="G371" i="4" s="1"/>
  <c r="H350" i="4"/>
  <c r="H332" i="4"/>
  <c r="G363" i="4"/>
  <c r="H363" i="4"/>
  <c r="H340" i="4"/>
  <c r="G351" i="4"/>
  <c r="H351" i="4"/>
  <c r="H334" i="4"/>
  <c r="O371" i="4"/>
  <c r="P374" i="4" s="1"/>
  <c r="J377" i="4" s="1"/>
  <c r="G345" i="4"/>
  <c r="H345" i="4"/>
  <c r="F361" i="4"/>
  <c r="H361" i="4"/>
  <c r="H364" i="4"/>
  <c r="F364" i="4"/>
  <c r="H366" i="4"/>
  <c r="F366" i="4"/>
  <c r="H358" i="4"/>
  <c r="F358" i="4"/>
  <c r="J375" i="4"/>
  <c r="J373" i="4"/>
  <c r="H360" i="4"/>
  <c r="F360" i="4"/>
  <c r="F371" i="4" s="1"/>
  <c r="H369" i="4"/>
  <c r="F369" i="4"/>
  <c r="H352" i="4"/>
  <c r="H371" i="4" s="1"/>
  <c r="F367" i="4"/>
  <c r="H367" i="4"/>
  <c r="H370" i="4"/>
  <c r="F370" i="4"/>
  <c r="H362" i="4"/>
  <c r="F362" i="4"/>
  <c r="H346" i="4"/>
  <c r="R369" i="1"/>
  <c r="R345" i="1"/>
  <c r="H349" i="2"/>
  <c r="H106" i="2"/>
  <c r="H42" i="2"/>
  <c r="H319" i="2"/>
  <c r="H246" i="2"/>
  <c r="H157" i="2"/>
  <c r="H87" i="2"/>
  <c r="R368" i="1"/>
  <c r="H254" i="2"/>
  <c r="H37" i="2"/>
  <c r="H243" i="2"/>
  <c r="H17" i="2"/>
  <c r="H199" i="2"/>
  <c r="H213" i="2"/>
  <c r="H44" i="2"/>
  <c r="H119" i="2"/>
  <c r="R353" i="1"/>
  <c r="H369" i="2"/>
  <c r="H315" i="2"/>
  <c r="H251" i="2"/>
  <c r="H160" i="2"/>
  <c r="H297" i="2"/>
  <c r="H175" i="2"/>
  <c r="H71" i="2"/>
  <c r="H99" i="2"/>
  <c r="H31" i="2"/>
  <c r="H353" i="2"/>
  <c r="H240" i="2"/>
  <c r="H56" i="2"/>
  <c r="H303" i="2"/>
  <c r="H91" i="2"/>
  <c r="H365" i="3"/>
  <c r="H293" i="2"/>
  <c r="H363" i="3"/>
  <c r="H314" i="2"/>
  <c r="F290" i="2"/>
  <c r="H218" i="2"/>
  <c r="H75" i="2"/>
  <c r="H215" i="2"/>
  <c r="H361" i="3"/>
  <c r="H177" i="2"/>
  <c r="H355" i="3"/>
  <c r="H367" i="2"/>
  <c r="H361" i="2"/>
  <c r="H325" i="2"/>
  <c r="H328" i="2"/>
  <c r="H278" i="2"/>
  <c r="H258" i="2"/>
  <c r="H305" i="2"/>
  <c r="H301" i="2"/>
  <c r="E7" i="1"/>
  <c r="G7" i="1" s="1"/>
  <c r="E11" i="1"/>
  <c r="G11" i="1" s="1"/>
  <c r="O367" i="1"/>
  <c r="O363" i="1"/>
  <c r="O359" i="1"/>
  <c r="O351" i="1"/>
  <c r="O347" i="1"/>
  <c r="O343" i="1"/>
  <c r="O335" i="1"/>
  <c r="O331" i="1"/>
  <c r="O327" i="1"/>
  <c r="O319" i="1"/>
  <c r="O315" i="1"/>
  <c r="O311" i="1"/>
  <c r="O303" i="1"/>
  <c r="O299" i="1"/>
  <c r="H349" i="3"/>
  <c r="G349" i="3"/>
  <c r="O371" i="3"/>
  <c r="H354" i="3"/>
  <c r="G371" i="3"/>
  <c r="H357" i="3"/>
  <c r="H358" i="3"/>
  <c r="H367" i="3"/>
  <c r="R371" i="3"/>
  <c r="F140" i="2"/>
  <c r="H140" i="2"/>
  <c r="F219" i="2"/>
  <c r="H219" i="2"/>
  <c r="F252" i="2"/>
  <c r="H252" i="2"/>
  <c r="F284" i="2"/>
  <c r="H284" i="2"/>
  <c r="F36" i="2"/>
  <c r="H36" i="2"/>
  <c r="H224" i="2"/>
  <c r="H208" i="2"/>
  <c r="H58" i="2"/>
  <c r="H88" i="2"/>
  <c r="F184" i="2"/>
  <c r="H131" i="2"/>
  <c r="H192" i="2"/>
  <c r="H57" i="2"/>
  <c r="F84" i="2"/>
  <c r="H84" i="2"/>
  <c r="H9" i="2"/>
  <c r="F9" i="2"/>
  <c r="F166" i="2"/>
  <c r="H166" i="2"/>
  <c r="H137" i="2"/>
  <c r="F137" i="2"/>
  <c r="F70" i="2"/>
  <c r="H70" i="2"/>
  <c r="H23" i="2"/>
  <c r="F23" i="2"/>
  <c r="H7" i="2"/>
  <c r="F7" i="2"/>
  <c r="F94" i="2"/>
  <c r="H94" i="2"/>
  <c r="F124" i="2"/>
  <c r="H124" i="2"/>
  <c r="F162" i="2"/>
  <c r="H162" i="2"/>
  <c r="H169" i="2"/>
  <c r="F169" i="2"/>
  <c r="F118" i="2"/>
  <c r="H118" i="2"/>
  <c r="F148" i="2"/>
  <c r="H148" i="2"/>
  <c r="F193" i="2"/>
  <c r="H193" i="2"/>
  <c r="H238" i="2"/>
  <c r="F238" i="2"/>
  <c r="F264" i="2"/>
  <c r="H264" i="2"/>
  <c r="F256" i="2"/>
  <c r="H256" i="2"/>
  <c r="F223" i="2"/>
  <c r="H223" i="2"/>
  <c r="F304" i="2"/>
  <c r="H304" i="2"/>
  <c r="F312" i="2"/>
  <c r="H312" i="2"/>
  <c r="H277" i="2"/>
  <c r="F277" i="2"/>
  <c r="F182" i="2"/>
  <c r="H182" i="2"/>
  <c r="H73" i="2"/>
  <c r="F73" i="2"/>
  <c r="F86" i="2"/>
  <c r="H86" i="2"/>
  <c r="F108" i="2"/>
  <c r="H108" i="2"/>
  <c r="F116" i="2"/>
  <c r="H116" i="2"/>
  <c r="F207" i="2"/>
  <c r="H207" i="2"/>
  <c r="F248" i="2"/>
  <c r="H248" i="2"/>
  <c r="F292" i="2"/>
  <c r="H292" i="2"/>
  <c r="H299" i="2"/>
  <c r="F299" i="2"/>
  <c r="H309" i="2"/>
  <c r="F309" i="2"/>
  <c r="F76" i="2"/>
  <c r="H76" i="2"/>
  <c r="H334" i="2"/>
  <c r="R371" i="2"/>
  <c r="H318" i="2"/>
  <c r="H302" i="2"/>
  <c r="H229" i="2"/>
  <c r="H149" i="2"/>
  <c r="H85" i="2"/>
  <c r="H210" i="2"/>
  <c r="H261" i="2"/>
  <c r="H206" i="2"/>
  <c r="H313" i="2"/>
  <c r="H249" i="2"/>
  <c r="H155" i="2"/>
  <c r="H43" i="2"/>
  <c r="H276" i="2"/>
  <c r="H135" i="2"/>
  <c r="H65" i="2"/>
  <c r="H239" i="2"/>
  <c r="F100" i="2"/>
  <c r="H100" i="2"/>
  <c r="F68" i="2"/>
  <c r="H68" i="2"/>
  <c r="H153" i="2"/>
  <c r="F153" i="2"/>
  <c r="F150" i="2"/>
  <c r="H150" i="2"/>
  <c r="H198" i="2"/>
  <c r="F198" i="2"/>
  <c r="F92" i="2"/>
  <c r="H92" i="2"/>
  <c r="F132" i="2"/>
  <c r="H132" i="2"/>
  <c r="H226" i="2"/>
  <c r="F226" i="2"/>
  <c r="F231" i="2"/>
  <c r="H231" i="2"/>
  <c r="H279" i="2"/>
  <c r="F279" i="2"/>
  <c r="F322" i="2"/>
  <c r="H322" i="2"/>
  <c r="H289" i="2"/>
  <c r="F289" i="2"/>
  <c r="F272" i="2"/>
  <c r="H272" i="2"/>
  <c r="F280" i="2"/>
  <c r="H280" i="2"/>
  <c r="F174" i="2"/>
  <c r="H174" i="2"/>
  <c r="F46" i="2"/>
  <c r="H46" i="2"/>
  <c r="H25" i="2"/>
  <c r="F25" i="2"/>
  <c r="H181" i="2"/>
  <c r="F181" i="2"/>
  <c r="F102" i="2"/>
  <c r="H102" i="2"/>
  <c r="F268" i="2"/>
  <c r="H268" i="2"/>
  <c r="H212" i="2"/>
  <c r="H209" i="2"/>
  <c r="H98" i="2"/>
  <c r="H66" i="2"/>
  <c r="H40" i="2"/>
  <c r="H18" i="2"/>
  <c r="H273" i="2"/>
  <c r="H194" i="2"/>
  <c r="H167" i="2"/>
  <c r="H147" i="2"/>
  <c r="H19" i="2"/>
  <c r="H145" i="2"/>
  <c r="H121" i="2"/>
  <c r="H111" i="2"/>
  <c r="F54" i="2"/>
  <c r="H54" i="2"/>
  <c r="H105" i="2"/>
  <c r="F105" i="2"/>
  <c r="H188" i="2"/>
  <c r="F188" i="2"/>
  <c r="F142" i="2"/>
  <c r="H142" i="2"/>
  <c r="H257" i="2"/>
  <c r="F257" i="2"/>
  <c r="F260" i="2"/>
  <c r="H260" i="2"/>
  <c r="H267" i="2"/>
  <c r="F267" i="2"/>
  <c r="F235" i="2"/>
  <c r="H235" i="2"/>
  <c r="F316" i="2"/>
  <c r="H316" i="2"/>
  <c r="F300" i="2"/>
  <c r="H300" i="2"/>
  <c r="F296" i="2"/>
  <c r="H296" i="2"/>
  <c r="H311" i="2"/>
  <c r="F311" i="2"/>
  <c r="F60" i="2"/>
  <c r="H60" i="2"/>
  <c r="F11" i="1"/>
  <c r="H11" i="1"/>
  <c r="R357" i="1"/>
  <c r="H350" i="3"/>
  <c r="H359" i="3"/>
  <c r="H351" i="3"/>
  <c r="H360" i="3"/>
  <c r="H352" i="3"/>
  <c r="H368" i="3"/>
  <c r="F368" i="3"/>
  <c r="H366" i="3"/>
  <c r="F366" i="3"/>
  <c r="J375" i="3"/>
  <c r="J373" i="3"/>
  <c r="H364" i="3"/>
  <c r="F364" i="3"/>
  <c r="H362" i="3"/>
  <c r="F362" i="3"/>
  <c r="F371" i="3" s="1"/>
  <c r="O371" i="2"/>
  <c r="P374" i="2" s="1"/>
  <c r="J377" i="2" s="1"/>
  <c r="H365" i="2"/>
  <c r="H335" i="2"/>
  <c r="H351" i="2"/>
  <c r="H344" i="2"/>
  <c r="F344" i="2"/>
  <c r="H368" i="2"/>
  <c r="F368" i="2"/>
  <c r="H346" i="2"/>
  <c r="F346" i="2"/>
  <c r="H354" i="2"/>
  <c r="F354" i="2"/>
  <c r="H362" i="2"/>
  <c r="F362" i="2"/>
  <c r="H370" i="2"/>
  <c r="F370" i="2"/>
  <c r="H329" i="2"/>
  <c r="H339" i="2"/>
  <c r="G339" i="2"/>
  <c r="H355" i="2"/>
  <c r="G355" i="2"/>
  <c r="H341" i="2"/>
  <c r="J375" i="2"/>
  <c r="J373" i="2"/>
  <c r="H360" i="2"/>
  <c r="F360" i="2"/>
  <c r="H340" i="2"/>
  <c r="F340" i="2"/>
  <c r="H348" i="2"/>
  <c r="F348" i="2"/>
  <c r="H356" i="2"/>
  <c r="F356" i="2"/>
  <c r="H364" i="2"/>
  <c r="F364" i="2"/>
  <c r="H323" i="2"/>
  <c r="H333" i="2"/>
  <c r="H352" i="2"/>
  <c r="F352" i="2"/>
  <c r="H357" i="2"/>
  <c r="H342" i="2"/>
  <c r="F342" i="2"/>
  <c r="H350" i="2"/>
  <c r="F350" i="2"/>
  <c r="H358" i="2"/>
  <c r="F358" i="2"/>
  <c r="H366" i="2"/>
  <c r="F366" i="2"/>
  <c r="H337" i="2"/>
  <c r="H321" i="2"/>
  <c r="G347" i="2"/>
  <c r="H347" i="2"/>
  <c r="G363" i="2"/>
  <c r="H363" i="2"/>
  <c r="H327" i="2"/>
  <c r="H331" i="2"/>
  <c r="D7" i="1"/>
  <c r="D10" i="1"/>
  <c r="O370" i="1"/>
  <c r="O366" i="1"/>
  <c r="O362" i="1"/>
  <c r="O358" i="1"/>
  <c r="O354" i="1"/>
  <c r="O350" i="1"/>
  <c r="O346" i="1"/>
  <c r="O342" i="1"/>
  <c r="O338" i="1"/>
  <c r="O334" i="1"/>
  <c r="O330" i="1"/>
  <c r="O326" i="1"/>
  <c r="O322" i="1"/>
  <c r="O318" i="1"/>
  <c r="O314" i="1"/>
  <c r="O310" i="1"/>
  <c r="O306" i="1"/>
  <c r="O302" i="1"/>
  <c r="O298" i="1"/>
  <c r="O294" i="1"/>
  <c r="O290" i="1"/>
  <c r="O286" i="1"/>
  <c r="O282" i="1"/>
  <c r="O278" i="1"/>
  <c r="O274" i="1"/>
  <c r="O270" i="1"/>
  <c r="O266" i="1"/>
  <c r="O262" i="1"/>
  <c r="O258" i="1"/>
  <c r="O254" i="1"/>
  <c r="O250" i="1"/>
  <c r="O246" i="1"/>
  <c r="O242" i="1"/>
  <c r="O238" i="1"/>
  <c r="O234" i="1"/>
  <c r="O230" i="1"/>
  <c r="O226" i="1"/>
  <c r="O222" i="1"/>
  <c r="O218" i="1"/>
  <c r="O214" i="1"/>
  <c r="O210" i="1"/>
  <c r="O206" i="1"/>
  <c r="O202" i="1"/>
  <c r="O198" i="1"/>
  <c r="O194" i="1"/>
  <c r="O190" i="1"/>
  <c r="O186" i="1"/>
  <c r="O182" i="1"/>
  <c r="O178" i="1"/>
  <c r="O174" i="1"/>
  <c r="O170" i="1"/>
  <c r="O166" i="1"/>
  <c r="O162" i="1"/>
  <c r="O158" i="1"/>
  <c r="O154" i="1"/>
  <c r="O150" i="1"/>
  <c r="O146" i="1"/>
  <c r="O142" i="1"/>
  <c r="O138" i="1"/>
  <c r="O134" i="1"/>
  <c r="O130" i="1"/>
  <c r="O126" i="1"/>
  <c r="O122" i="1"/>
  <c r="O118" i="1"/>
  <c r="O114" i="1"/>
  <c r="O110" i="1"/>
  <c r="O106" i="1"/>
  <c r="O102" i="1"/>
  <c r="O98" i="1"/>
  <c r="O94" i="1"/>
  <c r="O90" i="1"/>
  <c r="O86" i="1"/>
  <c r="O82" i="1"/>
  <c r="O78" i="1"/>
  <c r="O74" i="1"/>
  <c r="O70" i="1"/>
  <c r="O66" i="1"/>
  <c r="O62" i="1"/>
  <c r="O58" i="1"/>
  <c r="O54" i="1"/>
  <c r="O50" i="1"/>
  <c r="O46" i="1"/>
  <c r="O42" i="1"/>
  <c r="O38" i="1"/>
  <c r="O34" i="1"/>
  <c r="O30" i="1"/>
  <c r="O26" i="1"/>
  <c r="O22" i="1"/>
  <c r="O18" i="1"/>
  <c r="O14" i="1"/>
  <c r="O9" i="1"/>
  <c r="R370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359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206" i="1"/>
  <c r="R202" i="1"/>
  <c r="R198" i="1"/>
  <c r="R194" i="1"/>
  <c r="R190" i="1"/>
  <c r="R186" i="1"/>
  <c r="R182" i="1"/>
  <c r="R178" i="1"/>
  <c r="R174" i="1"/>
  <c r="R170" i="1"/>
  <c r="R166" i="1"/>
  <c r="R162" i="1"/>
  <c r="R158" i="1"/>
  <c r="R154" i="1"/>
  <c r="R150" i="1"/>
  <c r="R146" i="1"/>
  <c r="R142" i="1"/>
  <c r="R138" i="1"/>
  <c r="R134" i="1"/>
  <c r="R130" i="1"/>
  <c r="R126" i="1"/>
  <c r="R122" i="1"/>
  <c r="R118" i="1"/>
  <c r="R114" i="1"/>
  <c r="R110" i="1"/>
  <c r="R106" i="1"/>
  <c r="R102" i="1"/>
  <c r="R98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9" i="1"/>
  <c r="R332" i="1"/>
  <c r="R324" i="1"/>
  <c r="R300" i="1"/>
  <c r="R292" i="1"/>
  <c r="R268" i="1"/>
  <c r="R260" i="1"/>
  <c r="R236" i="1"/>
  <c r="R228" i="1"/>
  <c r="R204" i="1"/>
  <c r="R196" i="1"/>
  <c r="R172" i="1"/>
  <c r="R164" i="1"/>
  <c r="R140" i="1"/>
  <c r="R132" i="1"/>
  <c r="R108" i="1"/>
  <c r="R100" i="1"/>
  <c r="R76" i="1"/>
  <c r="R68" i="1"/>
  <c r="R44" i="1"/>
  <c r="R36" i="1"/>
  <c r="R12" i="1"/>
  <c r="D354" i="1"/>
  <c r="D178" i="1"/>
  <c r="F178" i="1" s="1"/>
  <c r="D306" i="1"/>
  <c r="F306" i="1" s="1"/>
  <c r="D130" i="1"/>
  <c r="D258" i="1"/>
  <c r="F258" i="1" s="1"/>
  <c r="D98" i="1"/>
  <c r="F98" i="1" s="1"/>
  <c r="D226" i="1"/>
  <c r="F226" i="1" s="1"/>
  <c r="D50" i="1"/>
  <c r="D322" i="1"/>
  <c r="D242" i="1"/>
  <c r="F242" i="1" s="1"/>
  <c r="D162" i="1"/>
  <c r="F162" i="1" s="1"/>
  <c r="D66" i="1"/>
  <c r="F66" i="1" s="1"/>
  <c r="D370" i="1"/>
  <c r="F370" i="1" s="1"/>
  <c r="D290" i="1"/>
  <c r="F290" i="1" s="1"/>
  <c r="D194" i="1"/>
  <c r="D114" i="1"/>
  <c r="F114" i="1" s="1"/>
  <c r="D34" i="1"/>
  <c r="F34" i="1" s="1"/>
  <c r="E318" i="1"/>
  <c r="G318" i="1" s="1"/>
  <c r="E127" i="1"/>
  <c r="G127" i="1" s="1"/>
  <c r="E5" i="1"/>
  <c r="G5" i="1" s="1"/>
  <c r="E343" i="1"/>
  <c r="G343" i="1" s="1"/>
  <c r="E303" i="1"/>
  <c r="G303" i="1" s="1"/>
  <c r="E223" i="1"/>
  <c r="G223" i="1" s="1"/>
  <c r="E95" i="1"/>
  <c r="G95" i="1" s="1"/>
  <c r="K371" i="1"/>
  <c r="J376" i="1" s="1"/>
  <c r="O368" i="1"/>
  <c r="O364" i="1"/>
  <c r="O360" i="1"/>
  <c r="O356" i="1"/>
  <c r="O352" i="1"/>
  <c r="O348" i="1"/>
  <c r="O344" i="1"/>
  <c r="O340" i="1"/>
  <c r="O336" i="1"/>
  <c r="O332" i="1"/>
  <c r="O328" i="1"/>
  <c r="O324" i="1"/>
  <c r="O320" i="1"/>
  <c r="O316" i="1"/>
  <c r="O312" i="1"/>
  <c r="O308" i="1"/>
  <c r="O304" i="1"/>
  <c r="O300" i="1"/>
  <c r="O296" i="1"/>
  <c r="O292" i="1"/>
  <c r="O288" i="1"/>
  <c r="O284" i="1"/>
  <c r="E351" i="1"/>
  <c r="G351" i="1" s="1"/>
  <c r="E335" i="1"/>
  <c r="G335" i="1" s="1"/>
  <c r="E63" i="1"/>
  <c r="G63" i="1" s="1"/>
  <c r="E255" i="1"/>
  <c r="G255" i="1" s="1"/>
  <c r="E367" i="1"/>
  <c r="G367" i="1" s="1"/>
  <c r="E287" i="1"/>
  <c r="G287" i="1" s="1"/>
  <c r="E191" i="1"/>
  <c r="G191" i="1" s="1"/>
  <c r="E359" i="1"/>
  <c r="G359" i="1" s="1"/>
  <c r="E327" i="1"/>
  <c r="G327" i="1" s="1"/>
  <c r="E271" i="1"/>
  <c r="G271" i="1" s="1"/>
  <c r="E159" i="1"/>
  <c r="G159" i="1" s="1"/>
  <c r="E31" i="1"/>
  <c r="G31" i="1" s="1"/>
  <c r="O280" i="1"/>
  <c r="O276" i="1"/>
  <c r="O272" i="1"/>
  <c r="O268" i="1"/>
  <c r="O264" i="1"/>
  <c r="O260" i="1"/>
  <c r="O256" i="1"/>
  <c r="O252" i="1"/>
  <c r="O248" i="1"/>
  <c r="O244" i="1"/>
  <c r="O240" i="1"/>
  <c r="O236" i="1"/>
  <c r="O232" i="1"/>
  <c r="O228" i="1"/>
  <c r="O224" i="1"/>
  <c r="O220" i="1"/>
  <c r="O216" i="1"/>
  <c r="O212" i="1"/>
  <c r="O208" i="1"/>
  <c r="O204" i="1"/>
  <c r="O200" i="1"/>
  <c r="O196" i="1"/>
  <c r="O192" i="1"/>
  <c r="O188" i="1"/>
  <c r="O184" i="1"/>
  <c r="O180" i="1"/>
  <c r="O176" i="1"/>
  <c r="O172" i="1"/>
  <c r="O168" i="1"/>
  <c r="O164" i="1"/>
  <c r="O160" i="1"/>
  <c r="O156" i="1"/>
  <c r="O152" i="1"/>
  <c r="O148" i="1"/>
  <c r="O144" i="1"/>
  <c r="O140" i="1"/>
  <c r="O136" i="1"/>
  <c r="O132" i="1"/>
  <c r="O128" i="1"/>
  <c r="O124" i="1"/>
  <c r="O120" i="1"/>
  <c r="O116" i="1"/>
  <c r="O112" i="1"/>
  <c r="O108" i="1"/>
  <c r="O104" i="1"/>
  <c r="O100" i="1"/>
  <c r="O96" i="1"/>
  <c r="O92" i="1"/>
  <c r="O88" i="1"/>
  <c r="O84" i="1"/>
  <c r="O80" i="1"/>
  <c r="O76" i="1"/>
  <c r="O72" i="1"/>
  <c r="O68" i="1"/>
  <c r="O64" i="1"/>
  <c r="O60" i="1"/>
  <c r="O56" i="1"/>
  <c r="O52" i="1"/>
  <c r="O48" i="1"/>
  <c r="O44" i="1"/>
  <c r="O40" i="1"/>
  <c r="O36" i="1"/>
  <c r="O32" i="1"/>
  <c r="O28" i="1"/>
  <c r="O24" i="1"/>
  <c r="O20" i="1"/>
  <c r="O16" i="1"/>
  <c r="O12" i="1"/>
  <c r="O7" i="1"/>
  <c r="O129" i="1"/>
  <c r="O117" i="1"/>
  <c r="O109" i="1"/>
  <c r="O101" i="1"/>
  <c r="O93" i="1"/>
  <c r="O85" i="1"/>
  <c r="O77" i="1"/>
  <c r="O69" i="1"/>
  <c r="O61" i="1"/>
  <c r="O53" i="1"/>
  <c r="O45" i="1"/>
  <c r="O37" i="1"/>
  <c r="O29" i="1"/>
  <c r="O21" i="1"/>
  <c r="O13" i="1"/>
  <c r="O355" i="1"/>
  <c r="O339" i="1"/>
  <c r="O323" i="1"/>
  <c r="O307" i="1"/>
  <c r="R360" i="1"/>
  <c r="R356" i="1"/>
  <c r="R352" i="1"/>
  <c r="R348" i="1"/>
  <c r="R344" i="1"/>
  <c r="R340" i="1"/>
  <c r="R336" i="1"/>
  <c r="R316" i="1"/>
  <c r="R308" i="1"/>
  <c r="R284" i="1"/>
  <c r="R276" i="1"/>
  <c r="R252" i="1"/>
  <c r="R244" i="1"/>
  <c r="R220" i="1"/>
  <c r="R212" i="1"/>
  <c r="R188" i="1"/>
  <c r="R180" i="1"/>
  <c r="R156" i="1"/>
  <c r="R148" i="1"/>
  <c r="R124" i="1"/>
  <c r="R116" i="1"/>
  <c r="R92" i="1"/>
  <c r="R84" i="1"/>
  <c r="R60" i="1"/>
  <c r="R52" i="1"/>
  <c r="R28" i="1"/>
  <c r="R20" i="1"/>
  <c r="R361" i="1"/>
  <c r="D338" i="1"/>
  <c r="D274" i="1"/>
  <c r="F274" i="1" s="1"/>
  <c r="D210" i="1"/>
  <c r="D146" i="1"/>
  <c r="F146" i="1" s="1"/>
  <c r="D82" i="1"/>
  <c r="D18" i="1"/>
  <c r="F18" i="1" s="1"/>
  <c r="O137" i="1"/>
  <c r="O121" i="1"/>
  <c r="O113" i="1"/>
  <c r="O105" i="1"/>
  <c r="O97" i="1"/>
  <c r="O89" i="1"/>
  <c r="O81" i="1"/>
  <c r="O73" i="1"/>
  <c r="O65" i="1"/>
  <c r="O57" i="1"/>
  <c r="O49" i="1"/>
  <c r="O41" i="1"/>
  <c r="O33" i="1"/>
  <c r="O25" i="1"/>
  <c r="O17" i="1"/>
  <c r="O8" i="1"/>
  <c r="R5" i="1"/>
  <c r="R355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328" i="1"/>
  <c r="R320" i="1"/>
  <c r="R312" i="1"/>
  <c r="R304" i="1"/>
  <c r="R296" i="1"/>
  <c r="R288" i="1"/>
  <c r="R280" i="1"/>
  <c r="R272" i="1"/>
  <c r="R264" i="1"/>
  <c r="R256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7" i="1"/>
  <c r="R287" i="1"/>
  <c r="R283" i="1"/>
  <c r="R279" i="1"/>
  <c r="R275" i="1"/>
  <c r="R271" i="1"/>
  <c r="R267" i="1"/>
  <c r="R263" i="1"/>
  <c r="R259" i="1"/>
  <c r="R255" i="1"/>
  <c r="R251" i="1"/>
  <c r="R247" i="1"/>
  <c r="R243" i="1"/>
  <c r="R239" i="1"/>
  <c r="R235" i="1"/>
  <c r="R231" i="1"/>
  <c r="R227" i="1"/>
  <c r="R223" i="1"/>
  <c r="R219" i="1"/>
  <c r="R215" i="1"/>
  <c r="R211" i="1"/>
  <c r="R207" i="1"/>
  <c r="R203" i="1"/>
  <c r="R199" i="1"/>
  <c r="R195" i="1"/>
  <c r="R191" i="1"/>
  <c r="R187" i="1"/>
  <c r="R183" i="1"/>
  <c r="R179" i="1"/>
  <c r="R175" i="1"/>
  <c r="R171" i="1"/>
  <c r="R167" i="1"/>
  <c r="R163" i="1"/>
  <c r="R159" i="1"/>
  <c r="R155" i="1"/>
  <c r="R151" i="1"/>
  <c r="R147" i="1"/>
  <c r="R143" i="1"/>
  <c r="R139" i="1"/>
  <c r="R135" i="1"/>
  <c r="R131" i="1"/>
  <c r="R127" i="1"/>
  <c r="R123" i="1"/>
  <c r="R119" i="1"/>
  <c r="R115" i="1"/>
  <c r="R111" i="1"/>
  <c r="R107" i="1"/>
  <c r="R103" i="1"/>
  <c r="R99" i="1"/>
  <c r="R95" i="1"/>
  <c r="R91" i="1"/>
  <c r="R87" i="1"/>
  <c r="R83" i="1"/>
  <c r="R79" i="1"/>
  <c r="R75" i="1"/>
  <c r="R71" i="1"/>
  <c r="R67" i="1"/>
  <c r="R63" i="1"/>
  <c r="R59" i="1"/>
  <c r="R55" i="1"/>
  <c r="R51" i="1"/>
  <c r="R47" i="1"/>
  <c r="R43" i="1"/>
  <c r="R39" i="1"/>
  <c r="R35" i="1"/>
  <c r="R31" i="1"/>
  <c r="R27" i="1"/>
  <c r="R23" i="1"/>
  <c r="R19" i="1"/>
  <c r="R15" i="1"/>
  <c r="R10" i="1"/>
  <c r="R6" i="1"/>
  <c r="R362" i="1"/>
  <c r="R358" i="1"/>
  <c r="D366" i="1"/>
  <c r="F366" i="1" s="1"/>
  <c r="D350" i="1"/>
  <c r="F350" i="1" s="1"/>
  <c r="D334" i="1"/>
  <c r="F334" i="1" s="1"/>
  <c r="D318" i="1"/>
  <c r="D302" i="1"/>
  <c r="F302" i="1" s="1"/>
  <c r="D286" i="1"/>
  <c r="F286" i="1" s="1"/>
  <c r="D270" i="1"/>
  <c r="F270" i="1" s="1"/>
  <c r="D254" i="1"/>
  <c r="D238" i="1"/>
  <c r="F238" i="1" s="1"/>
  <c r="D222" i="1"/>
  <c r="F222" i="1" s="1"/>
  <c r="D206" i="1"/>
  <c r="F206" i="1" s="1"/>
  <c r="D190" i="1"/>
  <c r="F190" i="1" s="1"/>
  <c r="D174" i="1"/>
  <c r="F174" i="1" s="1"/>
  <c r="D158" i="1"/>
  <c r="F158" i="1" s="1"/>
  <c r="D142" i="1"/>
  <c r="D126" i="1"/>
  <c r="F126" i="1" s="1"/>
  <c r="D110" i="1"/>
  <c r="F110" i="1" s="1"/>
  <c r="D94" i="1"/>
  <c r="F94" i="1" s="1"/>
  <c r="D78" i="1"/>
  <c r="F78" i="1" s="1"/>
  <c r="D62" i="1"/>
  <c r="D46" i="1"/>
  <c r="D30" i="1"/>
  <c r="F30" i="1" s="1"/>
  <c r="D14" i="1"/>
  <c r="F14" i="1" s="1"/>
  <c r="E363" i="1"/>
  <c r="G363" i="1" s="1"/>
  <c r="E347" i="1"/>
  <c r="G347" i="1" s="1"/>
  <c r="E331" i="1"/>
  <c r="G331" i="1" s="1"/>
  <c r="E311" i="1"/>
  <c r="G311" i="1" s="1"/>
  <c r="E279" i="1"/>
  <c r="G279" i="1" s="1"/>
  <c r="E239" i="1"/>
  <c r="G239" i="1" s="1"/>
  <c r="E175" i="1"/>
  <c r="G175" i="1" s="1"/>
  <c r="E111" i="1"/>
  <c r="G111" i="1" s="1"/>
  <c r="E47" i="1"/>
  <c r="G47" i="1" s="1"/>
  <c r="O5" i="1"/>
  <c r="O295" i="1"/>
  <c r="O291" i="1"/>
  <c r="O287" i="1"/>
  <c r="O283" i="1"/>
  <c r="O279" i="1"/>
  <c r="O275" i="1"/>
  <c r="O271" i="1"/>
  <c r="O267" i="1"/>
  <c r="O263" i="1"/>
  <c r="O259" i="1"/>
  <c r="O255" i="1"/>
  <c r="O251" i="1"/>
  <c r="O247" i="1"/>
  <c r="O243" i="1"/>
  <c r="O239" i="1"/>
  <c r="O235" i="1"/>
  <c r="O231" i="1"/>
  <c r="O227" i="1"/>
  <c r="O223" i="1"/>
  <c r="O219" i="1"/>
  <c r="O215" i="1"/>
  <c r="O211" i="1"/>
  <c r="O207" i="1"/>
  <c r="O203" i="1"/>
  <c r="O199" i="1"/>
  <c r="O195" i="1"/>
  <c r="O191" i="1"/>
  <c r="O187" i="1"/>
  <c r="O183" i="1"/>
  <c r="O179" i="1"/>
  <c r="O175" i="1"/>
  <c r="O171" i="1"/>
  <c r="O167" i="1"/>
  <c r="O163" i="1"/>
  <c r="O159" i="1"/>
  <c r="O155" i="1"/>
  <c r="O151" i="1"/>
  <c r="O147" i="1"/>
  <c r="O143" i="1"/>
  <c r="O139" i="1"/>
  <c r="O135" i="1"/>
  <c r="O131" i="1"/>
  <c r="O127" i="1"/>
  <c r="O123" i="1"/>
  <c r="O119" i="1"/>
  <c r="O115" i="1"/>
  <c r="O111" i="1"/>
  <c r="O107" i="1"/>
  <c r="O103" i="1"/>
  <c r="O99" i="1"/>
  <c r="O95" i="1"/>
  <c r="O91" i="1"/>
  <c r="O87" i="1"/>
  <c r="O83" i="1"/>
  <c r="O79" i="1"/>
  <c r="O75" i="1"/>
  <c r="O71" i="1"/>
  <c r="O67" i="1"/>
  <c r="O63" i="1"/>
  <c r="O59" i="1"/>
  <c r="O55" i="1"/>
  <c r="O51" i="1"/>
  <c r="O47" i="1"/>
  <c r="O43" i="1"/>
  <c r="O39" i="1"/>
  <c r="O35" i="1"/>
  <c r="O31" i="1"/>
  <c r="O27" i="1"/>
  <c r="O23" i="1"/>
  <c r="O19" i="1"/>
  <c r="O15" i="1"/>
  <c r="O10" i="1"/>
  <c r="O6" i="1"/>
  <c r="D362" i="1"/>
  <c r="F362" i="1" s="1"/>
  <c r="D330" i="1"/>
  <c r="F330" i="1" s="1"/>
  <c r="D298" i="1"/>
  <c r="F298" i="1" s="1"/>
  <c r="D266" i="1"/>
  <c r="F266" i="1" s="1"/>
  <c r="D234" i="1"/>
  <c r="F234" i="1" s="1"/>
  <c r="D202" i="1"/>
  <c r="F202" i="1" s="1"/>
  <c r="D170" i="1"/>
  <c r="F170" i="1" s="1"/>
  <c r="D138" i="1"/>
  <c r="F138" i="1" s="1"/>
  <c r="D90" i="1"/>
  <c r="F90" i="1" s="1"/>
  <c r="D26" i="1"/>
  <c r="F26" i="1" s="1"/>
  <c r="D346" i="1"/>
  <c r="F346" i="1" s="1"/>
  <c r="D314" i="1"/>
  <c r="F314" i="1" s="1"/>
  <c r="D282" i="1"/>
  <c r="F282" i="1" s="1"/>
  <c r="D250" i="1"/>
  <c r="F250" i="1" s="1"/>
  <c r="D218" i="1"/>
  <c r="F218" i="1" s="1"/>
  <c r="D186" i="1"/>
  <c r="F186" i="1" s="1"/>
  <c r="D154" i="1"/>
  <c r="F154" i="1" s="1"/>
  <c r="D122" i="1"/>
  <c r="F122" i="1" s="1"/>
  <c r="D106" i="1"/>
  <c r="F106" i="1" s="1"/>
  <c r="D74" i="1"/>
  <c r="F74" i="1" s="1"/>
  <c r="D58" i="1"/>
  <c r="F58" i="1" s="1"/>
  <c r="D42" i="1"/>
  <c r="F42" i="1" s="1"/>
  <c r="D9" i="1"/>
  <c r="F9" i="1" s="1"/>
  <c r="D358" i="1"/>
  <c r="F358" i="1" s="1"/>
  <c r="D342" i="1"/>
  <c r="F342" i="1" s="1"/>
  <c r="D326" i="1"/>
  <c r="D310" i="1"/>
  <c r="F310" i="1" s="1"/>
  <c r="D294" i="1"/>
  <c r="F294" i="1" s="1"/>
  <c r="D278" i="1"/>
  <c r="F278" i="1" s="1"/>
  <c r="D262" i="1"/>
  <c r="F262" i="1" s="1"/>
  <c r="D246" i="1"/>
  <c r="F246" i="1" s="1"/>
  <c r="D230" i="1"/>
  <c r="F230" i="1" s="1"/>
  <c r="D214" i="1"/>
  <c r="D198" i="1"/>
  <c r="F198" i="1" s="1"/>
  <c r="D182" i="1"/>
  <c r="F182" i="1" s="1"/>
  <c r="D166" i="1"/>
  <c r="F166" i="1" s="1"/>
  <c r="D150" i="1"/>
  <c r="D134" i="1"/>
  <c r="F134" i="1" s="1"/>
  <c r="D118" i="1"/>
  <c r="F118" i="1" s="1"/>
  <c r="D102" i="1"/>
  <c r="F102" i="1" s="1"/>
  <c r="D86" i="1"/>
  <c r="F86" i="1" s="1"/>
  <c r="D70" i="1"/>
  <c r="F70" i="1" s="1"/>
  <c r="D54" i="1"/>
  <c r="F54" i="1" s="1"/>
  <c r="D38" i="1"/>
  <c r="F38" i="1" s="1"/>
  <c r="D22" i="1"/>
  <c r="F22" i="1" s="1"/>
  <c r="D6" i="1"/>
  <c r="F6" i="1" s="1"/>
  <c r="E355" i="1"/>
  <c r="G355" i="1" s="1"/>
  <c r="E339" i="1"/>
  <c r="G339" i="1" s="1"/>
  <c r="E323" i="1"/>
  <c r="G323" i="1" s="1"/>
  <c r="E295" i="1"/>
  <c r="G295" i="1" s="1"/>
  <c r="E263" i="1"/>
  <c r="G263" i="1" s="1"/>
  <c r="E207" i="1"/>
  <c r="G207" i="1" s="1"/>
  <c r="E143" i="1"/>
  <c r="G143" i="1" s="1"/>
  <c r="E79" i="1"/>
  <c r="G79" i="1" s="1"/>
  <c r="E15" i="1"/>
  <c r="G15" i="1" s="1"/>
  <c r="O369" i="1"/>
  <c r="O365" i="1"/>
  <c r="O361" i="1"/>
  <c r="O357" i="1"/>
  <c r="O353" i="1"/>
  <c r="O349" i="1"/>
  <c r="O345" i="1"/>
  <c r="O341" i="1"/>
  <c r="O337" i="1"/>
  <c r="O333" i="1"/>
  <c r="O329" i="1"/>
  <c r="O325" i="1"/>
  <c r="O321" i="1"/>
  <c r="O317" i="1"/>
  <c r="O313" i="1"/>
  <c r="O309" i="1"/>
  <c r="O305" i="1"/>
  <c r="O301" i="1"/>
  <c r="O297" i="1"/>
  <c r="O293" i="1"/>
  <c r="O289" i="1"/>
  <c r="O285" i="1"/>
  <c r="O281" i="1"/>
  <c r="O277" i="1"/>
  <c r="O273" i="1"/>
  <c r="O269" i="1"/>
  <c r="O265" i="1"/>
  <c r="O261" i="1"/>
  <c r="O257" i="1"/>
  <c r="O253" i="1"/>
  <c r="O249" i="1"/>
  <c r="O245" i="1"/>
  <c r="O241" i="1"/>
  <c r="O237" i="1"/>
  <c r="O233" i="1"/>
  <c r="O229" i="1"/>
  <c r="O225" i="1"/>
  <c r="O221" i="1"/>
  <c r="O217" i="1"/>
  <c r="O213" i="1"/>
  <c r="O209" i="1"/>
  <c r="O205" i="1"/>
  <c r="O201" i="1"/>
  <c r="O197" i="1"/>
  <c r="O193" i="1"/>
  <c r="O189" i="1"/>
  <c r="O185" i="1"/>
  <c r="O181" i="1"/>
  <c r="O177" i="1"/>
  <c r="O173" i="1"/>
  <c r="O169" i="1"/>
  <c r="O165" i="1"/>
  <c r="O161" i="1"/>
  <c r="O157" i="1"/>
  <c r="O153" i="1"/>
  <c r="O149" i="1"/>
  <c r="O145" i="1"/>
  <c r="O141" i="1"/>
  <c r="O133" i="1"/>
  <c r="O125" i="1"/>
  <c r="R341" i="1"/>
  <c r="R337" i="1"/>
  <c r="R333" i="1"/>
  <c r="R329" i="1"/>
  <c r="R325" i="1"/>
  <c r="R321" i="1"/>
  <c r="R317" i="1"/>
  <c r="R313" i="1"/>
  <c r="R309" i="1"/>
  <c r="R305" i="1"/>
  <c r="R301" i="1"/>
  <c r="R297" i="1"/>
  <c r="R293" i="1"/>
  <c r="R289" i="1"/>
  <c r="R285" i="1"/>
  <c r="R281" i="1"/>
  <c r="R277" i="1"/>
  <c r="R273" i="1"/>
  <c r="R269" i="1"/>
  <c r="R265" i="1"/>
  <c r="R261" i="1"/>
  <c r="R257" i="1"/>
  <c r="R253" i="1"/>
  <c r="R249" i="1"/>
  <c r="R245" i="1"/>
  <c r="R241" i="1"/>
  <c r="R237" i="1"/>
  <c r="R233" i="1"/>
  <c r="R229" i="1"/>
  <c r="R225" i="1"/>
  <c r="R221" i="1"/>
  <c r="R217" i="1"/>
  <c r="R213" i="1"/>
  <c r="R209" i="1"/>
  <c r="R205" i="1"/>
  <c r="R201" i="1"/>
  <c r="R197" i="1"/>
  <c r="R193" i="1"/>
  <c r="R189" i="1"/>
  <c r="R185" i="1"/>
  <c r="R181" i="1"/>
  <c r="R177" i="1"/>
  <c r="R173" i="1"/>
  <c r="R169" i="1"/>
  <c r="R165" i="1"/>
  <c r="R161" i="1"/>
  <c r="R157" i="1"/>
  <c r="R153" i="1"/>
  <c r="R149" i="1"/>
  <c r="R145" i="1"/>
  <c r="R141" i="1"/>
  <c r="R137" i="1"/>
  <c r="R133" i="1"/>
  <c r="R129" i="1"/>
  <c r="R125" i="1"/>
  <c r="R121" i="1"/>
  <c r="R117" i="1"/>
  <c r="R113" i="1"/>
  <c r="R109" i="1"/>
  <c r="R105" i="1"/>
  <c r="R101" i="1"/>
  <c r="R97" i="1"/>
  <c r="R93" i="1"/>
  <c r="R89" i="1"/>
  <c r="R85" i="1"/>
  <c r="R81" i="1"/>
  <c r="R77" i="1"/>
  <c r="R73" i="1"/>
  <c r="R69" i="1"/>
  <c r="R65" i="1"/>
  <c r="R61" i="1"/>
  <c r="R57" i="1"/>
  <c r="R53" i="1"/>
  <c r="R49" i="1"/>
  <c r="R45" i="1"/>
  <c r="R41" i="1"/>
  <c r="R37" i="1"/>
  <c r="R33" i="1"/>
  <c r="R29" i="1"/>
  <c r="R25" i="1"/>
  <c r="R21" i="1"/>
  <c r="R17" i="1"/>
  <c r="R13" i="1"/>
  <c r="R8" i="1"/>
  <c r="H7" i="1"/>
  <c r="F7" i="1"/>
  <c r="F354" i="1"/>
  <c r="F142" i="1"/>
  <c r="F130" i="1"/>
  <c r="F46" i="1"/>
  <c r="D369" i="1"/>
  <c r="D365" i="1"/>
  <c r="D361" i="1"/>
  <c r="D357" i="1"/>
  <c r="D353" i="1"/>
  <c r="D349" i="1"/>
  <c r="D345" i="1"/>
  <c r="D341" i="1"/>
  <c r="D337" i="1"/>
  <c r="D333" i="1"/>
  <c r="D329" i="1"/>
  <c r="D325" i="1"/>
  <c r="D321" i="1"/>
  <c r="D317" i="1"/>
  <c r="D313" i="1"/>
  <c r="D309" i="1"/>
  <c r="D305" i="1"/>
  <c r="D301" i="1"/>
  <c r="D297" i="1"/>
  <c r="D293" i="1"/>
  <c r="D289" i="1"/>
  <c r="D285" i="1"/>
  <c r="D281" i="1"/>
  <c r="D277" i="1"/>
  <c r="D273" i="1"/>
  <c r="D269" i="1"/>
  <c r="D265" i="1"/>
  <c r="D261" i="1"/>
  <c r="D257" i="1"/>
  <c r="D253" i="1"/>
  <c r="D249" i="1"/>
  <c r="D245" i="1"/>
  <c r="D241" i="1"/>
  <c r="D237" i="1"/>
  <c r="D233" i="1"/>
  <c r="D229" i="1"/>
  <c r="D225" i="1"/>
  <c r="D221" i="1"/>
  <c r="D217" i="1"/>
  <c r="D213" i="1"/>
  <c r="D209" i="1"/>
  <c r="D205" i="1"/>
  <c r="D201" i="1"/>
  <c r="D197" i="1"/>
  <c r="D193" i="1"/>
  <c r="D189" i="1"/>
  <c r="D185" i="1"/>
  <c r="D181" i="1"/>
  <c r="D177" i="1"/>
  <c r="D173" i="1"/>
  <c r="D169" i="1"/>
  <c r="D165" i="1"/>
  <c r="D161" i="1"/>
  <c r="D157" i="1"/>
  <c r="D153" i="1"/>
  <c r="D149" i="1"/>
  <c r="D145" i="1"/>
  <c r="D141" i="1"/>
  <c r="D137" i="1"/>
  <c r="D133" i="1"/>
  <c r="D129" i="1"/>
  <c r="D125" i="1"/>
  <c r="D121" i="1"/>
  <c r="D117" i="1"/>
  <c r="D113" i="1"/>
  <c r="D109" i="1"/>
  <c r="D105" i="1"/>
  <c r="D101" i="1"/>
  <c r="D97" i="1"/>
  <c r="D93" i="1"/>
  <c r="D89" i="1"/>
  <c r="D85" i="1"/>
  <c r="D81" i="1"/>
  <c r="D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E370" i="1"/>
  <c r="G370" i="1" s="1"/>
  <c r="E366" i="1"/>
  <c r="G366" i="1" s="1"/>
  <c r="E362" i="1"/>
  <c r="G362" i="1" s="1"/>
  <c r="E358" i="1"/>
  <c r="G358" i="1" s="1"/>
  <c r="E354" i="1"/>
  <c r="G354" i="1" s="1"/>
  <c r="E350" i="1"/>
  <c r="G350" i="1" s="1"/>
  <c r="E346" i="1"/>
  <c r="G346" i="1" s="1"/>
  <c r="E342" i="1"/>
  <c r="G342" i="1" s="1"/>
  <c r="E338" i="1"/>
  <c r="G338" i="1" s="1"/>
  <c r="E334" i="1"/>
  <c r="G334" i="1" s="1"/>
  <c r="E330" i="1"/>
  <c r="G330" i="1" s="1"/>
  <c r="E326" i="1"/>
  <c r="G326" i="1" s="1"/>
  <c r="E322" i="1"/>
  <c r="G322" i="1" s="1"/>
  <c r="E317" i="1"/>
  <c r="G317" i="1" s="1"/>
  <c r="E309" i="1"/>
  <c r="G309" i="1" s="1"/>
  <c r="E301" i="1"/>
  <c r="G301" i="1" s="1"/>
  <c r="E293" i="1"/>
  <c r="G293" i="1" s="1"/>
  <c r="E285" i="1"/>
  <c r="G285" i="1" s="1"/>
  <c r="E277" i="1"/>
  <c r="G277" i="1" s="1"/>
  <c r="E269" i="1"/>
  <c r="G269" i="1" s="1"/>
  <c r="E261" i="1"/>
  <c r="G261" i="1" s="1"/>
  <c r="E251" i="1"/>
  <c r="G251" i="1" s="1"/>
  <c r="E235" i="1"/>
  <c r="G235" i="1" s="1"/>
  <c r="E219" i="1"/>
  <c r="G219" i="1" s="1"/>
  <c r="E203" i="1"/>
  <c r="G203" i="1" s="1"/>
  <c r="E187" i="1"/>
  <c r="G187" i="1" s="1"/>
  <c r="E171" i="1"/>
  <c r="G171" i="1" s="1"/>
  <c r="E155" i="1"/>
  <c r="G155" i="1" s="1"/>
  <c r="E139" i="1"/>
  <c r="G139" i="1" s="1"/>
  <c r="E123" i="1"/>
  <c r="G123" i="1" s="1"/>
  <c r="E107" i="1"/>
  <c r="G107" i="1" s="1"/>
  <c r="E91" i="1"/>
  <c r="G91" i="1" s="1"/>
  <c r="E75" i="1"/>
  <c r="G75" i="1" s="1"/>
  <c r="E59" i="1"/>
  <c r="G59" i="1" s="1"/>
  <c r="E43" i="1"/>
  <c r="G43" i="1" s="1"/>
  <c r="E27" i="1"/>
  <c r="G27" i="1" s="1"/>
  <c r="E10" i="1"/>
  <c r="G10" i="1" s="1"/>
  <c r="F322" i="1"/>
  <c r="F82" i="1"/>
  <c r="F50" i="1"/>
  <c r="D368" i="1"/>
  <c r="D364" i="1"/>
  <c r="D360" i="1"/>
  <c r="D356" i="1"/>
  <c r="D352" i="1"/>
  <c r="D348" i="1"/>
  <c r="D344" i="1"/>
  <c r="D340" i="1"/>
  <c r="D336" i="1"/>
  <c r="D332" i="1"/>
  <c r="D328" i="1"/>
  <c r="D324" i="1"/>
  <c r="D320" i="1"/>
  <c r="D316" i="1"/>
  <c r="D312" i="1"/>
  <c r="D308" i="1"/>
  <c r="D304" i="1"/>
  <c r="D300" i="1"/>
  <c r="D296" i="1"/>
  <c r="D292" i="1"/>
  <c r="D288" i="1"/>
  <c r="D284" i="1"/>
  <c r="D280" i="1"/>
  <c r="D276" i="1"/>
  <c r="D272" i="1"/>
  <c r="D268" i="1"/>
  <c r="D264" i="1"/>
  <c r="D260" i="1"/>
  <c r="D256" i="1"/>
  <c r="D252" i="1"/>
  <c r="D248" i="1"/>
  <c r="D244" i="1"/>
  <c r="D240" i="1"/>
  <c r="D236" i="1"/>
  <c r="D232" i="1"/>
  <c r="D228" i="1"/>
  <c r="D224" i="1"/>
  <c r="D220" i="1"/>
  <c r="D216" i="1"/>
  <c r="D212" i="1"/>
  <c r="D208" i="1"/>
  <c r="D204" i="1"/>
  <c r="D200" i="1"/>
  <c r="D196" i="1"/>
  <c r="D192" i="1"/>
  <c r="D188" i="1"/>
  <c r="D184" i="1"/>
  <c r="D180" i="1"/>
  <c r="D176" i="1"/>
  <c r="D172" i="1"/>
  <c r="D168" i="1"/>
  <c r="D164" i="1"/>
  <c r="D160" i="1"/>
  <c r="D156" i="1"/>
  <c r="D152" i="1"/>
  <c r="D148" i="1"/>
  <c r="D144" i="1"/>
  <c r="D140" i="1"/>
  <c r="D136" i="1"/>
  <c r="D132" i="1"/>
  <c r="D128" i="1"/>
  <c r="D124" i="1"/>
  <c r="D120" i="1"/>
  <c r="D116" i="1"/>
  <c r="D112" i="1"/>
  <c r="D108" i="1"/>
  <c r="D104" i="1"/>
  <c r="D100" i="1"/>
  <c r="D96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32" i="1"/>
  <c r="D28" i="1"/>
  <c r="D24" i="1"/>
  <c r="D20" i="1"/>
  <c r="D16" i="1"/>
  <c r="D12" i="1"/>
  <c r="D8" i="1"/>
  <c r="E369" i="1"/>
  <c r="G369" i="1" s="1"/>
  <c r="E365" i="1"/>
  <c r="G365" i="1" s="1"/>
  <c r="E361" i="1"/>
  <c r="G361" i="1" s="1"/>
  <c r="E357" i="1"/>
  <c r="G357" i="1" s="1"/>
  <c r="E353" i="1"/>
  <c r="G353" i="1" s="1"/>
  <c r="E349" i="1"/>
  <c r="G349" i="1" s="1"/>
  <c r="E345" i="1"/>
  <c r="G345" i="1" s="1"/>
  <c r="E341" i="1"/>
  <c r="G341" i="1" s="1"/>
  <c r="E337" i="1"/>
  <c r="G337" i="1" s="1"/>
  <c r="E333" i="1"/>
  <c r="G333" i="1" s="1"/>
  <c r="E329" i="1"/>
  <c r="G329" i="1" s="1"/>
  <c r="E325" i="1"/>
  <c r="G325" i="1" s="1"/>
  <c r="E321" i="1"/>
  <c r="G321" i="1" s="1"/>
  <c r="E315" i="1"/>
  <c r="G315" i="1" s="1"/>
  <c r="E307" i="1"/>
  <c r="G307" i="1" s="1"/>
  <c r="E299" i="1"/>
  <c r="G299" i="1" s="1"/>
  <c r="E291" i="1"/>
  <c r="G291" i="1" s="1"/>
  <c r="E283" i="1"/>
  <c r="G283" i="1" s="1"/>
  <c r="E275" i="1"/>
  <c r="G275" i="1" s="1"/>
  <c r="E267" i="1"/>
  <c r="G267" i="1" s="1"/>
  <c r="E259" i="1"/>
  <c r="G259" i="1" s="1"/>
  <c r="E247" i="1"/>
  <c r="G247" i="1" s="1"/>
  <c r="E231" i="1"/>
  <c r="G231" i="1" s="1"/>
  <c r="E215" i="1"/>
  <c r="G215" i="1" s="1"/>
  <c r="E199" i="1"/>
  <c r="G199" i="1" s="1"/>
  <c r="E183" i="1"/>
  <c r="G183" i="1" s="1"/>
  <c r="E167" i="1"/>
  <c r="G167" i="1" s="1"/>
  <c r="E151" i="1"/>
  <c r="G151" i="1" s="1"/>
  <c r="E135" i="1"/>
  <c r="G135" i="1" s="1"/>
  <c r="E119" i="1"/>
  <c r="G119" i="1" s="1"/>
  <c r="E103" i="1"/>
  <c r="G103" i="1" s="1"/>
  <c r="E87" i="1"/>
  <c r="G87" i="1" s="1"/>
  <c r="E71" i="1"/>
  <c r="G71" i="1" s="1"/>
  <c r="E55" i="1"/>
  <c r="G55" i="1" s="1"/>
  <c r="E39" i="1"/>
  <c r="G39" i="1" s="1"/>
  <c r="E23" i="1"/>
  <c r="G23" i="1" s="1"/>
  <c r="F338" i="1"/>
  <c r="F210" i="1"/>
  <c r="F194" i="1"/>
  <c r="D5" i="1"/>
  <c r="H5" i="1" s="1"/>
  <c r="E8" i="1"/>
  <c r="G8" i="1" s="1"/>
  <c r="E12" i="1"/>
  <c r="G12" i="1" s="1"/>
  <c r="E16" i="1"/>
  <c r="G16" i="1" s="1"/>
  <c r="E20" i="1"/>
  <c r="G20" i="1" s="1"/>
  <c r="E24" i="1"/>
  <c r="G24" i="1" s="1"/>
  <c r="E28" i="1"/>
  <c r="G28" i="1" s="1"/>
  <c r="E32" i="1"/>
  <c r="G32" i="1" s="1"/>
  <c r="E36" i="1"/>
  <c r="G36" i="1" s="1"/>
  <c r="E40" i="1"/>
  <c r="G40" i="1" s="1"/>
  <c r="E44" i="1"/>
  <c r="G44" i="1" s="1"/>
  <c r="E48" i="1"/>
  <c r="G48" i="1" s="1"/>
  <c r="E52" i="1"/>
  <c r="G52" i="1" s="1"/>
  <c r="E56" i="1"/>
  <c r="G56" i="1" s="1"/>
  <c r="E60" i="1"/>
  <c r="G60" i="1" s="1"/>
  <c r="E64" i="1"/>
  <c r="G64" i="1" s="1"/>
  <c r="E68" i="1"/>
  <c r="G68" i="1" s="1"/>
  <c r="E72" i="1"/>
  <c r="G72" i="1" s="1"/>
  <c r="E76" i="1"/>
  <c r="G76" i="1" s="1"/>
  <c r="E80" i="1"/>
  <c r="G80" i="1" s="1"/>
  <c r="E84" i="1"/>
  <c r="G84" i="1" s="1"/>
  <c r="E88" i="1"/>
  <c r="G88" i="1" s="1"/>
  <c r="E92" i="1"/>
  <c r="G92" i="1" s="1"/>
  <c r="E96" i="1"/>
  <c r="G96" i="1" s="1"/>
  <c r="E100" i="1"/>
  <c r="G100" i="1" s="1"/>
  <c r="E104" i="1"/>
  <c r="G104" i="1" s="1"/>
  <c r="E108" i="1"/>
  <c r="G108" i="1" s="1"/>
  <c r="E112" i="1"/>
  <c r="G112" i="1" s="1"/>
  <c r="E116" i="1"/>
  <c r="G116" i="1" s="1"/>
  <c r="E120" i="1"/>
  <c r="G120" i="1" s="1"/>
  <c r="E124" i="1"/>
  <c r="G124" i="1" s="1"/>
  <c r="E128" i="1"/>
  <c r="G128" i="1" s="1"/>
  <c r="E132" i="1"/>
  <c r="G132" i="1" s="1"/>
  <c r="E136" i="1"/>
  <c r="G136" i="1" s="1"/>
  <c r="E140" i="1"/>
  <c r="G140" i="1" s="1"/>
  <c r="E144" i="1"/>
  <c r="G144" i="1" s="1"/>
  <c r="E148" i="1"/>
  <c r="G148" i="1" s="1"/>
  <c r="E152" i="1"/>
  <c r="G152" i="1" s="1"/>
  <c r="E156" i="1"/>
  <c r="G156" i="1" s="1"/>
  <c r="E160" i="1"/>
  <c r="G160" i="1" s="1"/>
  <c r="E164" i="1"/>
  <c r="G164" i="1" s="1"/>
  <c r="E168" i="1"/>
  <c r="G168" i="1" s="1"/>
  <c r="E172" i="1"/>
  <c r="G172" i="1" s="1"/>
  <c r="E176" i="1"/>
  <c r="G176" i="1" s="1"/>
  <c r="E180" i="1"/>
  <c r="G180" i="1" s="1"/>
  <c r="E184" i="1"/>
  <c r="G184" i="1" s="1"/>
  <c r="E188" i="1"/>
  <c r="G188" i="1" s="1"/>
  <c r="E192" i="1"/>
  <c r="G192" i="1" s="1"/>
  <c r="E196" i="1"/>
  <c r="G196" i="1" s="1"/>
  <c r="E200" i="1"/>
  <c r="G200" i="1" s="1"/>
  <c r="E204" i="1"/>
  <c r="G204" i="1" s="1"/>
  <c r="E208" i="1"/>
  <c r="G208" i="1" s="1"/>
  <c r="E212" i="1"/>
  <c r="G212" i="1" s="1"/>
  <c r="E216" i="1"/>
  <c r="G216" i="1" s="1"/>
  <c r="E220" i="1"/>
  <c r="G220" i="1" s="1"/>
  <c r="E224" i="1"/>
  <c r="G224" i="1" s="1"/>
  <c r="E228" i="1"/>
  <c r="G228" i="1" s="1"/>
  <c r="E232" i="1"/>
  <c r="G232" i="1" s="1"/>
  <c r="E236" i="1"/>
  <c r="G236" i="1" s="1"/>
  <c r="E240" i="1"/>
  <c r="G240" i="1" s="1"/>
  <c r="E244" i="1"/>
  <c r="G244" i="1" s="1"/>
  <c r="E248" i="1"/>
  <c r="G248" i="1" s="1"/>
  <c r="E252" i="1"/>
  <c r="G252" i="1" s="1"/>
  <c r="E256" i="1"/>
  <c r="G256" i="1" s="1"/>
  <c r="E260" i="1"/>
  <c r="G260" i="1" s="1"/>
  <c r="E264" i="1"/>
  <c r="G264" i="1" s="1"/>
  <c r="E268" i="1"/>
  <c r="G268" i="1" s="1"/>
  <c r="E272" i="1"/>
  <c r="G272" i="1" s="1"/>
  <c r="E276" i="1"/>
  <c r="G276" i="1" s="1"/>
  <c r="E280" i="1"/>
  <c r="G280" i="1" s="1"/>
  <c r="E284" i="1"/>
  <c r="G284" i="1" s="1"/>
  <c r="E288" i="1"/>
  <c r="G288" i="1" s="1"/>
  <c r="E292" i="1"/>
  <c r="G292" i="1" s="1"/>
  <c r="E296" i="1"/>
  <c r="G296" i="1" s="1"/>
  <c r="E300" i="1"/>
  <c r="G300" i="1" s="1"/>
  <c r="E304" i="1"/>
  <c r="G304" i="1" s="1"/>
  <c r="E308" i="1"/>
  <c r="G308" i="1" s="1"/>
  <c r="E312" i="1"/>
  <c r="G312" i="1" s="1"/>
  <c r="E316" i="1"/>
  <c r="G316" i="1" s="1"/>
  <c r="E320" i="1"/>
  <c r="G320" i="1" s="1"/>
  <c r="E13" i="1"/>
  <c r="G13" i="1" s="1"/>
  <c r="E17" i="1"/>
  <c r="G17" i="1" s="1"/>
  <c r="E21" i="1"/>
  <c r="G21" i="1" s="1"/>
  <c r="E25" i="1"/>
  <c r="G25" i="1" s="1"/>
  <c r="E29" i="1"/>
  <c r="G29" i="1" s="1"/>
  <c r="E33" i="1"/>
  <c r="G33" i="1" s="1"/>
  <c r="E37" i="1"/>
  <c r="G37" i="1" s="1"/>
  <c r="E41" i="1"/>
  <c r="G41" i="1" s="1"/>
  <c r="E45" i="1"/>
  <c r="G45" i="1" s="1"/>
  <c r="E49" i="1"/>
  <c r="G49" i="1" s="1"/>
  <c r="E53" i="1"/>
  <c r="G53" i="1" s="1"/>
  <c r="E57" i="1"/>
  <c r="G57" i="1" s="1"/>
  <c r="E61" i="1"/>
  <c r="G61" i="1" s="1"/>
  <c r="E65" i="1"/>
  <c r="G65" i="1" s="1"/>
  <c r="E69" i="1"/>
  <c r="G69" i="1" s="1"/>
  <c r="E73" i="1"/>
  <c r="G73" i="1" s="1"/>
  <c r="E77" i="1"/>
  <c r="G77" i="1" s="1"/>
  <c r="E81" i="1"/>
  <c r="G81" i="1" s="1"/>
  <c r="E85" i="1"/>
  <c r="G85" i="1" s="1"/>
  <c r="E89" i="1"/>
  <c r="G89" i="1" s="1"/>
  <c r="E93" i="1"/>
  <c r="G93" i="1" s="1"/>
  <c r="E97" i="1"/>
  <c r="G97" i="1" s="1"/>
  <c r="E101" i="1"/>
  <c r="G101" i="1" s="1"/>
  <c r="E105" i="1"/>
  <c r="G105" i="1" s="1"/>
  <c r="E109" i="1"/>
  <c r="G109" i="1" s="1"/>
  <c r="E113" i="1"/>
  <c r="G113" i="1" s="1"/>
  <c r="E117" i="1"/>
  <c r="G117" i="1" s="1"/>
  <c r="E121" i="1"/>
  <c r="G121" i="1" s="1"/>
  <c r="E125" i="1"/>
  <c r="G125" i="1" s="1"/>
  <c r="E129" i="1"/>
  <c r="G129" i="1" s="1"/>
  <c r="E133" i="1"/>
  <c r="G133" i="1" s="1"/>
  <c r="E137" i="1"/>
  <c r="G137" i="1" s="1"/>
  <c r="E141" i="1"/>
  <c r="G141" i="1" s="1"/>
  <c r="E145" i="1"/>
  <c r="G145" i="1" s="1"/>
  <c r="E149" i="1"/>
  <c r="G149" i="1" s="1"/>
  <c r="E153" i="1"/>
  <c r="G153" i="1" s="1"/>
  <c r="E157" i="1"/>
  <c r="G157" i="1" s="1"/>
  <c r="E161" i="1"/>
  <c r="G161" i="1" s="1"/>
  <c r="E165" i="1"/>
  <c r="G165" i="1" s="1"/>
  <c r="E169" i="1"/>
  <c r="G169" i="1" s="1"/>
  <c r="E173" i="1"/>
  <c r="G173" i="1" s="1"/>
  <c r="E177" i="1"/>
  <c r="G177" i="1" s="1"/>
  <c r="E181" i="1"/>
  <c r="G181" i="1" s="1"/>
  <c r="E185" i="1"/>
  <c r="G185" i="1" s="1"/>
  <c r="E189" i="1"/>
  <c r="G189" i="1" s="1"/>
  <c r="E193" i="1"/>
  <c r="G193" i="1" s="1"/>
  <c r="E197" i="1"/>
  <c r="G197" i="1" s="1"/>
  <c r="E201" i="1"/>
  <c r="G201" i="1" s="1"/>
  <c r="E205" i="1"/>
  <c r="G205" i="1" s="1"/>
  <c r="E209" i="1"/>
  <c r="G209" i="1" s="1"/>
  <c r="E213" i="1"/>
  <c r="G213" i="1" s="1"/>
  <c r="E217" i="1"/>
  <c r="G217" i="1" s="1"/>
  <c r="E221" i="1"/>
  <c r="G221" i="1" s="1"/>
  <c r="E225" i="1"/>
  <c r="G225" i="1" s="1"/>
  <c r="E229" i="1"/>
  <c r="G229" i="1" s="1"/>
  <c r="E233" i="1"/>
  <c r="G233" i="1" s="1"/>
  <c r="E237" i="1"/>
  <c r="G237" i="1" s="1"/>
  <c r="E241" i="1"/>
  <c r="G241" i="1" s="1"/>
  <c r="E245" i="1"/>
  <c r="G245" i="1" s="1"/>
  <c r="E249" i="1"/>
  <c r="G249" i="1" s="1"/>
  <c r="E253" i="1"/>
  <c r="G253" i="1" s="1"/>
  <c r="E6" i="1"/>
  <c r="G6" i="1" s="1"/>
  <c r="E9" i="1"/>
  <c r="G9" i="1" s="1"/>
  <c r="E14" i="1"/>
  <c r="G14" i="1" s="1"/>
  <c r="E18" i="1"/>
  <c r="G18" i="1" s="1"/>
  <c r="E22" i="1"/>
  <c r="G22" i="1" s="1"/>
  <c r="E26" i="1"/>
  <c r="G26" i="1" s="1"/>
  <c r="E30" i="1"/>
  <c r="G30" i="1" s="1"/>
  <c r="E34" i="1"/>
  <c r="G34" i="1" s="1"/>
  <c r="E38" i="1"/>
  <c r="G38" i="1" s="1"/>
  <c r="E42" i="1"/>
  <c r="G42" i="1" s="1"/>
  <c r="E46" i="1"/>
  <c r="G46" i="1" s="1"/>
  <c r="E50" i="1"/>
  <c r="G50" i="1" s="1"/>
  <c r="E54" i="1"/>
  <c r="G54" i="1" s="1"/>
  <c r="E58" i="1"/>
  <c r="G58" i="1" s="1"/>
  <c r="E62" i="1"/>
  <c r="G62" i="1" s="1"/>
  <c r="E66" i="1"/>
  <c r="G66" i="1" s="1"/>
  <c r="E70" i="1"/>
  <c r="G70" i="1" s="1"/>
  <c r="E74" i="1"/>
  <c r="G74" i="1" s="1"/>
  <c r="E78" i="1"/>
  <c r="G78" i="1" s="1"/>
  <c r="E82" i="1"/>
  <c r="G82" i="1" s="1"/>
  <c r="E86" i="1"/>
  <c r="G86" i="1" s="1"/>
  <c r="E90" i="1"/>
  <c r="G90" i="1" s="1"/>
  <c r="E94" i="1"/>
  <c r="G94" i="1" s="1"/>
  <c r="E98" i="1"/>
  <c r="G98" i="1" s="1"/>
  <c r="E102" i="1"/>
  <c r="G102" i="1" s="1"/>
  <c r="E106" i="1"/>
  <c r="G106" i="1" s="1"/>
  <c r="E110" i="1"/>
  <c r="G110" i="1" s="1"/>
  <c r="E114" i="1"/>
  <c r="G114" i="1" s="1"/>
  <c r="E118" i="1"/>
  <c r="G118" i="1" s="1"/>
  <c r="E122" i="1"/>
  <c r="G122" i="1" s="1"/>
  <c r="E126" i="1"/>
  <c r="G126" i="1" s="1"/>
  <c r="E130" i="1"/>
  <c r="G130" i="1" s="1"/>
  <c r="E134" i="1"/>
  <c r="G134" i="1" s="1"/>
  <c r="E138" i="1"/>
  <c r="G138" i="1" s="1"/>
  <c r="E142" i="1"/>
  <c r="G142" i="1" s="1"/>
  <c r="E146" i="1"/>
  <c r="G146" i="1" s="1"/>
  <c r="E150" i="1"/>
  <c r="G150" i="1" s="1"/>
  <c r="E154" i="1"/>
  <c r="G154" i="1" s="1"/>
  <c r="E158" i="1"/>
  <c r="G158" i="1" s="1"/>
  <c r="E162" i="1"/>
  <c r="G162" i="1" s="1"/>
  <c r="E166" i="1"/>
  <c r="G166" i="1" s="1"/>
  <c r="E170" i="1"/>
  <c r="G170" i="1" s="1"/>
  <c r="E174" i="1"/>
  <c r="G174" i="1" s="1"/>
  <c r="E178" i="1"/>
  <c r="G178" i="1" s="1"/>
  <c r="E182" i="1"/>
  <c r="G182" i="1" s="1"/>
  <c r="E186" i="1"/>
  <c r="G186" i="1" s="1"/>
  <c r="E190" i="1"/>
  <c r="G190" i="1" s="1"/>
  <c r="E194" i="1"/>
  <c r="G194" i="1" s="1"/>
  <c r="E198" i="1"/>
  <c r="G198" i="1" s="1"/>
  <c r="E202" i="1"/>
  <c r="G202" i="1" s="1"/>
  <c r="E206" i="1"/>
  <c r="G206" i="1" s="1"/>
  <c r="E210" i="1"/>
  <c r="G210" i="1" s="1"/>
  <c r="E214" i="1"/>
  <c r="G214" i="1" s="1"/>
  <c r="E218" i="1"/>
  <c r="G218" i="1" s="1"/>
  <c r="E222" i="1"/>
  <c r="G222" i="1" s="1"/>
  <c r="E226" i="1"/>
  <c r="G226" i="1" s="1"/>
  <c r="E230" i="1"/>
  <c r="G230" i="1" s="1"/>
  <c r="E234" i="1"/>
  <c r="G234" i="1" s="1"/>
  <c r="E238" i="1"/>
  <c r="G238" i="1" s="1"/>
  <c r="E242" i="1"/>
  <c r="G242" i="1" s="1"/>
  <c r="E246" i="1"/>
  <c r="G246" i="1" s="1"/>
  <c r="E250" i="1"/>
  <c r="G250" i="1" s="1"/>
  <c r="E254" i="1"/>
  <c r="G254" i="1" s="1"/>
  <c r="E258" i="1"/>
  <c r="G258" i="1" s="1"/>
  <c r="E262" i="1"/>
  <c r="G262" i="1" s="1"/>
  <c r="E266" i="1"/>
  <c r="G266" i="1" s="1"/>
  <c r="E270" i="1"/>
  <c r="G270" i="1" s="1"/>
  <c r="E274" i="1"/>
  <c r="G274" i="1" s="1"/>
  <c r="E278" i="1"/>
  <c r="G278" i="1" s="1"/>
  <c r="E282" i="1"/>
  <c r="G282" i="1" s="1"/>
  <c r="E286" i="1"/>
  <c r="G286" i="1" s="1"/>
  <c r="E290" i="1"/>
  <c r="G290" i="1" s="1"/>
  <c r="E294" i="1"/>
  <c r="G294" i="1" s="1"/>
  <c r="E298" i="1"/>
  <c r="G298" i="1" s="1"/>
  <c r="E302" i="1"/>
  <c r="G302" i="1" s="1"/>
  <c r="E306" i="1"/>
  <c r="G306" i="1" s="1"/>
  <c r="E310" i="1"/>
  <c r="G310" i="1" s="1"/>
  <c r="E314" i="1"/>
  <c r="G314" i="1" s="1"/>
  <c r="D367" i="1"/>
  <c r="D363" i="1"/>
  <c r="D359" i="1"/>
  <c r="D355" i="1"/>
  <c r="D351" i="1"/>
  <c r="D347" i="1"/>
  <c r="D343" i="1"/>
  <c r="D339" i="1"/>
  <c r="D335" i="1"/>
  <c r="D331" i="1"/>
  <c r="D327" i="1"/>
  <c r="D323" i="1"/>
  <c r="D319" i="1"/>
  <c r="D315" i="1"/>
  <c r="D311" i="1"/>
  <c r="D307" i="1"/>
  <c r="D303" i="1"/>
  <c r="D299" i="1"/>
  <c r="D295" i="1"/>
  <c r="D291" i="1"/>
  <c r="D287" i="1"/>
  <c r="D283" i="1"/>
  <c r="D279" i="1"/>
  <c r="D275" i="1"/>
  <c r="D271" i="1"/>
  <c r="D267" i="1"/>
  <c r="D263" i="1"/>
  <c r="D259" i="1"/>
  <c r="D255" i="1"/>
  <c r="D251" i="1"/>
  <c r="D247" i="1"/>
  <c r="D243" i="1"/>
  <c r="D239" i="1"/>
  <c r="D235" i="1"/>
  <c r="D231" i="1"/>
  <c r="D227" i="1"/>
  <c r="D223" i="1"/>
  <c r="D219" i="1"/>
  <c r="D215" i="1"/>
  <c r="D211" i="1"/>
  <c r="D207" i="1"/>
  <c r="D203" i="1"/>
  <c r="D199" i="1"/>
  <c r="D195" i="1"/>
  <c r="D191" i="1"/>
  <c r="D187" i="1"/>
  <c r="D183" i="1"/>
  <c r="D179" i="1"/>
  <c r="D175" i="1"/>
  <c r="D171" i="1"/>
  <c r="D167" i="1"/>
  <c r="D163" i="1"/>
  <c r="D159" i="1"/>
  <c r="D155" i="1"/>
  <c r="D151" i="1"/>
  <c r="D147" i="1"/>
  <c r="D143" i="1"/>
  <c r="D139" i="1"/>
  <c r="D135" i="1"/>
  <c r="D131" i="1"/>
  <c r="D127" i="1"/>
  <c r="D123" i="1"/>
  <c r="D119" i="1"/>
  <c r="D115" i="1"/>
  <c r="D111" i="1"/>
  <c r="D107" i="1"/>
  <c r="D103" i="1"/>
  <c r="D99" i="1"/>
  <c r="D95" i="1"/>
  <c r="D91" i="1"/>
  <c r="D87" i="1"/>
  <c r="D83" i="1"/>
  <c r="D79" i="1"/>
  <c r="D75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  <c r="D19" i="1"/>
  <c r="D15" i="1"/>
  <c r="E368" i="1"/>
  <c r="G368" i="1" s="1"/>
  <c r="E364" i="1"/>
  <c r="G364" i="1" s="1"/>
  <c r="E360" i="1"/>
  <c r="G360" i="1" s="1"/>
  <c r="E356" i="1"/>
  <c r="G356" i="1" s="1"/>
  <c r="E352" i="1"/>
  <c r="G352" i="1" s="1"/>
  <c r="E348" i="1"/>
  <c r="G348" i="1" s="1"/>
  <c r="E344" i="1"/>
  <c r="G344" i="1" s="1"/>
  <c r="E340" i="1"/>
  <c r="G340" i="1" s="1"/>
  <c r="E336" i="1"/>
  <c r="G336" i="1" s="1"/>
  <c r="E332" i="1"/>
  <c r="G332" i="1" s="1"/>
  <c r="E328" i="1"/>
  <c r="G328" i="1" s="1"/>
  <c r="E324" i="1"/>
  <c r="G324" i="1" s="1"/>
  <c r="E319" i="1"/>
  <c r="G319" i="1" s="1"/>
  <c r="E313" i="1"/>
  <c r="G313" i="1" s="1"/>
  <c r="E305" i="1"/>
  <c r="G305" i="1" s="1"/>
  <c r="E297" i="1"/>
  <c r="G297" i="1" s="1"/>
  <c r="E289" i="1"/>
  <c r="G289" i="1" s="1"/>
  <c r="E281" i="1"/>
  <c r="G281" i="1" s="1"/>
  <c r="E273" i="1"/>
  <c r="G273" i="1" s="1"/>
  <c r="E265" i="1"/>
  <c r="G265" i="1" s="1"/>
  <c r="E257" i="1"/>
  <c r="G257" i="1" s="1"/>
  <c r="E243" i="1"/>
  <c r="G243" i="1" s="1"/>
  <c r="E227" i="1"/>
  <c r="G227" i="1" s="1"/>
  <c r="E211" i="1"/>
  <c r="G211" i="1" s="1"/>
  <c r="E195" i="1"/>
  <c r="G195" i="1" s="1"/>
  <c r="E179" i="1"/>
  <c r="G179" i="1" s="1"/>
  <c r="E163" i="1"/>
  <c r="G163" i="1" s="1"/>
  <c r="E147" i="1"/>
  <c r="G147" i="1" s="1"/>
  <c r="E131" i="1"/>
  <c r="G131" i="1" s="1"/>
  <c r="E115" i="1"/>
  <c r="G115" i="1" s="1"/>
  <c r="E99" i="1"/>
  <c r="G99" i="1" s="1"/>
  <c r="E83" i="1"/>
  <c r="G83" i="1" s="1"/>
  <c r="E67" i="1"/>
  <c r="G67" i="1" s="1"/>
  <c r="E51" i="1"/>
  <c r="G51" i="1" s="1"/>
  <c r="E35" i="1"/>
  <c r="G35" i="1" s="1"/>
  <c r="E19" i="1"/>
  <c r="G19" i="1" s="1"/>
  <c r="J374" i="1"/>
  <c r="J371" i="1"/>
  <c r="D380" i="4" l="1"/>
  <c r="D385" i="4" s="1"/>
  <c r="F371" i="2"/>
  <c r="P374" i="3"/>
  <c r="J377" i="3" s="1"/>
  <c r="H371" i="3"/>
  <c r="D380" i="3" s="1"/>
  <c r="D385" i="3" s="1"/>
  <c r="H371" i="2"/>
  <c r="G371" i="2"/>
  <c r="H326" i="1"/>
  <c r="F326" i="1"/>
  <c r="F5" i="1"/>
  <c r="H338" i="1"/>
  <c r="H62" i="1"/>
  <c r="H254" i="1"/>
  <c r="H318" i="1"/>
  <c r="H250" i="1"/>
  <c r="H350" i="1"/>
  <c r="H334" i="1"/>
  <c r="H150" i="1"/>
  <c r="H214" i="1"/>
  <c r="H182" i="1"/>
  <c r="H366" i="1"/>
  <c r="H314" i="1"/>
  <c r="R371" i="1"/>
  <c r="H126" i="1"/>
  <c r="H14" i="1"/>
  <c r="H190" i="1"/>
  <c r="H6" i="1"/>
  <c r="H102" i="1"/>
  <c r="F254" i="1"/>
  <c r="F318" i="1"/>
  <c r="F62" i="1"/>
  <c r="H158" i="1"/>
  <c r="H78" i="1"/>
  <c r="F150" i="1"/>
  <c r="H174" i="1"/>
  <c r="H362" i="1"/>
  <c r="H134" i="1"/>
  <c r="F214" i="1"/>
  <c r="H30" i="1"/>
  <c r="H54" i="1"/>
  <c r="H230" i="1"/>
  <c r="H294" i="1"/>
  <c r="H38" i="1"/>
  <c r="H110" i="1"/>
  <c r="H370" i="1"/>
  <c r="O371" i="1"/>
  <c r="H27" i="1"/>
  <c r="F27" i="1"/>
  <c r="H75" i="1"/>
  <c r="F75" i="1"/>
  <c r="H123" i="1"/>
  <c r="F123" i="1"/>
  <c r="H171" i="1"/>
  <c r="F171" i="1"/>
  <c r="H219" i="1"/>
  <c r="F219" i="1"/>
  <c r="H283" i="1"/>
  <c r="F283" i="1"/>
  <c r="H315" i="1"/>
  <c r="F315" i="1"/>
  <c r="H347" i="1"/>
  <c r="F347" i="1"/>
  <c r="F40" i="1"/>
  <c r="H40" i="1"/>
  <c r="H88" i="1"/>
  <c r="F88" i="1"/>
  <c r="H120" i="1"/>
  <c r="F120" i="1"/>
  <c r="H168" i="1"/>
  <c r="F168" i="1"/>
  <c r="H216" i="1"/>
  <c r="F216" i="1"/>
  <c r="H264" i="1"/>
  <c r="F264" i="1"/>
  <c r="H296" i="1"/>
  <c r="F296" i="1"/>
  <c r="H344" i="1"/>
  <c r="F344" i="1"/>
  <c r="F29" i="1"/>
  <c r="H29" i="1"/>
  <c r="F45" i="1"/>
  <c r="H45" i="1"/>
  <c r="H61" i="1"/>
  <c r="F61" i="1"/>
  <c r="H77" i="1"/>
  <c r="F77" i="1"/>
  <c r="H93" i="1"/>
  <c r="F93" i="1"/>
  <c r="H109" i="1"/>
  <c r="F109" i="1"/>
  <c r="H125" i="1"/>
  <c r="F125" i="1"/>
  <c r="H141" i="1"/>
  <c r="F141" i="1"/>
  <c r="H157" i="1"/>
  <c r="F157" i="1"/>
  <c r="H173" i="1"/>
  <c r="F173" i="1"/>
  <c r="H189" i="1"/>
  <c r="F189" i="1"/>
  <c r="H205" i="1"/>
  <c r="F205" i="1"/>
  <c r="H221" i="1"/>
  <c r="F221" i="1"/>
  <c r="H237" i="1"/>
  <c r="F237" i="1"/>
  <c r="H253" i="1"/>
  <c r="F253" i="1"/>
  <c r="H269" i="1"/>
  <c r="F269" i="1"/>
  <c r="H285" i="1"/>
  <c r="F285" i="1"/>
  <c r="H301" i="1"/>
  <c r="F301" i="1"/>
  <c r="H317" i="1"/>
  <c r="F317" i="1"/>
  <c r="H333" i="1"/>
  <c r="F333" i="1"/>
  <c r="H365" i="1"/>
  <c r="F365" i="1"/>
  <c r="H15" i="1"/>
  <c r="F15" i="1"/>
  <c r="H31" i="1"/>
  <c r="F31" i="1"/>
  <c r="H47" i="1"/>
  <c r="F47" i="1"/>
  <c r="H63" i="1"/>
  <c r="F63" i="1"/>
  <c r="H79" i="1"/>
  <c r="F79" i="1"/>
  <c r="F95" i="1"/>
  <c r="H95" i="1"/>
  <c r="H111" i="1"/>
  <c r="F111" i="1"/>
  <c r="F127" i="1"/>
  <c r="H127" i="1"/>
  <c r="H143" i="1"/>
  <c r="F143" i="1"/>
  <c r="F159" i="1"/>
  <c r="H159" i="1"/>
  <c r="H175" i="1"/>
  <c r="F175" i="1"/>
  <c r="H191" i="1"/>
  <c r="F191" i="1"/>
  <c r="H207" i="1"/>
  <c r="F207" i="1"/>
  <c r="H223" i="1"/>
  <c r="F223" i="1"/>
  <c r="H239" i="1"/>
  <c r="F239" i="1"/>
  <c r="H255" i="1"/>
  <c r="F255" i="1"/>
  <c r="H271" i="1"/>
  <c r="F271" i="1"/>
  <c r="H287" i="1"/>
  <c r="F287" i="1"/>
  <c r="H303" i="1"/>
  <c r="F303" i="1"/>
  <c r="H319" i="1"/>
  <c r="F319" i="1"/>
  <c r="H335" i="1"/>
  <c r="F335" i="1"/>
  <c r="H351" i="1"/>
  <c r="F351" i="1"/>
  <c r="H367" i="1"/>
  <c r="F367" i="1"/>
  <c r="H242" i="1"/>
  <c r="H306" i="1"/>
  <c r="H218" i="1"/>
  <c r="H12" i="1"/>
  <c r="F12" i="1"/>
  <c r="H28" i="1"/>
  <c r="F28" i="1"/>
  <c r="H44" i="1"/>
  <c r="F44" i="1"/>
  <c r="H60" i="1"/>
  <c r="F60" i="1"/>
  <c r="H76" i="1"/>
  <c r="F76" i="1"/>
  <c r="H92" i="1"/>
  <c r="F92" i="1"/>
  <c r="H108" i="1"/>
  <c r="F108" i="1"/>
  <c r="H124" i="1"/>
  <c r="F124" i="1"/>
  <c r="H140" i="1"/>
  <c r="F140" i="1"/>
  <c r="H156" i="1"/>
  <c r="F156" i="1"/>
  <c r="H172" i="1"/>
  <c r="F172" i="1"/>
  <c r="H188" i="1"/>
  <c r="F188" i="1"/>
  <c r="H204" i="1"/>
  <c r="F204" i="1"/>
  <c r="H220" i="1"/>
  <c r="F220" i="1"/>
  <c r="H236" i="1"/>
  <c r="F236" i="1"/>
  <c r="H252" i="1"/>
  <c r="F252" i="1"/>
  <c r="H268" i="1"/>
  <c r="F268" i="1"/>
  <c r="H284" i="1"/>
  <c r="F284" i="1"/>
  <c r="H300" i="1"/>
  <c r="F300" i="1"/>
  <c r="H316" i="1"/>
  <c r="F316" i="1"/>
  <c r="H332" i="1"/>
  <c r="F332" i="1"/>
  <c r="H348" i="1"/>
  <c r="F348" i="1"/>
  <c r="H364" i="1"/>
  <c r="F364" i="1"/>
  <c r="H226" i="1"/>
  <c r="H246" i="1"/>
  <c r="H266" i="1"/>
  <c r="H290" i="1"/>
  <c r="H310" i="1"/>
  <c r="H17" i="1"/>
  <c r="F17" i="1"/>
  <c r="H33" i="1"/>
  <c r="F33" i="1"/>
  <c r="H49" i="1"/>
  <c r="F49" i="1"/>
  <c r="H65" i="1"/>
  <c r="F65" i="1"/>
  <c r="H81" i="1"/>
  <c r="F81" i="1"/>
  <c r="H97" i="1"/>
  <c r="F97" i="1"/>
  <c r="H113" i="1"/>
  <c r="F113" i="1"/>
  <c r="H129" i="1"/>
  <c r="F129" i="1"/>
  <c r="H145" i="1"/>
  <c r="F145" i="1"/>
  <c r="H161" i="1"/>
  <c r="F161" i="1"/>
  <c r="H177" i="1"/>
  <c r="F177" i="1"/>
  <c r="H193" i="1"/>
  <c r="F193" i="1"/>
  <c r="H209" i="1"/>
  <c r="F209" i="1"/>
  <c r="H225" i="1"/>
  <c r="F225" i="1"/>
  <c r="H241" i="1"/>
  <c r="F241" i="1"/>
  <c r="H257" i="1"/>
  <c r="F257" i="1"/>
  <c r="H273" i="1"/>
  <c r="F273" i="1"/>
  <c r="H289" i="1"/>
  <c r="F289" i="1"/>
  <c r="H305" i="1"/>
  <c r="F305" i="1"/>
  <c r="H321" i="1"/>
  <c r="F321" i="1"/>
  <c r="H337" i="1"/>
  <c r="F337" i="1"/>
  <c r="H353" i="1"/>
  <c r="F353" i="1"/>
  <c r="H369" i="1"/>
  <c r="F369" i="1"/>
  <c r="H22" i="1"/>
  <c r="H46" i="1"/>
  <c r="H74" i="1"/>
  <c r="H94" i="1"/>
  <c r="H118" i="1"/>
  <c r="H142" i="1"/>
  <c r="H166" i="1"/>
  <c r="H222" i="1"/>
  <c r="H270" i="1"/>
  <c r="H330" i="1"/>
  <c r="H354" i="1"/>
  <c r="H10" i="1"/>
  <c r="F10" i="1"/>
  <c r="H59" i="1"/>
  <c r="F59" i="1"/>
  <c r="H107" i="1"/>
  <c r="F107" i="1"/>
  <c r="H155" i="1"/>
  <c r="F155" i="1"/>
  <c r="H203" i="1"/>
  <c r="F203" i="1"/>
  <c r="H251" i="1"/>
  <c r="F251" i="1"/>
  <c r="H331" i="1"/>
  <c r="F331" i="1"/>
  <c r="F24" i="1"/>
  <c r="H24" i="1"/>
  <c r="H72" i="1"/>
  <c r="F72" i="1"/>
  <c r="H136" i="1"/>
  <c r="F136" i="1"/>
  <c r="H200" i="1"/>
  <c r="F200" i="1"/>
  <c r="H248" i="1"/>
  <c r="F248" i="1"/>
  <c r="H312" i="1"/>
  <c r="F312" i="1"/>
  <c r="H360" i="1"/>
  <c r="F360" i="1"/>
  <c r="H82" i="1"/>
  <c r="H349" i="1"/>
  <c r="F349" i="1"/>
  <c r="H19" i="1"/>
  <c r="F19" i="1"/>
  <c r="H51" i="1"/>
  <c r="F51" i="1"/>
  <c r="H67" i="1"/>
  <c r="F67" i="1"/>
  <c r="H83" i="1"/>
  <c r="F83" i="1"/>
  <c r="H99" i="1"/>
  <c r="F99" i="1"/>
  <c r="H115" i="1"/>
  <c r="F115" i="1"/>
  <c r="H131" i="1"/>
  <c r="F131" i="1"/>
  <c r="H147" i="1"/>
  <c r="F147" i="1"/>
  <c r="H163" i="1"/>
  <c r="F163" i="1"/>
  <c r="H179" i="1"/>
  <c r="F179" i="1"/>
  <c r="H195" i="1"/>
  <c r="F195" i="1"/>
  <c r="H211" i="1"/>
  <c r="F211" i="1"/>
  <c r="H227" i="1"/>
  <c r="F227" i="1"/>
  <c r="H243" i="1"/>
  <c r="F243" i="1"/>
  <c r="H259" i="1"/>
  <c r="F259" i="1"/>
  <c r="H275" i="1"/>
  <c r="F275" i="1"/>
  <c r="H291" i="1"/>
  <c r="F291" i="1"/>
  <c r="H307" i="1"/>
  <c r="F307" i="1"/>
  <c r="H323" i="1"/>
  <c r="F323" i="1"/>
  <c r="H339" i="1"/>
  <c r="F339" i="1"/>
  <c r="H355" i="1"/>
  <c r="F355" i="1"/>
  <c r="H282" i="1"/>
  <c r="H18" i="1"/>
  <c r="H42" i="1"/>
  <c r="H66" i="1"/>
  <c r="H90" i="1"/>
  <c r="H114" i="1"/>
  <c r="H138" i="1"/>
  <c r="H162" i="1"/>
  <c r="H186" i="1"/>
  <c r="H210" i="1"/>
  <c r="H262" i="1"/>
  <c r="H286" i="1"/>
  <c r="H346" i="1"/>
  <c r="H16" i="1"/>
  <c r="F16" i="1"/>
  <c r="H32" i="1"/>
  <c r="F32" i="1"/>
  <c r="H48" i="1"/>
  <c r="F48" i="1"/>
  <c r="H64" i="1"/>
  <c r="F64" i="1"/>
  <c r="F80" i="1"/>
  <c r="H80" i="1"/>
  <c r="H96" i="1"/>
  <c r="F96" i="1"/>
  <c r="F112" i="1"/>
  <c r="H112" i="1"/>
  <c r="H128" i="1"/>
  <c r="F128" i="1"/>
  <c r="F144" i="1"/>
  <c r="H144" i="1"/>
  <c r="H160" i="1"/>
  <c r="F160" i="1"/>
  <c r="F176" i="1"/>
  <c r="H176" i="1"/>
  <c r="H192" i="1"/>
  <c r="F192" i="1"/>
  <c r="H208" i="1"/>
  <c r="F208" i="1"/>
  <c r="H224" i="1"/>
  <c r="F224" i="1"/>
  <c r="H240" i="1"/>
  <c r="F240" i="1"/>
  <c r="H256" i="1"/>
  <c r="F256" i="1"/>
  <c r="H272" i="1"/>
  <c r="F272" i="1"/>
  <c r="H288" i="1"/>
  <c r="F288" i="1"/>
  <c r="H304" i="1"/>
  <c r="F304" i="1"/>
  <c r="H320" i="1"/>
  <c r="F320" i="1"/>
  <c r="H336" i="1"/>
  <c r="F336" i="1"/>
  <c r="H352" i="1"/>
  <c r="F352" i="1"/>
  <c r="H368" i="1"/>
  <c r="F368" i="1"/>
  <c r="H26" i="1"/>
  <c r="H50" i="1"/>
  <c r="H70" i="1"/>
  <c r="H98" i="1"/>
  <c r="H122" i="1"/>
  <c r="H146" i="1"/>
  <c r="H170" i="1"/>
  <c r="H198" i="1"/>
  <c r="H21" i="1"/>
  <c r="F21" i="1"/>
  <c r="H37" i="1"/>
  <c r="F37" i="1"/>
  <c r="H53" i="1"/>
  <c r="F53" i="1"/>
  <c r="H69" i="1"/>
  <c r="F69" i="1"/>
  <c r="H85" i="1"/>
  <c r="F85" i="1"/>
  <c r="H101" i="1"/>
  <c r="F101" i="1"/>
  <c r="H117" i="1"/>
  <c r="F117" i="1"/>
  <c r="H133" i="1"/>
  <c r="F133" i="1"/>
  <c r="H149" i="1"/>
  <c r="F149" i="1"/>
  <c r="H165" i="1"/>
  <c r="F165" i="1"/>
  <c r="H181" i="1"/>
  <c r="F181" i="1"/>
  <c r="H197" i="1"/>
  <c r="F197" i="1"/>
  <c r="H213" i="1"/>
  <c r="F213" i="1"/>
  <c r="H229" i="1"/>
  <c r="F229" i="1"/>
  <c r="H245" i="1"/>
  <c r="F245" i="1"/>
  <c r="H261" i="1"/>
  <c r="F261" i="1"/>
  <c r="H277" i="1"/>
  <c r="F277" i="1"/>
  <c r="H293" i="1"/>
  <c r="F293" i="1"/>
  <c r="H309" i="1"/>
  <c r="F309" i="1"/>
  <c r="H325" i="1"/>
  <c r="F325" i="1"/>
  <c r="H341" i="1"/>
  <c r="F341" i="1"/>
  <c r="H357" i="1"/>
  <c r="F357" i="1"/>
  <c r="H202" i="1"/>
  <c r="H43" i="1"/>
  <c r="F43" i="1"/>
  <c r="H91" i="1"/>
  <c r="F91" i="1"/>
  <c r="H139" i="1"/>
  <c r="F139" i="1"/>
  <c r="H187" i="1"/>
  <c r="F187" i="1"/>
  <c r="H235" i="1"/>
  <c r="F235" i="1"/>
  <c r="H267" i="1"/>
  <c r="F267" i="1"/>
  <c r="H299" i="1"/>
  <c r="F299" i="1"/>
  <c r="H363" i="1"/>
  <c r="F363" i="1"/>
  <c r="H194" i="1"/>
  <c r="F8" i="1"/>
  <c r="H8" i="1"/>
  <c r="F56" i="1"/>
  <c r="H56" i="1"/>
  <c r="H104" i="1"/>
  <c r="F104" i="1"/>
  <c r="H152" i="1"/>
  <c r="F152" i="1"/>
  <c r="H184" i="1"/>
  <c r="F184" i="1"/>
  <c r="H232" i="1"/>
  <c r="F232" i="1"/>
  <c r="H280" i="1"/>
  <c r="F280" i="1"/>
  <c r="H328" i="1"/>
  <c r="F328" i="1"/>
  <c r="F13" i="1"/>
  <c r="H13" i="1"/>
  <c r="H35" i="1"/>
  <c r="F35" i="1"/>
  <c r="H23" i="1"/>
  <c r="F23" i="1"/>
  <c r="H39" i="1"/>
  <c r="F39" i="1"/>
  <c r="H55" i="1"/>
  <c r="F55" i="1"/>
  <c r="H71" i="1"/>
  <c r="F71" i="1"/>
  <c r="H87" i="1"/>
  <c r="F87" i="1"/>
  <c r="H103" i="1"/>
  <c r="F103" i="1"/>
  <c r="H119" i="1"/>
  <c r="F119" i="1"/>
  <c r="H135" i="1"/>
  <c r="F135" i="1"/>
  <c r="H151" i="1"/>
  <c r="F151" i="1"/>
  <c r="H167" i="1"/>
  <c r="F167" i="1"/>
  <c r="H183" i="1"/>
  <c r="F183" i="1"/>
  <c r="H199" i="1"/>
  <c r="F199" i="1"/>
  <c r="H215" i="1"/>
  <c r="F215" i="1"/>
  <c r="H231" i="1"/>
  <c r="F231" i="1"/>
  <c r="H247" i="1"/>
  <c r="F247" i="1"/>
  <c r="H263" i="1"/>
  <c r="F263" i="1"/>
  <c r="H279" i="1"/>
  <c r="F279" i="1"/>
  <c r="H295" i="1"/>
  <c r="F295" i="1"/>
  <c r="H311" i="1"/>
  <c r="F311" i="1"/>
  <c r="H327" i="1"/>
  <c r="F327" i="1"/>
  <c r="H343" i="1"/>
  <c r="F343" i="1"/>
  <c r="H359" i="1"/>
  <c r="F359" i="1"/>
  <c r="H274" i="1"/>
  <c r="H20" i="1"/>
  <c r="F20" i="1"/>
  <c r="H36" i="1"/>
  <c r="F36" i="1"/>
  <c r="H52" i="1"/>
  <c r="F52" i="1"/>
  <c r="F68" i="1"/>
  <c r="H68" i="1"/>
  <c r="F84" i="1"/>
  <c r="H84" i="1"/>
  <c r="F100" i="1"/>
  <c r="H100" i="1"/>
  <c r="F116" i="1"/>
  <c r="H116" i="1"/>
  <c r="F132" i="1"/>
  <c r="H132" i="1"/>
  <c r="F148" i="1"/>
  <c r="H148" i="1"/>
  <c r="F164" i="1"/>
  <c r="H164" i="1"/>
  <c r="F180" i="1"/>
  <c r="H180" i="1"/>
  <c r="F196" i="1"/>
  <c r="H196" i="1"/>
  <c r="H212" i="1"/>
  <c r="F212" i="1"/>
  <c r="H228" i="1"/>
  <c r="F228" i="1"/>
  <c r="H244" i="1"/>
  <c r="F244" i="1"/>
  <c r="H260" i="1"/>
  <c r="F260" i="1"/>
  <c r="H276" i="1"/>
  <c r="F276" i="1"/>
  <c r="H292" i="1"/>
  <c r="F292" i="1"/>
  <c r="H308" i="1"/>
  <c r="F308" i="1"/>
  <c r="H324" i="1"/>
  <c r="F324" i="1"/>
  <c r="H340" i="1"/>
  <c r="F340" i="1"/>
  <c r="H356" i="1"/>
  <c r="F356" i="1"/>
  <c r="H206" i="1"/>
  <c r="H234" i="1"/>
  <c r="H258" i="1"/>
  <c r="H278" i="1"/>
  <c r="H298" i="1"/>
  <c r="H322" i="1"/>
  <c r="H25" i="1"/>
  <c r="F25" i="1"/>
  <c r="H41" i="1"/>
  <c r="F41" i="1"/>
  <c r="H57" i="1"/>
  <c r="F57" i="1"/>
  <c r="H73" i="1"/>
  <c r="F73" i="1"/>
  <c r="H89" i="1"/>
  <c r="F89" i="1"/>
  <c r="H105" i="1"/>
  <c r="F105" i="1"/>
  <c r="H121" i="1"/>
  <c r="F121" i="1"/>
  <c r="F137" i="1"/>
  <c r="H137" i="1"/>
  <c r="H153" i="1"/>
  <c r="F153" i="1"/>
  <c r="F169" i="1"/>
  <c r="H169" i="1"/>
  <c r="H185" i="1"/>
  <c r="F185" i="1"/>
  <c r="H201" i="1"/>
  <c r="F201" i="1"/>
  <c r="H217" i="1"/>
  <c r="F217" i="1"/>
  <c r="H233" i="1"/>
  <c r="F233" i="1"/>
  <c r="H249" i="1"/>
  <c r="F249" i="1"/>
  <c r="H265" i="1"/>
  <c r="F265" i="1"/>
  <c r="H281" i="1"/>
  <c r="F281" i="1"/>
  <c r="H297" i="1"/>
  <c r="F297" i="1"/>
  <c r="H313" i="1"/>
  <c r="F313" i="1"/>
  <c r="H329" i="1"/>
  <c r="F329" i="1"/>
  <c r="H345" i="1"/>
  <c r="F345" i="1"/>
  <c r="H361" i="1"/>
  <c r="F361" i="1"/>
  <c r="H9" i="1"/>
  <c r="H34" i="1"/>
  <c r="H58" i="1"/>
  <c r="H86" i="1"/>
  <c r="H106" i="1"/>
  <c r="H130" i="1"/>
  <c r="H154" i="1"/>
  <c r="H178" i="1"/>
  <c r="H238" i="1"/>
  <c r="H302" i="1"/>
  <c r="H342" i="1"/>
  <c r="H358" i="1"/>
  <c r="G371" i="1"/>
  <c r="J375" i="1"/>
  <c r="J373" i="1"/>
  <c r="D380" i="2" l="1"/>
  <c r="D385" i="2" s="1"/>
  <c r="P374" i="1"/>
  <c r="J377" i="1" s="1"/>
  <c r="H371" i="1"/>
  <c r="F371" i="1"/>
  <c r="D380" i="1" l="1"/>
  <c r="D385" i="1" s="1"/>
</calcChain>
</file>

<file path=xl/sharedStrings.xml><?xml version="1.0" encoding="utf-8"?>
<sst xmlns="http://schemas.openxmlformats.org/spreadsheetml/2006/main" count="164" uniqueCount="44">
  <si>
    <r>
      <rPr>
        <b/>
        <sz val="11"/>
        <rFont val="Calibri"/>
        <family val="2"/>
      </rPr>
      <t>X - X</t>
    </r>
    <r>
      <rPr>
        <b/>
        <vertAlign val="subscript"/>
        <sz val="11"/>
        <rFont val="Calibri"/>
        <family val="2"/>
      </rPr>
      <t>m</t>
    </r>
  </si>
  <si>
    <r>
      <rPr>
        <b/>
        <sz val="11"/>
        <rFont val="Calibri"/>
        <family val="2"/>
      </rPr>
      <t>Y - Y</t>
    </r>
    <r>
      <rPr>
        <b/>
        <vertAlign val="subscript"/>
        <sz val="11"/>
        <rFont val="Calibri"/>
        <family val="2"/>
      </rPr>
      <t>m</t>
    </r>
  </si>
  <si>
    <r>
      <rPr>
        <b/>
        <sz val="11"/>
        <rFont val="Calibri"/>
        <family val="2"/>
      </rPr>
      <t>(X - X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</t>
    </r>
    <r>
      <rPr>
        <b/>
        <vertAlign val="superscript"/>
        <sz val="11"/>
        <rFont val="Calibri"/>
        <family val="2"/>
      </rPr>
      <t>2</t>
    </r>
  </si>
  <si>
    <r>
      <rPr>
        <b/>
        <sz val="11"/>
        <rFont val="Calibri"/>
        <family val="2"/>
      </rPr>
      <t>(Y - Y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</t>
    </r>
    <r>
      <rPr>
        <b/>
        <vertAlign val="superscript"/>
        <sz val="11"/>
        <rFont val="Calibri"/>
        <family val="2"/>
      </rPr>
      <t>2</t>
    </r>
  </si>
  <si>
    <r>
      <rPr>
        <b/>
        <sz val="11"/>
        <rFont val="Calibri"/>
        <family val="2"/>
      </rPr>
      <t>(X - X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 * (Y - Y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</t>
    </r>
  </si>
  <si>
    <t>z=(M1(mm/day) - NASA (mm/day))</t>
  </si>
  <si>
    <t>Z2</t>
  </si>
  <si>
    <t>SUM</t>
  </si>
  <si>
    <t>Mean is calculated as</t>
  </si>
  <si>
    <t>N</t>
  </si>
  <si>
    <t>RMSE</t>
  </si>
  <si>
    <r>
      <rPr>
        <b/>
        <sz val="11"/>
        <rFont val="Calibri"/>
        <family val="2"/>
      </rPr>
      <t>X</t>
    </r>
    <r>
      <rPr>
        <b/>
        <vertAlign val="subscript"/>
        <sz val="11"/>
        <rFont val="Calibri"/>
        <family val="2"/>
      </rPr>
      <t>m</t>
    </r>
  </si>
  <si>
    <r>
      <rPr>
        <b/>
        <sz val="11"/>
        <rFont val="Calibri"/>
        <family val="2"/>
      </rPr>
      <t>Y</t>
    </r>
    <r>
      <rPr>
        <b/>
        <vertAlign val="subscript"/>
        <sz val="11"/>
        <rFont val="Calibri"/>
        <family val="2"/>
      </rPr>
      <t>m</t>
    </r>
  </si>
  <si>
    <t>MAE</t>
  </si>
  <si>
    <t>Mean</t>
  </si>
  <si>
    <t>MSE</t>
  </si>
  <si>
    <t>Correlation Coefficient is calculated using the formula given below</t>
  </si>
  <si>
    <r>
      <rPr>
        <b/>
        <sz val="11"/>
        <rFont val="Calibri"/>
        <family val="2"/>
      </rPr>
      <t>Correlation Coefficient = Σ [(X - X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 * (Y - Y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)] / √ [Σ (X - X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* Σ (Y - Y</t>
    </r>
    <r>
      <rPr>
        <b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)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>]</t>
    </r>
  </si>
  <si>
    <t>Correlation Coefficient</t>
  </si>
  <si>
    <t>Coefficient of Determination is calculated using the formula given below</t>
  </si>
  <si>
    <r>
      <rPr>
        <b/>
        <sz val="11"/>
        <rFont val="Calibri"/>
        <family val="2"/>
      </rPr>
      <t>Coefficient of Determination = (Correlation Coefficient)</t>
    </r>
    <r>
      <rPr>
        <b/>
        <vertAlign val="superscript"/>
        <sz val="11"/>
        <rFont val="Calibri"/>
        <family val="2"/>
      </rPr>
      <t>2</t>
    </r>
  </si>
  <si>
    <t>Coefficient of Determination</t>
  </si>
  <si>
    <t>Time</t>
  </si>
  <si>
    <t>Observed Precip</t>
  </si>
  <si>
    <t>PERSIANN-CDR</t>
  </si>
  <si>
    <t>Observed and PERSIANN-CDR Precipitation (mm)</t>
  </si>
  <si>
    <t>(P-O)</t>
  </si>
  <si>
    <t>Pbias</t>
  </si>
  <si>
    <t>Sum (O)</t>
  </si>
  <si>
    <t>(O-P)</t>
  </si>
  <si>
    <t>(O-P)*(O-P)</t>
  </si>
  <si>
    <t>Sum (O-P)(O-P)</t>
  </si>
  <si>
    <t>Oav</t>
  </si>
  <si>
    <t>(O-Oav)*(O-Oav)</t>
  </si>
  <si>
    <t>Sum (O-Oav)(O-Oav)</t>
  </si>
  <si>
    <t>Sum/Sum</t>
  </si>
  <si>
    <t>NSE</t>
  </si>
  <si>
    <t>(O-Oav)</t>
  </si>
  <si>
    <t>ERA5</t>
  </si>
  <si>
    <t>Observed and ERA5 Precipitation (mm)</t>
  </si>
  <si>
    <t>Observed and CHIRPS Precipitation (mm)</t>
  </si>
  <si>
    <t>CHIRPS</t>
  </si>
  <si>
    <t>IMERG-F</t>
  </si>
  <si>
    <t>Observed and IMERG-F 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</si>
</sst>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0.0000"/>
    <numFmt numFmtId="166" formatCode="0.000000"/>
    <numFmt numFmtId="167" formatCode="yyyy\-mm\-dd"/>
  </numFmts>
  <fonts count="15" x14ac:knownFonts="1">
    <font>
      <sz val="11"/>
      <name val="Calibri"/>
      <scheme val="minor"/>
    </font>
    <font>
      <b/>
      <sz val="11"/>
      <name val="Calibri"/>
      <family val="2"/>
    </font>
    <font>
      <b/>
      <sz val="14"/>
      <color rgb="FFC00000"/>
      <name val="Calibri"/>
      <family val="2"/>
    </font>
    <font>
      <sz val="11"/>
      <name val="Arial"/>
      <family val="2"/>
    </font>
    <font>
      <sz val="11"/>
      <name val="Calibri"/>
      <family val="2"/>
    </font>
    <font>
      <b/>
      <sz val="11"/>
      <color rgb="FFC00000"/>
      <name val="Calibri"/>
      <family val="2"/>
    </font>
    <font>
      <b/>
      <vertAlign val="subscript"/>
      <sz val="11"/>
      <name val="Calibri"/>
      <family val="2"/>
    </font>
    <font>
      <b/>
      <vertAlign val="superscript"/>
      <sz val="1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8"/>
  </cellStyleXfs>
  <cellXfs count="6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2" fontId="1" fillId="0" borderId="8" xfId="0" applyNumberFormat="1" applyFont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/>
    </xf>
    <xf numFmtId="10" fontId="1" fillId="4" borderId="14" xfId="0" applyNumberFormat="1" applyFont="1" applyFill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11" fontId="1" fillId="0" borderId="19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44" fontId="1" fillId="2" borderId="27" xfId="0" applyNumberFormat="1" applyFont="1" applyFill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165" fontId="1" fillId="0" borderId="28" xfId="0" applyNumberFormat="1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167" fontId="13" fillId="0" borderId="8" xfId="0" applyNumberFormat="1" applyFont="1" applyBorder="1"/>
    <xf numFmtId="0" fontId="13" fillId="0" borderId="8" xfId="0" applyFont="1" applyBorder="1"/>
    <xf numFmtId="2" fontId="8" fillId="0" borderId="0" xfId="0" applyNumberFormat="1" applyFont="1" applyAlignment="1">
      <alignment wrapText="1"/>
    </xf>
    <xf numFmtId="0" fontId="14" fillId="0" borderId="8" xfId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" fillId="3" borderId="16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166" fontId="1" fillId="0" borderId="16" xfId="0" applyNumberFormat="1" applyFont="1" applyBorder="1" applyAlignment="1">
      <alignment horizontal="center" wrapText="1"/>
    </xf>
    <xf numFmtId="0" fontId="3" fillId="0" borderId="21" xfId="0" applyFont="1" applyBorder="1"/>
    <xf numFmtId="0" fontId="3" fillId="0" borderId="20" xfId="0" applyFont="1" applyBorder="1"/>
  </cellXfs>
  <cellStyles count="2">
    <cellStyle name="Normal" xfId="0" builtinId="0"/>
    <cellStyle name="Normal 2" xfId="1" xr:uid="{A4BA06A3-0022-459F-83B9-9B07BCA37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8"/>
  <sheetViews>
    <sheetView zoomScale="71" zoomScaleNormal="71" workbookViewId="0">
      <selection sqref="A1:XFD1048576"/>
    </sheetView>
  </sheetViews>
  <sheetFormatPr defaultColWidth="14.33203125" defaultRowHeight="15" customHeight="1" x14ac:dyDescent="0.3"/>
  <cols>
    <col min="1" max="1" width="15" customWidth="1"/>
    <col min="2" max="2" width="15.6640625" customWidth="1"/>
    <col min="3" max="3" width="19.109375" customWidth="1"/>
    <col min="4" max="4" width="14" customWidth="1"/>
    <col min="5" max="5" width="18.21875" customWidth="1"/>
    <col min="6" max="6" width="18" customWidth="1"/>
    <col min="7" max="7" width="15.33203125" customWidth="1"/>
    <col min="8" max="8" width="14.77734375" customWidth="1"/>
    <col min="9" max="9" width="17.6640625" customWidth="1"/>
    <col min="10" max="10" width="23.33203125" customWidth="1"/>
    <col min="11" max="11" width="14.77734375" customWidth="1"/>
    <col min="12" max="12" width="14.109375" customWidth="1"/>
    <col min="13" max="13" width="18.21875" customWidth="1"/>
  </cols>
  <sheetData>
    <row r="1" spans="1:18" ht="14.4" x14ac:dyDescent="0.3">
      <c r="A1" s="1"/>
      <c r="B1" s="2"/>
      <c r="C1" s="2"/>
      <c r="D1" s="51" t="s">
        <v>25</v>
      </c>
      <c r="E1" s="52"/>
      <c r="F1" s="52"/>
      <c r="G1" s="52"/>
      <c r="H1" s="52"/>
      <c r="I1" s="53"/>
      <c r="J1" s="2"/>
      <c r="K1" s="2"/>
      <c r="L1" s="2"/>
      <c r="M1" s="3"/>
    </row>
    <row r="2" spans="1:18" ht="14.4" x14ac:dyDescent="0.3">
      <c r="A2" s="4"/>
      <c r="B2" s="5"/>
      <c r="C2" s="5"/>
      <c r="D2" s="54"/>
      <c r="E2" s="55"/>
      <c r="F2" s="55"/>
      <c r="G2" s="55"/>
      <c r="H2" s="55"/>
      <c r="I2" s="56"/>
      <c r="J2" s="5"/>
      <c r="K2" s="5"/>
      <c r="L2" s="5"/>
      <c r="M2" s="6"/>
    </row>
    <row r="3" spans="1:18" ht="14.4" x14ac:dyDescent="0.3">
      <c r="A3" s="4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8" ht="16.8" x14ac:dyDescent="0.35">
      <c r="A4" s="7" t="s">
        <v>22</v>
      </c>
      <c r="B4" s="8" t="s">
        <v>23</v>
      </c>
      <c r="C4" s="8" t="s">
        <v>24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9" t="s">
        <v>5</v>
      </c>
      <c r="J4" s="27" t="s">
        <v>6</v>
      </c>
      <c r="K4" s="31" t="s">
        <v>26</v>
      </c>
      <c r="L4" s="5"/>
      <c r="M4" s="46" t="s">
        <v>29</v>
      </c>
      <c r="N4" s="46" t="s">
        <v>29</v>
      </c>
      <c r="O4" s="46" t="s">
        <v>30</v>
      </c>
      <c r="P4" s="46" t="s">
        <v>37</v>
      </c>
      <c r="Q4" s="46" t="s">
        <v>37</v>
      </c>
      <c r="R4" s="46" t="s">
        <v>33</v>
      </c>
    </row>
    <row r="5" spans="1:18" ht="14.4" x14ac:dyDescent="0.3">
      <c r="A5" s="47">
        <v>37987</v>
      </c>
      <c r="B5" s="48">
        <v>0</v>
      </c>
      <c r="C5" s="49">
        <v>0</v>
      </c>
      <c r="D5" s="10">
        <f t="shared" ref="D5:D37" si="0">B5-$C$375</f>
        <v>-0.38980777739764078</v>
      </c>
      <c r="E5" s="10">
        <f t="shared" ref="E5:E37" si="1">C5-$D$375</f>
        <v>-0.42084508196721315</v>
      </c>
      <c r="F5" s="10">
        <f t="shared" ref="F5:G20" si="2">D5^2</f>
        <v>0.15195010331968867</v>
      </c>
      <c r="G5" s="10">
        <f t="shared" si="2"/>
        <v>0.17711058301599036</v>
      </c>
      <c r="H5" s="11">
        <f t="shared" ref="H5:H202" si="3">D5*E5</f>
        <v>0.16404868603036732</v>
      </c>
      <c r="I5" s="12">
        <f t="shared" ref="I5:I202" si="4">ABS(C5-B5)</f>
        <v>0</v>
      </c>
      <c r="J5" s="28">
        <f t="shared" ref="J5:J202" si="5">I5^2</f>
        <v>0</v>
      </c>
      <c r="K5" s="30">
        <f>C5-B5</f>
        <v>0</v>
      </c>
      <c r="L5" s="5"/>
      <c r="M5" s="30">
        <f>B5-C5</f>
        <v>0</v>
      </c>
      <c r="N5" s="42">
        <f>B5-C5</f>
        <v>0</v>
      </c>
      <c r="O5" s="43">
        <f>M5*N5</f>
        <v>0</v>
      </c>
      <c r="P5" s="43">
        <f>B5-0.340134371</f>
        <v>-0.34013437099999999</v>
      </c>
      <c r="Q5" s="43">
        <f>B5-0.340134371</f>
        <v>-0.34013437099999999</v>
      </c>
      <c r="R5" s="43">
        <f>P5*Q5</f>
        <v>0.11569139033556564</v>
      </c>
    </row>
    <row r="6" spans="1:18" ht="14.4" x14ac:dyDescent="0.3">
      <c r="A6" s="47">
        <v>37988</v>
      </c>
      <c r="B6" s="48">
        <v>0</v>
      </c>
      <c r="C6" s="49">
        <v>0</v>
      </c>
      <c r="D6" s="10">
        <f t="shared" si="0"/>
        <v>-0.38980777739764078</v>
      </c>
      <c r="E6" s="10">
        <f t="shared" si="1"/>
        <v>-0.42084508196721315</v>
      </c>
      <c r="F6" s="10">
        <f t="shared" si="2"/>
        <v>0.15195010331968867</v>
      </c>
      <c r="G6" s="10">
        <f t="shared" si="2"/>
        <v>0.17711058301599036</v>
      </c>
      <c r="H6" s="11">
        <f t="shared" si="3"/>
        <v>0.16404868603036732</v>
      </c>
      <c r="I6" s="12">
        <f t="shared" si="4"/>
        <v>0</v>
      </c>
      <c r="J6" s="28">
        <f t="shared" si="5"/>
        <v>0</v>
      </c>
      <c r="K6" s="30">
        <f t="shared" ref="K6:K69" si="6">C6-B6</f>
        <v>0</v>
      </c>
      <c r="L6" s="5"/>
      <c r="M6" s="30">
        <f t="shared" ref="M6:M69" si="7">B6-C6</f>
        <v>0</v>
      </c>
      <c r="N6" s="42">
        <f t="shared" ref="N6:N69" si="8">B6-C6</f>
        <v>0</v>
      </c>
      <c r="O6" s="43">
        <f t="shared" ref="O6:O69" si="9">M6*N6</f>
        <v>0</v>
      </c>
      <c r="P6" s="43">
        <f t="shared" ref="P6:P69" si="10">B6-0.340134371</f>
        <v>-0.34013437099999999</v>
      </c>
      <c r="Q6" s="43">
        <f t="shared" ref="Q6:Q69" si="11">B6-0.340134371</f>
        <v>-0.34013437099999999</v>
      </c>
      <c r="R6" s="43">
        <f t="shared" ref="R6:R69" si="12">P6*Q6</f>
        <v>0.11569139033556564</v>
      </c>
    </row>
    <row r="7" spans="1:18" ht="14.4" x14ac:dyDescent="0.3">
      <c r="A7" s="47">
        <v>37989</v>
      </c>
      <c r="B7" s="48">
        <v>0</v>
      </c>
      <c r="C7" s="49">
        <v>0</v>
      </c>
      <c r="D7" s="10">
        <f t="shared" si="0"/>
        <v>-0.38980777739764078</v>
      </c>
      <c r="E7" s="10">
        <f t="shared" si="1"/>
        <v>-0.42084508196721315</v>
      </c>
      <c r="F7" s="10">
        <f t="shared" si="2"/>
        <v>0.15195010331968867</v>
      </c>
      <c r="G7" s="10">
        <f t="shared" si="2"/>
        <v>0.17711058301599036</v>
      </c>
      <c r="H7" s="11">
        <f t="shared" si="3"/>
        <v>0.16404868603036732</v>
      </c>
      <c r="I7" s="12">
        <f t="shared" si="4"/>
        <v>0</v>
      </c>
      <c r="J7" s="28">
        <f t="shared" si="5"/>
        <v>0</v>
      </c>
      <c r="K7" s="30">
        <f t="shared" si="6"/>
        <v>0</v>
      </c>
      <c r="L7" s="5"/>
      <c r="M7" s="30">
        <f t="shared" si="7"/>
        <v>0</v>
      </c>
      <c r="N7" s="42">
        <f t="shared" si="8"/>
        <v>0</v>
      </c>
      <c r="O7" s="43">
        <f t="shared" si="9"/>
        <v>0</v>
      </c>
      <c r="P7" s="43">
        <f t="shared" si="10"/>
        <v>-0.34013437099999999</v>
      </c>
      <c r="Q7" s="43">
        <f t="shared" si="11"/>
        <v>-0.34013437099999999</v>
      </c>
      <c r="R7" s="43">
        <f t="shared" si="12"/>
        <v>0.11569139033556564</v>
      </c>
    </row>
    <row r="8" spans="1:18" ht="14.4" x14ac:dyDescent="0.3">
      <c r="A8" s="47">
        <v>37990</v>
      </c>
      <c r="B8" s="48">
        <v>0</v>
      </c>
      <c r="C8" s="49">
        <v>0</v>
      </c>
      <c r="D8" s="10">
        <f t="shared" si="0"/>
        <v>-0.38980777739764078</v>
      </c>
      <c r="E8" s="10">
        <f t="shared" si="1"/>
        <v>-0.42084508196721315</v>
      </c>
      <c r="F8" s="10">
        <f t="shared" si="2"/>
        <v>0.15195010331968867</v>
      </c>
      <c r="G8" s="10">
        <f t="shared" si="2"/>
        <v>0.17711058301599036</v>
      </c>
      <c r="H8" s="11">
        <f t="shared" si="3"/>
        <v>0.16404868603036732</v>
      </c>
      <c r="I8" s="12">
        <f t="shared" si="4"/>
        <v>0</v>
      </c>
      <c r="J8" s="28">
        <f t="shared" si="5"/>
        <v>0</v>
      </c>
      <c r="K8" s="30">
        <f t="shared" si="6"/>
        <v>0</v>
      </c>
      <c r="L8" s="5"/>
      <c r="M8" s="30">
        <f t="shared" si="7"/>
        <v>0</v>
      </c>
      <c r="N8" s="42">
        <f t="shared" si="8"/>
        <v>0</v>
      </c>
      <c r="O8" s="43">
        <f t="shared" si="9"/>
        <v>0</v>
      </c>
      <c r="P8" s="43">
        <f t="shared" si="10"/>
        <v>-0.34013437099999999</v>
      </c>
      <c r="Q8" s="43">
        <f t="shared" si="11"/>
        <v>-0.34013437099999999</v>
      </c>
      <c r="R8" s="43">
        <f t="shared" si="12"/>
        <v>0.11569139033556564</v>
      </c>
    </row>
    <row r="9" spans="1:18" ht="14.4" x14ac:dyDescent="0.3">
      <c r="A9" s="47">
        <v>37991</v>
      </c>
      <c r="B9" s="48">
        <v>0.37375363707542419</v>
      </c>
      <c r="C9" s="49">
        <v>0</v>
      </c>
      <c r="D9" s="10">
        <f t="shared" si="0"/>
        <v>-1.6054140322216581E-2</v>
      </c>
      <c r="E9" s="10">
        <f t="shared" si="1"/>
        <v>-0.42084508196721315</v>
      </c>
      <c r="F9" s="10">
        <f t="shared" si="2"/>
        <v>2.5773542148542033E-4</v>
      </c>
      <c r="G9" s="10">
        <f t="shared" si="2"/>
        <v>0.17711058301599036</v>
      </c>
      <c r="H9" s="11">
        <f t="shared" si="3"/>
        <v>6.7563059998163788E-3</v>
      </c>
      <c r="I9" s="12">
        <f t="shared" si="4"/>
        <v>0.37375363707542419</v>
      </c>
      <c r="J9" s="28">
        <f t="shared" si="5"/>
        <v>0.1396917812271079</v>
      </c>
      <c r="K9" s="30">
        <f t="shared" si="6"/>
        <v>-0.37375363707542419</v>
      </c>
      <c r="L9" s="5"/>
      <c r="M9" s="30">
        <f t="shared" si="7"/>
        <v>0.37375363707542419</v>
      </c>
      <c r="N9" s="42">
        <f t="shared" si="8"/>
        <v>0.37375363707542419</v>
      </c>
      <c r="O9" s="43">
        <f t="shared" si="9"/>
        <v>0.1396917812271079</v>
      </c>
      <c r="P9" s="43">
        <f t="shared" si="10"/>
        <v>3.3619266075424203E-2</v>
      </c>
      <c r="Q9" s="43">
        <f t="shared" si="11"/>
        <v>3.3619266075424203E-2</v>
      </c>
      <c r="R9" s="43">
        <f t="shared" si="12"/>
        <v>1.1302550514501687E-3</v>
      </c>
    </row>
    <row r="10" spans="1:18" ht="14.4" x14ac:dyDescent="0.3">
      <c r="A10" s="47">
        <v>37992</v>
      </c>
      <c r="B10" s="48">
        <v>2.794851541519165</v>
      </c>
      <c r="C10" s="49">
        <v>0</v>
      </c>
      <c r="D10" s="10">
        <f>B10-$C$375</f>
        <v>2.4050437641215243</v>
      </c>
      <c r="E10" s="10">
        <f t="shared" si="1"/>
        <v>-0.42084508196721315</v>
      </c>
      <c r="F10" s="10">
        <f t="shared" si="2"/>
        <v>5.7842355073398304</v>
      </c>
      <c r="G10" s="10">
        <f t="shared" si="2"/>
        <v>0.17711058301599036</v>
      </c>
      <c r="H10" s="11">
        <f t="shared" si="3"/>
        <v>-1.0121508400464578</v>
      </c>
      <c r="I10" s="12">
        <f t="shared" si="4"/>
        <v>2.794851541519165</v>
      </c>
      <c r="J10" s="28">
        <f t="shared" si="5"/>
        <v>7.8111951391320531</v>
      </c>
      <c r="K10" s="30">
        <f t="shared" si="6"/>
        <v>-2.794851541519165</v>
      </c>
      <c r="L10" s="5"/>
      <c r="M10" s="30">
        <f t="shared" si="7"/>
        <v>2.794851541519165</v>
      </c>
      <c r="N10" s="42">
        <f t="shared" si="8"/>
        <v>2.794851541519165</v>
      </c>
      <c r="O10" s="43">
        <f t="shared" si="9"/>
        <v>7.8111951391320531</v>
      </c>
      <c r="P10" s="43">
        <f t="shared" si="10"/>
        <v>2.454717170519165</v>
      </c>
      <c r="Q10" s="43">
        <f t="shared" si="11"/>
        <v>2.454717170519165</v>
      </c>
      <c r="R10" s="43">
        <f t="shared" si="12"/>
        <v>6.0256363872416152</v>
      </c>
    </row>
    <row r="11" spans="1:18" ht="14.4" x14ac:dyDescent="0.3">
      <c r="A11" s="47">
        <v>37993</v>
      </c>
      <c r="B11" s="48">
        <v>3.1939265727996826</v>
      </c>
      <c r="C11" s="49">
        <v>0</v>
      </c>
      <c r="D11" s="10">
        <f>B11-$C$375</f>
        <v>2.8041187954020419</v>
      </c>
      <c r="E11" s="10">
        <f t="shared" si="1"/>
        <v>-0.42084508196721315</v>
      </c>
      <c r="F11" s="10">
        <f t="shared" si="2"/>
        <v>7.8630822187269986</v>
      </c>
      <c r="G11" s="10">
        <f>E11^2</f>
        <v>0.17711058301599036</v>
      </c>
      <c r="H11" s="11">
        <f>D11*E11</f>
        <v>-1.1800996042967753</v>
      </c>
      <c r="I11" s="12">
        <f t="shared" si="4"/>
        <v>3.1939265727996826</v>
      </c>
      <c r="J11" s="28">
        <f t="shared" si="5"/>
        <v>10.201166952435926</v>
      </c>
      <c r="K11" s="30">
        <f t="shared" si="6"/>
        <v>-3.1939265727996826</v>
      </c>
      <c r="L11" s="5"/>
      <c r="M11" s="30">
        <f t="shared" si="7"/>
        <v>3.1939265727996826</v>
      </c>
      <c r="N11" s="42">
        <f t="shared" si="8"/>
        <v>3.1939265727996826</v>
      </c>
      <c r="O11" s="43">
        <f t="shared" si="9"/>
        <v>10.201166952435926</v>
      </c>
      <c r="P11" s="43">
        <f t="shared" si="10"/>
        <v>2.8537922017996826</v>
      </c>
      <c r="Q11" s="43">
        <f t="shared" si="11"/>
        <v>2.8537922017996826</v>
      </c>
      <c r="R11" s="43">
        <f t="shared" si="12"/>
        <v>8.1441299310526798</v>
      </c>
    </row>
    <row r="12" spans="1:18" ht="14.4" x14ac:dyDescent="0.3">
      <c r="A12" s="47">
        <v>37994</v>
      </c>
      <c r="B12" s="48">
        <v>2.9983377456665039</v>
      </c>
      <c r="C12" s="49">
        <v>0</v>
      </c>
      <c r="D12" s="10">
        <f t="shared" si="0"/>
        <v>2.6085299682688632</v>
      </c>
      <c r="E12" s="10">
        <f t="shared" si="1"/>
        <v>-0.42084508196721315</v>
      </c>
      <c r="F12" s="10">
        <f t="shared" si="2"/>
        <v>6.8044285953567565</v>
      </c>
      <c r="G12" s="10">
        <f t="shared" si="2"/>
        <v>0.17711058301599036</v>
      </c>
      <c r="H12" s="11">
        <f t="shared" si="3"/>
        <v>-1.0977870083100416</v>
      </c>
      <c r="I12" s="12">
        <f t="shared" si="4"/>
        <v>2.9983377456665039</v>
      </c>
      <c r="J12" s="28">
        <f t="shared" si="5"/>
        <v>8.9900292370884927</v>
      </c>
      <c r="K12" s="30">
        <f t="shared" si="6"/>
        <v>-2.9983377456665039</v>
      </c>
      <c r="L12" s="5"/>
      <c r="M12" s="30">
        <f t="shared" si="7"/>
        <v>2.9983377456665039</v>
      </c>
      <c r="N12" s="42">
        <f t="shared" si="8"/>
        <v>2.9983377456665039</v>
      </c>
      <c r="O12" s="43">
        <f t="shared" si="9"/>
        <v>8.9900292370884927</v>
      </c>
      <c r="P12" s="43">
        <f t="shared" si="10"/>
        <v>2.6582033746665039</v>
      </c>
      <c r="Q12" s="43">
        <f t="shared" si="11"/>
        <v>2.6582033746665039</v>
      </c>
      <c r="R12" s="43">
        <f t="shared" si="12"/>
        <v>7.0660451810883895</v>
      </c>
    </row>
    <row r="13" spans="1:18" ht="14.4" x14ac:dyDescent="0.3">
      <c r="A13" s="47">
        <v>37995</v>
      </c>
      <c r="B13" s="48">
        <v>1.9908638000488281</v>
      </c>
      <c r="C13" s="49">
        <v>0</v>
      </c>
      <c r="D13" s="10">
        <f t="shared" si="0"/>
        <v>1.6010560226511874</v>
      </c>
      <c r="E13" s="10">
        <f t="shared" si="1"/>
        <v>-0.42084508196721315</v>
      </c>
      <c r="F13" s="10">
        <f t="shared" si="2"/>
        <v>2.5633803876676393</v>
      </c>
      <c r="G13" s="10">
        <f t="shared" si="2"/>
        <v>0.17711058301599036</v>
      </c>
      <c r="H13" s="11">
        <f t="shared" si="3"/>
        <v>-0.67379655308673925</v>
      </c>
      <c r="I13" s="12">
        <f t="shared" si="4"/>
        <v>1.9908638000488281</v>
      </c>
      <c r="J13" s="28">
        <f t="shared" si="5"/>
        <v>3.9635386703448603</v>
      </c>
      <c r="K13" s="30">
        <f t="shared" si="6"/>
        <v>-1.9908638000488281</v>
      </c>
      <c r="L13" s="5"/>
      <c r="M13" s="30">
        <f t="shared" si="7"/>
        <v>1.9908638000488281</v>
      </c>
      <c r="N13" s="42">
        <f t="shared" si="8"/>
        <v>1.9908638000488281</v>
      </c>
      <c r="O13" s="43">
        <f t="shared" si="9"/>
        <v>3.9635386703448603</v>
      </c>
      <c r="P13" s="43">
        <f t="shared" si="10"/>
        <v>1.6507294290488281</v>
      </c>
      <c r="Q13" s="43">
        <f t="shared" si="11"/>
        <v>1.6507294290488281</v>
      </c>
      <c r="R13" s="43">
        <f t="shared" si="12"/>
        <v>2.72490764792787</v>
      </c>
    </row>
    <row r="14" spans="1:18" ht="14.4" x14ac:dyDescent="0.3">
      <c r="A14" s="47">
        <v>37996</v>
      </c>
      <c r="B14" s="48">
        <v>0</v>
      </c>
      <c r="C14" s="49">
        <v>8.4535999999999998</v>
      </c>
      <c r="D14" s="10">
        <f t="shared" si="0"/>
        <v>-0.38980777739764078</v>
      </c>
      <c r="E14" s="10">
        <f t="shared" si="1"/>
        <v>8.0327549180327864</v>
      </c>
      <c r="F14" s="10">
        <f t="shared" si="2"/>
        <v>0.15195010331968867</v>
      </c>
      <c r="G14" s="10">
        <f t="shared" si="2"/>
        <v>64.525151573179912</v>
      </c>
      <c r="H14" s="11">
        <f t="shared" si="3"/>
        <v>-3.1312303409783286</v>
      </c>
      <c r="I14" s="12">
        <f t="shared" si="4"/>
        <v>8.4535999999999998</v>
      </c>
      <c r="J14" s="28">
        <f t="shared" si="5"/>
        <v>71.463352959999995</v>
      </c>
      <c r="K14" s="30">
        <f t="shared" si="6"/>
        <v>8.4535999999999998</v>
      </c>
      <c r="L14" s="5"/>
      <c r="M14" s="30">
        <f t="shared" si="7"/>
        <v>-8.4535999999999998</v>
      </c>
      <c r="N14" s="42">
        <f t="shared" si="8"/>
        <v>-8.4535999999999998</v>
      </c>
      <c r="O14" s="43">
        <f t="shared" si="9"/>
        <v>71.463352959999995</v>
      </c>
      <c r="P14" s="43">
        <f t="shared" si="10"/>
        <v>-0.34013437099999999</v>
      </c>
      <c r="Q14" s="43">
        <f t="shared" si="11"/>
        <v>-0.34013437099999999</v>
      </c>
      <c r="R14" s="43">
        <f t="shared" si="12"/>
        <v>0.11569139033556564</v>
      </c>
    </row>
    <row r="15" spans="1:18" ht="14.4" x14ac:dyDescent="0.3">
      <c r="A15" s="47">
        <v>37997</v>
      </c>
      <c r="B15" s="48">
        <v>2.6243629455566406</v>
      </c>
      <c r="C15" s="49">
        <v>2.0979000000000001</v>
      </c>
      <c r="D15" s="10">
        <f t="shared" si="0"/>
        <v>2.2345551681589999</v>
      </c>
      <c r="E15" s="10">
        <f t="shared" si="1"/>
        <v>1.6770549180327869</v>
      </c>
      <c r="F15" s="10">
        <f t="shared" si="2"/>
        <v>4.9932367995460964</v>
      </c>
      <c r="G15" s="10">
        <f t="shared" si="2"/>
        <v>2.8125131980979576</v>
      </c>
      <c r="H15" s="11">
        <f t="shared" si="3"/>
        <v>3.7474717343766319</v>
      </c>
      <c r="I15" s="12">
        <f t="shared" si="4"/>
        <v>0.52646294555664053</v>
      </c>
      <c r="J15" s="28">
        <f t="shared" si="5"/>
        <v>0.27716323304417423</v>
      </c>
      <c r="K15" s="30">
        <f t="shared" si="6"/>
        <v>-0.52646294555664053</v>
      </c>
      <c r="L15" s="5"/>
      <c r="M15" s="30">
        <f t="shared" si="7"/>
        <v>0.52646294555664053</v>
      </c>
      <c r="N15" s="42">
        <f t="shared" si="8"/>
        <v>0.52646294555664053</v>
      </c>
      <c r="O15" s="43">
        <f t="shared" si="9"/>
        <v>0.27716323304417423</v>
      </c>
      <c r="P15" s="43">
        <f t="shared" si="10"/>
        <v>2.2842285745566406</v>
      </c>
      <c r="Q15" s="43">
        <f t="shared" si="11"/>
        <v>2.2842285745566406</v>
      </c>
      <c r="R15" s="43">
        <f t="shared" si="12"/>
        <v>5.2177001808210628</v>
      </c>
    </row>
    <row r="16" spans="1:18" ht="14.4" x14ac:dyDescent="0.3">
      <c r="A16" s="47">
        <v>37998</v>
      </c>
      <c r="B16" s="48">
        <v>7.5829873085021973</v>
      </c>
      <c r="C16" s="49">
        <v>4.3371000000000004</v>
      </c>
      <c r="D16" s="10">
        <f t="shared" si="0"/>
        <v>7.1931795311045565</v>
      </c>
      <c r="E16" s="10">
        <f t="shared" si="1"/>
        <v>3.916254918032787</v>
      </c>
      <c r="F16" s="10">
        <f t="shared" si="2"/>
        <v>51.741831766701566</v>
      </c>
      <c r="G16" s="10">
        <f t="shared" si="2"/>
        <v>15.337052583015991</v>
      </c>
      <c r="H16" s="11">
        <f t="shared" si="3"/>
        <v>28.170324714980996</v>
      </c>
      <c r="I16" s="12">
        <f t="shared" si="4"/>
        <v>3.2458873085021969</v>
      </c>
      <c r="J16" s="28">
        <f t="shared" si="5"/>
        <v>10.535784419495636</v>
      </c>
      <c r="K16" s="30">
        <f t="shared" si="6"/>
        <v>-3.2458873085021969</v>
      </c>
      <c r="L16" s="5"/>
      <c r="M16" s="30">
        <f t="shared" si="7"/>
        <v>3.2458873085021969</v>
      </c>
      <c r="N16" s="42">
        <f t="shared" si="8"/>
        <v>3.2458873085021969</v>
      </c>
      <c r="O16" s="43">
        <f t="shared" si="9"/>
        <v>10.535784419495636</v>
      </c>
      <c r="P16" s="43">
        <f t="shared" si="10"/>
        <v>7.2428529375021977</v>
      </c>
      <c r="Q16" s="43">
        <f t="shared" si="11"/>
        <v>7.2428529375021977</v>
      </c>
      <c r="R16" s="43">
        <f t="shared" si="12"/>
        <v>52.458918674284213</v>
      </c>
    </row>
    <row r="17" spans="1:18" ht="14.4" x14ac:dyDescent="0.3">
      <c r="A17" s="47">
        <v>37999</v>
      </c>
      <c r="B17" s="48">
        <v>13.223211288452148</v>
      </c>
      <c r="C17" s="49">
        <v>1.6084000000000001</v>
      </c>
      <c r="D17" s="10">
        <f t="shared" si="0"/>
        <v>12.833403511054508</v>
      </c>
      <c r="E17" s="10">
        <f t="shared" si="1"/>
        <v>1.1875549180327869</v>
      </c>
      <c r="F17" s="10">
        <f t="shared" si="2"/>
        <v>164.69624567754616</v>
      </c>
      <c r="G17" s="10">
        <f t="shared" si="2"/>
        <v>1.4102866833438592</v>
      </c>
      <c r="H17" s="11">
        <f t="shared" si="3"/>
        <v>15.240371454652015</v>
      </c>
      <c r="I17" s="12">
        <f t="shared" si="4"/>
        <v>11.614811288452149</v>
      </c>
      <c r="J17" s="28">
        <f t="shared" si="5"/>
        <v>134.90384126635547</v>
      </c>
      <c r="K17" s="30">
        <f t="shared" si="6"/>
        <v>-11.614811288452149</v>
      </c>
      <c r="L17" s="5"/>
      <c r="M17" s="30">
        <f t="shared" si="7"/>
        <v>11.614811288452149</v>
      </c>
      <c r="N17" s="42">
        <f t="shared" si="8"/>
        <v>11.614811288452149</v>
      </c>
      <c r="O17" s="43">
        <f t="shared" si="9"/>
        <v>134.90384126635547</v>
      </c>
      <c r="P17" s="43">
        <f t="shared" si="10"/>
        <v>12.883076917452149</v>
      </c>
      <c r="Q17" s="43">
        <f t="shared" si="11"/>
        <v>12.883076917452149</v>
      </c>
      <c r="R17" s="43">
        <f t="shared" si="12"/>
        <v>165.97367086098836</v>
      </c>
    </row>
    <row r="18" spans="1:18" ht="14.4" x14ac:dyDescent="0.3">
      <c r="A18" s="47">
        <v>38000</v>
      </c>
      <c r="B18" s="48">
        <v>0</v>
      </c>
      <c r="C18" s="49">
        <v>9.1295000000000002</v>
      </c>
      <c r="D18" s="10">
        <f t="shared" si="0"/>
        <v>-0.38980777739764078</v>
      </c>
      <c r="E18" s="10">
        <f t="shared" si="1"/>
        <v>8.7086549180327868</v>
      </c>
      <c r="F18" s="10">
        <f t="shared" si="2"/>
        <v>0.15195010331968867</v>
      </c>
      <c r="G18" s="10">
        <f t="shared" si="2"/>
        <v>75.840670481376648</v>
      </c>
      <c r="H18" s="11">
        <f t="shared" si="3"/>
        <v>-3.3947014177213943</v>
      </c>
      <c r="I18" s="12">
        <f t="shared" si="4"/>
        <v>9.1295000000000002</v>
      </c>
      <c r="J18" s="28">
        <f t="shared" si="5"/>
        <v>83.347770249999996</v>
      </c>
      <c r="K18" s="30">
        <f t="shared" si="6"/>
        <v>9.1295000000000002</v>
      </c>
      <c r="L18" s="5"/>
      <c r="M18" s="30">
        <f t="shared" si="7"/>
        <v>-9.1295000000000002</v>
      </c>
      <c r="N18" s="42">
        <f t="shared" si="8"/>
        <v>-9.1295000000000002</v>
      </c>
      <c r="O18" s="43">
        <f t="shared" si="9"/>
        <v>83.347770249999996</v>
      </c>
      <c r="P18" s="43">
        <f t="shared" si="10"/>
        <v>-0.34013437099999999</v>
      </c>
      <c r="Q18" s="43">
        <f t="shared" si="11"/>
        <v>-0.34013437099999999</v>
      </c>
      <c r="R18" s="43">
        <f t="shared" si="12"/>
        <v>0.11569139033556564</v>
      </c>
    </row>
    <row r="19" spans="1:18" ht="14.4" x14ac:dyDescent="0.3">
      <c r="A19" s="47">
        <v>38001</v>
      </c>
      <c r="B19" s="48">
        <v>0</v>
      </c>
      <c r="C19" s="49">
        <v>0</v>
      </c>
      <c r="D19" s="10">
        <f t="shared" si="0"/>
        <v>-0.38980777739764078</v>
      </c>
      <c r="E19" s="10">
        <f t="shared" si="1"/>
        <v>-0.42084508196721315</v>
      </c>
      <c r="F19" s="10">
        <f t="shared" si="2"/>
        <v>0.15195010331968867</v>
      </c>
      <c r="G19" s="10">
        <f t="shared" si="2"/>
        <v>0.17711058301599036</v>
      </c>
      <c r="H19" s="11">
        <f t="shared" si="3"/>
        <v>0.16404868603036732</v>
      </c>
      <c r="I19" s="12">
        <f t="shared" si="4"/>
        <v>0</v>
      </c>
      <c r="J19" s="28">
        <f t="shared" si="5"/>
        <v>0</v>
      </c>
      <c r="K19" s="30">
        <f t="shared" si="6"/>
        <v>0</v>
      </c>
      <c r="L19" s="5"/>
      <c r="M19" s="30">
        <f t="shared" si="7"/>
        <v>0</v>
      </c>
      <c r="N19" s="42">
        <f t="shared" si="8"/>
        <v>0</v>
      </c>
      <c r="O19" s="43">
        <f t="shared" si="9"/>
        <v>0</v>
      </c>
      <c r="P19" s="43">
        <f t="shared" si="10"/>
        <v>-0.34013437099999999</v>
      </c>
      <c r="Q19" s="43">
        <f t="shared" si="11"/>
        <v>-0.34013437099999999</v>
      </c>
      <c r="R19" s="43">
        <f t="shared" si="12"/>
        <v>0.11569139033556564</v>
      </c>
    </row>
    <row r="20" spans="1:18" ht="14.4" x14ac:dyDescent="0.3">
      <c r="A20" s="47">
        <v>38002</v>
      </c>
      <c r="B20" s="48">
        <v>0</v>
      </c>
      <c r="C20" s="49">
        <v>7.4574999999999996</v>
      </c>
      <c r="D20" s="10">
        <f t="shared" si="0"/>
        <v>-0.38980777739764078</v>
      </c>
      <c r="E20" s="10">
        <f t="shared" si="1"/>
        <v>7.0366549180327862</v>
      </c>
      <c r="F20" s="10">
        <f t="shared" si="2"/>
        <v>0.15195010331968867</v>
      </c>
      <c r="G20" s="10">
        <f t="shared" si="2"/>
        <v>49.514512435474998</v>
      </c>
      <c r="H20" s="11">
        <f t="shared" si="3"/>
        <v>-2.7429428139125385</v>
      </c>
      <c r="I20" s="12">
        <f t="shared" si="4"/>
        <v>7.4574999999999996</v>
      </c>
      <c r="J20" s="28">
        <f t="shared" si="5"/>
        <v>55.614306249999991</v>
      </c>
      <c r="K20" s="30">
        <f t="shared" si="6"/>
        <v>7.4574999999999996</v>
      </c>
      <c r="L20" s="5"/>
      <c r="M20" s="30">
        <f t="shared" si="7"/>
        <v>-7.4574999999999996</v>
      </c>
      <c r="N20" s="42">
        <f t="shared" si="8"/>
        <v>-7.4574999999999996</v>
      </c>
      <c r="O20" s="43">
        <f t="shared" si="9"/>
        <v>55.614306249999991</v>
      </c>
      <c r="P20" s="43">
        <f t="shared" si="10"/>
        <v>-0.34013437099999999</v>
      </c>
      <c r="Q20" s="43">
        <f t="shared" si="11"/>
        <v>-0.34013437099999999</v>
      </c>
      <c r="R20" s="43">
        <f t="shared" si="12"/>
        <v>0.11569139033556564</v>
      </c>
    </row>
    <row r="21" spans="1:18" ht="14.4" x14ac:dyDescent="0.3">
      <c r="A21" s="47">
        <v>38003</v>
      </c>
      <c r="B21" s="48">
        <v>0</v>
      </c>
      <c r="C21" s="49">
        <v>0</v>
      </c>
      <c r="D21" s="10">
        <f t="shared" si="0"/>
        <v>-0.38980777739764078</v>
      </c>
      <c r="E21" s="10">
        <f t="shared" si="1"/>
        <v>-0.42084508196721315</v>
      </c>
      <c r="F21" s="10">
        <f t="shared" ref="F21:G84" si="13">D21^2</f>
        <v>0.15195010331968867</v>
      </c>
      <c r="G21" s="10">
        <f t="shared" si="13"/>
        <v>0.17711058301599036</v>
      </c>
      <c r="H21" s="11">
        <f t="shared" si="3"/>
        <v>0.16404868603036732</v>
      </c>
      <c r="I21" s="12">
        <f t="shared" si="4"/>
        <v>0</v>
      </c>
      <c r="J21" s="28">
        <f t="shared" si="5"/>
        <v>0</v>
      </c>
      <c r="K21" s="30">
        <f t="shared" si="6"/>
        <v>0</v>
      </c>
      <c r="L21" s="5"/>
      <c r="M21" s="30">
        <f t="shared" si="7"/>
        <v>0</v>
      </c>
      <c r="N21" s="42">
        <f t="shared" si="8"/>
        <v>0</v>
      </c>
      <c r="O21" s="43">
        <f t="shared" si="9"/>
        <v>0</v>
      </c>
      <c r="P21" s="43">
        <f t="shared" si="10"/>
        <v>-0.34013437099999999</v>
      </c>
      <c r="Q21" s="43">
        <f t="shared" si="11"/>
        <v>-0.34013437099999999</v>
      </c>
      <c r="R21" s="43">
        <f t="shared" si="12"/>
        <v>0.11569139033556564</v>
      </c>
    </row>
    <row r="22" spans="1:18" ht="14.4" x14ac:dyDescent="0.3">
      <c r="A22" s="47">
        <v>38004</v>
      </c>
      <c r="B22" s="48">
        <v>0</v>
      </c>
      <c r="C22" s="49">
        <v>0</v>
      </c>
      <c r="D22" s="10">
        <f t="shared" si="0"/>
        <v>-0.38980777739764078</v>
      </c>
      <c r="E22" s="10">
        <f t="shared" si="1"/>
        <v>-0.42084508196721315</v>
      </c>
      <c r="F22" s="10">
        <f t="shared" si="13"/>
        <v>0.15195010331968867</v>
      </c>
      <c r="G22" s="10">
        <f t="shared" si="13"/>
        <v>0.17711058301599036</v>
      </c>
      <c r="H22" s="11">
        <f t="shared" si="3"/>
        <v>0.16404868603036732</v>
      </c>
      <c r="I22" s="12">
        <f t="shared" si="4"/>
        <v>0</v>
      </c>
      <c r="J22" s="28">
        <f t="shared" si="5"/>
        <v>0</v>
      </c>
      <c r="K22" s="30">
        <f t="shared" si="6"/>
        <v>0</v>
      </c>
      <c r="L22" s="5"/>
      <c r="M22" s="30">
        <f t="shared" si="7"/>
        <v>0</v>
      </c>
      <c r="N22" s="42">
        <f t="shared" si="8"/>
        <v>0</v>
      </c>
      <c r="O22" s="43">
        <f t="shared" si="9"/>
        <v>0</v>
      </c>
      <c r="P22" s="43">
        <f t="shared" si="10"/>
        <v>-0.34013437099999999</v>
      </c>
      <c r="Q22" s="43">
        <f t="shared" si="11"/>
        <v>-0.34013437099999999</v>
      </c>
      <c r="R22" s="43">
        <f t="shared" si="12"/>
        <v>0.11569139033556564</v>
      </c>
    </row>
    <row r="23" spans="1:18" ht="14.4" x14ac:dyDescent="0.3">
      <c r="A23" s="47">
        <v>38005</v>
      </c>
      <c r="B23" s="48">
        <v>0</v>
      </c>
      <c r="C23" s="49">
        <v>3.7435</v>
      </c>
      <c r="D23" s="10">
        <f t="shared" si="0"/>
        <v>-0.38980777739764078</v>
      </c>
      <c r="E23" s="10">
        <f t="shared" si="1"/>
        <v>3.3226549180327867</v>
      </c>
      <c r="F23" s="10">
        <f t="shared" si="13"/>
        <v>0.15195010331968867</v>
      </c>
      <c r="G23" s="10">
        <f t="shared" si="13"/>
        <v>11.040035704327464</v>
      </c>
      <c r="H23" s="11">
        <f t="shared" si="3"/>
        <v>-1.2951967286577009</v>
      </c>
      <c r="I23" s="12">
        <f t="shared" si="4"/>
        <v>3.7435</v>
      </c>
      <c r="J23" s="28">
        <f t="shared" si="5"/>
        <v>14.01379225</v>
      </c>
      <c r="K23" s="30">
        <f t="shared" si="6"/>
        <v>3.7435</v>
      </c>
      <c r="L23" s="5"/>
      <c r="M23" s="30">
        <f t="shared" si="7"/>
        <v>-3.7435</v>
      </c>
      <c r="N23" s="42">
        <f t="shared" si="8"/>
        <v>-3.7435</v>
      </c>
      <c r="O23" s="43">
        <f t="shared" si="9"/>
        <v>14.01379225</v>
      </c>
      <c r="P23" s="43">
        <f t="shared" si="10"/>
        <v>-0.34013437099999999</v>
      </c>
      <c r="Q23" s="43">
        <f t="shared" si="11"/>
        <v>-0.34013437099999999</v>
      </c>
      <c r="R23" s="43">
        <f t="shared" si="12"/>
        <v>0.11569139033556564</v>
      </c>
    </row>
    <row r="24" spans="1:18" ht="14.4" x14ac:dyDescent="0.3">
      <c r="A24" s="47">
        <v>38006</v>
      </c>
      <c r="B24" s="48">
        <v>0</v>
      </c>
      <c r="C24" s="49">
        <v>0</v>
      </c>
      <c r="D24" s="10">
        <f t="shared" si="0"/>
        <v>-0.38980777739764078</v>
      </c>
      <c r="E24" s="10">
        <f t="shared" si="1"/>
        <v>-0.42084508196721315</v>
      </c>
      <c r="F24" s="10">
        <f t="shared" si="13"/>
        <v>0.15195010331968867</v>
      </c>
      <c r="G24" s="10">
        <f t="shared" si="13"/>
        <v>0.17711058301599036</v>
      </c>
      <c r="H24" s="11">
        <f t="shared" si="3"/>
        <v>0.16404868603036732</v>
      </c>
      <c r="I24" s="12">
        <f t="shared" si="4"/>
        <v>0</v>
      </c>
      <c r="J24" s="28">
        <f t="shared" si="5"/>
        <v>0</v>
      </c>
      <c r="K24" s="30">
        <f t="shared" si="6"/>
        <v>0</v>
      </c>
      <c r="L24" s="5"/>
      <c r="M24" s="30">
        <f t="shared" si="7"/>
        <v>0</v>
      </c>
      <c r="N24" s="42">
        <f t="shared" si="8"/>
        <v>0</v>
      </c>
      <c r="O24" s="43">
        <f t="shared" si="9"/>
        <v>0</v>
      </c>
      <c r="P24" s="43">
        <f t="shared" si="10"/>
        <v>-0.34013437099999999</v>
      </c>
      <c r="Q24" s="43">
        <f t="shared" si="11"/>
        <v>-0.34013437099999999</v>
      </c>
      <c r="R24" s="43">
        <f t="shared" si="12"/>
        <v>0.11569139033556564</v>
      </c>
    </row>
    <row r="25" spans="1:18" ht="14.4" x14ac:dyDescent="0.3">
      <c r="A25" s="47">
        <v>38007</v>
      </c>
      <c r="B25" s="48">
        <v>1.2432469129562378</v>
      </c>
      <c r="C25" s="49">
        <v>6.0791000000000004</v>
      </c>
      <c r="D25" s="10">
        <f t="shared" si="0"/>
        <v>0.85343913555859707</v>
      </c>
      <c r="E25" s="10">
        <f t="shared" si="1"/>
        <v>5.658254918032787</v>
      </c>
      <c r="F25" s="10">
        <f t="shared" si="13"/>
        <v>0.72835835810300542</v>
      </c>
      <c r="G25" s="10">
        <f t="shared" si="13"/>
        <v>32.015848717442225</v>
      </c>
      <c r="H25" s="11">
        <f t="shared" si="3"/>
        <v>4.8289761860160825</v>
      </c>
      <c r="I25" s="12">
        <f t="shared" si="4"/>
        <v>4.8358530870437626</v>
      </c>
      <c r="J25" s="28">
        <f t="shared" si="5"/>
        <v>23.385475079470687</v>
      </c>
      <c r="K25" s="30">
        <f t="shared" si="6"/>
        <v>4.8358530870437626</v>
      </c>
      <c r="L25" s="5"/>
      <c r="M25" s="30">
        <f t="shared" si="7"/>
        <v>-4.8358530870437626</v>
      </c>
      <c r="N25" s="42">
        <f t="shared" si="8"/>
        <v>-4.8358530870437626</v>
      </c>
      <c r="O25" s="43">
        <f t="shared" si="9"/>
        <v>23.385475079470687</v>
      </c>
      <c r="P25" s="43">
        <f t="shared" si="10"/>
        <v>0.9031125419562378</v>
      </c>
      <c r="Q25" s="43">
        <f t="shared" si="11"/>
        <v>0.9031125419562378</v>
      </c>
      <c r="R25" s="43">
        <f t="shared" si="12"/>
        <v>0.81561226343865734</v>
      </c>
    </row>
    <row r="26" spans="1:18" ht="14.4" x14ac:dyDescent="0.3">
      <c r="A26" s="47">
        <v>38008</v>
      </c>
      <c r="B26" s="48">
        <v>3.0027130618691444E-2</v>
      </c>
      <c r="C26" s="49">
        <v>13.88</v>
      </c>
      <c r="D26" s="10">
        <f t="shared" si="0"/>
        <v>-0.35978064677894933</v>
      </c>
      <c r="E26" s="10">
        <f t="shared" si="1"/>
        <v>13.459154918032787</v>
      </c>
      <c r="F26" s="10">
        <f t="shared" si="13"/>
        <v>0.12944211379667911</v>
      </c>
      <c r="G26" s="10">
        <f t="shared" si="13"/>
        <v>181.14885110760616</v>
      </c>
      <c r="H26" s="11">
        <f t="shared" si="3"/>
        <v>-4.8423434615079133</v>
      </c>
      <c r="I26" s="12">
        <f t="shared" si="4"/>
        <v>13.849972869381309</v>
      </c>
      <c r="J26" s="28">
        <f t="shared" si="5"/>
        <v>191.82174848259834</v>
      </c>
      <c r="K26" s="30">
        <f t="shared" si="6"/>
        <v>13.849972869381309</v>
      </c>
      <c r="L26" s="5"/>
      <c r="M26" s="30">
        <f t="shared" si="7"/>
        <v>-13.849972869381309</v>
      </c>
      <c r="N26" s="42">
        <f t="shared" si="8"/>
        <v>-13.849972869381309</v>
      </c>
      <c r="O26" s="43">
        <f t="shared" si="9"/>
        <v>191.82174848259834</v>
      </c>
      <c r="P26" s="43">
        <f t="shared" si="10"/>
        <v>-0.31010724038130855</v>
      </c>
      <c r="Q26" s="43">
        <f t="shared" si="11"/>
        <v>-0.31010724038130855</v>
      </c>
      <c r="R26" s="43">
        <f t="shared" si="12"/>
        <v>9.6166500536910685E-2</v>
      </c>
    </row>
    <row r="27" spans="1:18" ht="14.4" x14ac:dyDescent="0.3">
      <c r="A27" s="47">
        <v>38009</v>
      </c>
      <c r="B27" s="48">
        <v>4.8039083480834961</v>
      </c>
      <c r="C27" s="49">
        <v>0</v>
      </c>
      <c r="D27" s="10">
        <f t="shared" si="0"/>
        <v>4.4141005706858554</v>
      </c>
      <c r="E27" s="10">
        <f t="shared" si="1"/>
        <v>-0.42084508196721315</v>
      </c>
      <c r="F27" s="10">
        <f t="shared" si="13"/>
        <v>19.484283848129195</v>
      </c>
      <c r="G27" s="10">
        <f t="shared" si="13"/>
        <v>0.17711058301599036</v>
      </c>
      <c r="H27" s="11">
        <f t="shared" si="3"/>
        <v>-1.8576525164818112</v>
      </c>
      <c r="I27" s="12">
        <f t="shared" si="4"/>
        <v>4.8039083480834961</v>
      </c>
      <c r="J27" s="28">
        <f t="shared" si="5"/>
        <v>23.077535416786304</v>
      </c>
      <c r="K27" s="30">
        <f t="shared" si="6"/>
        <v>-4.8039083480834961</v>
      </c>
      <c r="L27" s="5"/>
      <c r="M27" s="30">
        <f t="shared" si="7"/>
        <v>4.8039083480834961</v>
      </c>
      <c r="N27" s="42">
        <f t="shared" si="8"/>
        <v>4.8039083480834961</v>
      </c>
      <c r="O27" s="43">
        <f t="shared" si="9"/>
        <v>23.077535416786304</v>
      </c>
      <c r="P27" s="43">
        <f t="shared" si="10"/>
        <v>4.4637739770834965</v>
      </c>
      <c r="Q27" s="43">
        <f t="shared" si="11"/>
        <v>4.4637739770834965</v>
      </c>
      <c r="R27" s="43">
        <f t="shared" si="12"/>
        <v>19.925278118487817</v>
      </c>
    </row>
    <row r="28" spans="1:18" ht="14.4" x14ac:dyDescent="0.3">
      <c r="A28" s="47">
        <v>38010</v>
      </c>
      <c r="B28" s="48">
        <v>0.4056854248046875</v>
      </c>
      <c r="C28" s="49">
        <v>1.9533</v>
      </c>
      <c r="D28" s="10">
        <f t="shared" si="0"/>
        <v>1.5877647407046724E-2</v>
      </c>
      <c r="E28" s="10">
        <f t="shared" si="1"/>
        <v>1.5324549180327869</v>
      </c>
      <c r="F28" s="10">
        <f t="shared" si="13"/>
        <v>2.5209968718249758E-4</v>
      </c>
      <c r="G28" s="10">
        <f t="shared" si="13"/>
        <v>2.3484180758028756</v>
      </c>
      <c r="H28" s="11">
        <f t="shared" si="3"/>
        <v>2.4331778855719279E-2</v>
      </c>
      <c r="I28" s="12">
        <f t="shared" si="4"/>
        <v>1.5476145751953125</v>
      </c>
      <c r="J28" s="28">
        <f t="shared" si="5"/>
        <v>2.3951108733569675</v>
      </c>
      <c r="K28" s="30">
        <f t="shared" si="6"/>
        <v>1.5476145751953125</v>
      </c>
      <c r="L28" s="5"/>
      <c r="M28" s="30">
        <f t="shared" si="7"/>
        <v>-1.5476145751953125</v>
      </c>
      <c r="N28" s="42">
        <f t="shared" si="8"/>
        <v>-1.5476145751953125</v>
      </c>
      <c r="O28" s="43">
        <f t="shared" si="9"/>
        <v>2.3951108733569675</v>
      </c>
      <c r="P28" s="43">
        <f t="shared" si="10"/>
        <v>6.5551053804687509E-2</v>
      </c>
      <c r="Q28" s="43">
        <f t="shared" si="11"/>
        <v>6.5551053804687509E-2</v>
      </c>
      <c r="R28" s="43">
        <f t="shared" si="12"/>
        <v>4.2969406549050364E-3</v>
      </c>
    </row>
    <row r="29" spans="1:18" ht="14.4" x14ac:dyDescent="0.3">
      <c r="A29" s="47">
        <v>38011</v>
      </c>
      <c r="B29" s="48">
        <v>3.0185763835906982</v>
      </c>
      <c r="C29" s="49">
        <v>7.5195999999999996</v>
      </c>
      <c r="D29" s="10">
        <f t="shared" si="0"/>
        <v>2.6287686061930575</v>
      </c>
      <c r="E29" s="10">
        <f t="shared" si="1"/>
        <v>7.0987549180327862</v>
      </c>
      <c r="F29" s="10">
        <f t="shared" si="13"/>
        <v>6.9104243849061904</v>
      </c>
      <c r="G29" s="10">
        <f t="shared" si="13"/>
        <v>50.392321386294668</v>
      </c>
      <c r="H29" s="11">
        <f t="shared" si="3"/>
        <v>18.660984071583158</v>
      </c>
      <c r="I29" s="12">
        <f t="shared" si="4"/>
        <v>4.5010236164093014</v>
      </c>
      <c r="J29" s="28">
        <f t="shared" si="5"/>
        <v>20.259213595474264</v>
      </c>
      <c r="K29" s="30">
        <f t="shared" si="6"/>
        <v>4.5010236164093014</v>
      </c>
      <c r="L29" s="5"/>
      <c r="M29" s="30">
        <f t="shared" si="7"/>
        <v>-4.5010236164093014</v>
      </c>
      <c r="N29" s="42">
        <f t="shared" si="8"/>
        <v>-4.5010236164093014</v>
      </c>
      <c r="O29" s="43">
        <f t="shared" si="9"/>
        <v>20.259213595474264</v>
      </c>
      <c r="P29" s="43">
        <f t="shared" si="10"/>
        <v>2.6784420125906983</v>
      </c>
      <c r="Q29" s="43">
        <f t="shared" si="11"/>
        <v>2.6784420125906983</v>
      </c>
      <c r="R29" s="43">
        <f t="shared" si="12"/>
        <v>7.1740516148109101</v>
      </c>
    </row>
    <row r="30" spans="1:18" ht="14.4" x14ac:dyDescent="0.3">
      <c r="A30" s="47">
        <v>38012</v>
      </c>
      <c r="B30" s="48">
        <v>1.5622665882110596</v>
      </c>
      <c r="C30" s="49">
        <v>0</v>
      </c>
      <c r="D30" s="10">
        <f t="shared" si="0"/>
        <v>1.1724588108134189</v>
      </c>
      <c r="E30" s="10">
        <f t="shared" si="1"/>
        <v>-0.42084508196721315</v>
      </c>
      <c r="F30" s="10">
        <f t="shared" si="13"/>
        <v>1.3746596630540162</v>
      </c>
      <c r="G30" s="10">
        <f t="shared" si="13"/>
        <v>0.17711058301599036</v>
      </c>
      <c r="H30" s="11">
        <f t="shared" si="3"/>
        <v>-0.49342352433995451</v>
      </c>
      <c r="I30" s="12">
        <f t="shared" si="4"/>
        <v>1.5622665882110596</v>
      </c>
      <c r="J30" s="28">
        <f t="shared" si="5"/>
        <v>2.4406768926406244</v>
      </c>
      <c r="K30" s="30">
        <f t="shared" si="6"/>
        <v>-1.5622665882110596</v>
      </c>
      <c r="L30" s="5"/>
      <c r="M30" s="30">
        <f t="shared" si="7"/>
        <v>1.5622665882110596</v>
      </c>
      <c r="N30" s="42">
        <f t="shared" si="8"/>
        <v>1.5622665882110596</v>
      </c>
      <c r="O30" s="43">
        <f t="shared" si="9"/>
        <v>2.4406768926406244</v>
      </c>
      <c r="P30" s="43">
        <f t="shared" si="10"/>
        <v>1.2221322172110596</v>
      </c>
      <c r="Q30" s="43">
        <f t="shared" si="11"/>
        <v>1.2221322172110596</v>
      </c>
      <c r="R30" s="43">
        <f t="shared" si="12"/>
        <v>1.4936071563452205</v>
      </c>
    </row>
    <row r="31" spans="1:18" ht="14.4" x14ac:dyDescent="0.3">
      <c r="A31" s="47">
        <v>38013</v>
      </c>
      <c r="B31" s="48">
        <v>0</v>
      </c>
      <c r="C31" s="49">
        <v>0</v>
      </c>
      <c r="D31" s="10">
        <f t="shared" si="0"/>
        <v>-0.38980777739764078</v>
      </c>
      <c r="E31" s="10">
        <f t="shared" si="1"/>
        <v>-0.42084508196721315</v>
      </c>
      <c r="F31" s="10">
        <f t="shared" si="13"/>
        <v>0.15195010331968867</v>
      </c>
      <c r="G31" s="10">
        <f t="shared" si="13"/>
        <v>0.17711058301599036</v>
      </c>
      <c r="H31" s="11">
        <f t="shared" si="3"/>
        <v>0.16404868603036732</v>
      </c>
      <c r="I31" s="12">
        <f t="shared" si="4"/>
        <v>0</v>
      </c>
      <c r="J31" s="28">
        <f t="shared" si="5"/>
        <v>0</v>
      </c>
      <c r="K31" s="30">
        <f t="shared" si="6"/>
        <v>0</v>
      </c>
      <c r="L31" s="5"/>
      <c r="M31" s="30">
        <f t="shared" si="7"/>
        <v>0</v>
      </c>
      <c r="N31" s="42">
        <f t="shared" si="8"/>
        <v>0</v>
      </c>
      <c r="O31" s="43">
        <f t="shared" si="9"/>
        <v>0</v>
      </c>
      <c r="P31" s="43">
        <f t="shared" si="10"/>
        <v>-0.34013437099999999</v>
      </c>
      <c r="Q31" s="43">
        <f t="shared" si="11"/>
        <v>-0.34013437099999999</v>
      </c>
      <c r="R31" s="43">
        <f t="shared" si="12"/>
        <v>0.11569139033556564</v>
      </c>
    </row>
    <row r="32" spans="1:18" ht="14.4" x14ac:dyDescent="0.3">
      <c r="A32" s="47">
        <v>38014</v>
      </c>
      <c r="B32" s="48">
        <v>0</v>
      </c>
      <c r="C32" s="49">
        <v>14.237399999999999</v>
      </c>
      <c r="D32" s="10">
        <f t="shared" si="0"/>
        <v>-0.38980777739764078</v>
      </c>
      <c r="E32" s="10">
        <f t="shared" si="1"/>
        <v>13.816554918032786</v>
      </c>
      <c r="F32" s="10">
        <f t="shared" si="13"/>
        <v>0.15195010331968867</v>
      </c>
      <c r="G32" s="10">
        <f t="shared" si="13"/>
        <v>190.89718980301595</v>
      </c>
      <c r="H32" s="11">
        <f t="shared" si="3"/>
        <v>-5.3858005638908031</v>
      </c>
      <c r="I32" s="12">
        <f t="shared" si="4"/>
        <v>14.237399999999999</v>
      </c>
      <c r="J32" s="28">
        <f t="shared" si="5"/>
        <v>202.70355875999996</v>
      </c>
      <c r="K32" s="30">
        <f t="shared" si="6"/>
        <v>14.237399999999999</v>
      </c>
      <c r="L32" s="5"/>
      <c r="M32" s="30">
        <f t="shared" si="7"/>
        <v>-14.237399999999999</v>
      </c>
      <c r="N32" s="42">
        <f t="shared" si="8"/>
        <v>-14.237399999999999</v>
      </c>
      <c r="O32" s="43">
        <f t="shared" si="9"/>
        <v>202.70355875999996</v>
      </c>
      <c r="P32" s="43">
        <f t="shared" si="10"/>
        <v>-0.34013437099999999</v>
      </c>
      <c r="Q32" s="43">
        <f t="shared" si="11"/>
        <v>-0.34013437099999999</v>
      </c>
      <c r="R32" s="43">
        <f t="shared" si="12"/>
        <v>0.11569139033556564</v>
      </c>
    </row>
    <row r="33" spans="1:18" ht="14.4" x14ac:dyDescent="0.3">
      <c r="A33" s="47">
        <v>38015</v>
      </c>
      <c r="B33" s="48">
        <v>0</v>
      </c>
      <c r="C33" s="49">
        <v>0</v>
      </c>
      <c r="D33" s="10">
        <f t="shared" si="0"/>
        <v>-0.38980777739764078</v>
      </c>
      <c r="E33" s="10">
        <f t="shared" si="1"/>
        <v>-0.42084508196721315</v>
      </c>
      <c r="F33" s="10">
        <f t="shared" si="13"/>
        <v>0.15195010331968867</v>
      </c>
      <c r="G33" s="10">
        <f t="shared" si="13"/>
        <v>0.17711058301599036</v>
      </c>
      <c r="H33" s="11">
        <f t="shared" si="3"/>
        <v>0.16404868603036732</v>
      </c>
      <c r="I33" s="12">
        <f t="shared" si="4"/>
        <v>0</v>
      </c>
      <c r="J33" s="28">
        <f t="shared" si="5"/>
        <v>0</v>
      </c>
      <c r="K33" s="30">
        <f t="shared" si="6"/>
        <v>0</v>
      </c>
      <c r="L33" s="5"/>
      <c r="M33" s="30">
        <f t="shared" si="7"/>
        <v>0</v>
      </c>
      <c r="N33" s="42">
        <f t="shared" si="8"/>
        <v>0</v>
      </c>
      <c r="O33" s="43">
        <f t="shared" si="9"/>
        <v>0</v>
      </c>
      <c r="P33" s="43">
        <f t="shared" si="10"/>
        <v>-0.34013437099999999</v>
      </c>
      <c r="Q33" s="43">
        <f t="shared" si="11"/>
        <v>-0.34013437099999999</v>
      </c>
      <c r="R33" s="43">
        <f t="shared" si="12"/>
        <v>0.11569139033556564</v>
      </c>
    </row>
    <row r="34" spans="1:18" ht="14.4" x14ac:dyDescent="0.3">
      <c r="A34" s="47">
        <v>38016</v>
      </c>
      <c r="B34" s="48">
        <v>0</v>
      </c>
      <c r="C34" s="49">
        <v>0</v>
      </c>
      <c r="D34" s="10">
        <f t="shared" si="0"/>
        <v>-0.38980777739764078</v>
      </c>
      <c r="E34" s="10">
        <f t="shared" si="1"/>
        <v>-0.42084508196721315</v>
      </c>
      <c r="F34" s="10">
        <f t="shared" si="13"/>
        <v>0.15195010331968867</v>
      </c>
      <c r="G34" s="10">
        <f t="shared" si="13"/>
        <v>0.17711058301599036</v>
      </c>
      <c r="H34" s="11">
        <f t="shared" si="3"/>
        <v>0.16404868603036732</v>
      </c>
      <c r="I34" s="12">
        <f t="shared" si="4"/>
        <v>0</v>
      </c>
      <c r="J34" s="28">
        <f t="shared" si="5"/>
        <v>0</v>
      </c>
      <c r="K34" s="30">
        <f t="shared" si="6"/>
        <v>0</v>
      </c>
      <c r="L34" s="5"/>
      <c r="M34" s="30">
        <f t="shared" si="7"/>
        <v>0</v>
      </c>
      <c r="N34" s="42">
        <f t="shared" si="8"/>
        <v>0</v>
      </c>
      <c r="O34" s="43">
        <f t="shared" si="9"/>
        <v>0</v>
      </c>
      <c r="P34" s="43">
        <f t="shared" si="10"/>
        <v>-0.34013437099999999</v>
      </c>
      <c r="Q34" s="43">
        <f t="shared" si="11"/>
        <v>-0.34013437099999999</v>
      </c>
      <c r="R34" s="43">
        <f t="shared" si="12"/>
        <v>0.11569139033556564</v>
      </c>
    </row>
    <row r="35" spans="1:18" ht="14.4" x14ac:dyDescent="0.3">
      <c r="A35" s="47">
        <v>38017</v>
      </c>
      <c r="B35" s="48">
        <v>1.9000275135040283</v>
      </c>
      <c r="C35" s="49">
        <v>0</v>
      </c>
      <c r="D35" s="10">
        <f t="shared" si="0"/>
        <v>1.5102197361063876</v>
      </c>
      <c r="E35" s="10">
        <f t="shared" si="1"/>
        <v>-0.42084508196721315</v>
      </c>
      <c r="F35" s="10">
        <f t="shared" si="13"/>
        <v>2.2807636513252469</v>
      </c>
      <c r="G35" s="10">
        <f t="shared" si="13"/>
        <v>0.17711058301599036</v>
      </c>
      <c r="H35" s="11">
        <f t="shared" si="3"/>
        <v>-0.63556854863019574</v>
      </c>
      <c r="I35" s="12">
        <f t="shared" si="4"/>
        <v>1.9000275135040283</v>
      </c>
      <c r="J35" s="28">
        <f t="shared" si="5"/>
        <v>3.6101045520723005</v>
      </c>
      <c r="K35" s="30">
        <f t="shared" si="6"/>
        <v>-1.9000275135040283</v>
      </c>
      <c r="L35" s="5"/>
      <c r="M35" s="30">
        <f t="shared" si="7"/>
        <v>1.9000275135040283</v>
      </c>
      <c r="N35" s="42">
        <f t="shared" si="8"/>
        <v>1.9000275135040283</v>
      </c>
      <c r="O35" s="43">
        <f t="shared" si="9"/>
        <v>3.6101045520723005</v>
      </c>
      <c r="P35" s="43">
        <f t="shared" si="10"/>
        <v>1.5598931425040283</v>
      </c>
      <c r="Q35" s="43">
        <f t="shared" si="11"/>
        <v>1.5598931425040283</v>
      </c>
      <c r="R35" s="43">
        <f t="shared" si="12"/>
        <v>2.433266616031093</v>
      </c>
    </row>
    <row r="36" spans="1:18" ht="14.4" x14ac:dyDescent="0.3">
      <c r="A36" s="47">
        <v>38018</v>
      </c>
      <c r="B36" s="48">
        <v>0</v>
      </c>
      <c r="C36" s="49">
        <v>0</v>
      </c>
      <c r="D36" s="10">
        <f t="shared" si="0"/>
        <v>-0.38980777739764078</v>
      </c>
      <c r="E36" s="10">
        <f t="shared" si="1"/>
        <v>-0.42084508196721315</v>
      </c>
      <c r="F36" s="10">
        <f t="shared" si="13"/>
        <v>0.15195010331968867</v>
      </c>
      <c r="G36" s="10">
        <f t="shared" si="13"/>
        <v>0.17711058301599036</v>
      </c>
      <c r="H36" s="11">
        <f t="shared" si="3"/>
        <v>0.16404868603036732</v>
      </c>
      <c r="I36" s="12">
        <f t="shared" si="4"/>
        <v>0</v>
      </c>
      <c r="J36" s="28">
        <f t="shared" si="5"/>
        <v>0</v>
      </c>
      <c r="K36" s="30">
        <f t="shared" si="6"/>
        <v>0</v>
      </c>
      <c r="L36" s="5"/>
      <c r="M36" s="30">
        <f t="shared" si="7"/>
        <v>0</v>
      </c>
      <c r="N36" s="42">
        <f t="shared" si="8"/>
        <v>0</v>
      </c>
      <c r="O36" s="43">
        <f t="shared" si="9"/>
        <v>0</v>
      </c>
      <c r="P36" s="43">
        <f t="shared" si="10"/>
        <v>-0.34013437099999999</v>
      </c>
      <c r="Q36" s="43">
        <f t="shared" si="11"/>
        <v>-0.34013437099999999</v>
      </c>
      <c r="R36" s="43">
        <f t="shared" si="12"/>
        <v>0.11569139033556564</v>
      </c>
    </row>
    <row r="37" spans="1:18" ht="14.4" x14ac:dyDescent="0.3">
      <c r="A37" s="47">
        <v>38019</v>
      </c>
      <c r="B37" s="48">
        <v>0</v>
      </c>
      <c r="C37" s="49">
        <v>0</v>
      </c>
      <c r="D37" s="10">
        <f t="shared" si="0"/>
        <v>-0.38980777739764078</v>
      </c>
      <c r="E37" s="10">
        <f t="shared" si="1"/>
        <v>-0.42084508196721315</v>
      </c>
      <c r="F37" s="10">
        <f t="shared" si="13"/>
        <v>0.15195010331968867</v>
      </c>
      <c r="G37" s="10">
        <f t="shared" si="13"/>
        <v>0.17711058301599036</v>
      </c>
      <c r="H37" s="11">
        <f t="shared" si="3"/>
        <v>0.16404868603036732</v>
      </c>
      <c r="I37" s="12">
        <f t="shared" si="4"/>
        <v>0</v>
      </c>
      <c r="J37" s="28">
        <f t="shared" si="5"/>
        <v>0</v>
      </c>
      <c r="K37" s="30">
        <f t="shared" si="6"/>
        <v>0</v>
      </c>
      <c r="L37" s="5"/>
      <c r="M37" s="30">
        <f t="shared" si="7"/>
        <v>0</v>
      </c>
      <c r="N37" s="42">
        <f t="shared" si="8"/>
        <v>0</v>
      </c>
      <c r="O37" s="43">
        <f t="shared" si="9"/>
        <v>0</v>
      </c>
      <c r="P37" s="43">
        <f t="shared" si="10"/>
        <v>-0.34013437099999999</v>
      </c>
      <c r="Q37" s="43">
        <f t="shared" si="11"/>
        <v>-0.34013437099999999</v>
      </c>
      <c r="R37" s="43">
        <f t="shared" si="12"/>
        <v>0.11569139033556564</v>
      </c>
    </row>
    <row r="38" spans="1:18" ht="14.4" x14ac:dyDescent="0.3">
      <c r="A38" s="47">
        <v>38020</v>
      </c>
      <c r="B38" s="48">
        <v>0</v>
      </c>
      <c r="C38" s="49">
        <v>0</v>
      </c>
      <c r="D38" s="10">
        <f t="shared" ref="D38:D69" si="14">B38-$C$375</f>
        <v>-0.38980777739764078</v>
      </c>
      <c r="E38" s="10">
        <f t="shared" ref="E38:E69" si="15">C38-$D$375</f>
        <v>-0.42084508196721315</v>
      </c>
      <c r="F38" s="10">
        <f t="shared" si="13"/>
        <v>0.15195010331968867</v>
      </c>
      <c r="G38" s="10">
        <f t="shared" si="13"/>
        <v>0.17711058301599036</v>
      </c>
      <c r="H38" s="11">
        <f t="shared" si="3"/>
        <v>0.16404868603036732</v>
      </c>
      <c r="I38" s="12">
        <f t="shared" si="4"/>
        <v>0</v>
      </c>
      <c r="J38" s="28">
        <f t="shared" si="5"/>
        <v>0</v>
      </c>
      <c r="K38" s="30">
        <f t="shared" si="6"/>
        <v>0</v>
      </c>
      <c r="L38" s="5"/>
      <c r="M38" s="30">
        <f t="shared" si="7"/>
        <v>0</v>
      </c>
      <c r="N38" s="42">
        <f t="shared" si="8"/>
        <v>0</v>
      </c>
      <c r="O38" s="43">
        <f t="shared" si="9"/>
        <v>0</v>
      </c>
      <c r="P38" s="43">
        <f t="shared" si="10"/>
        <v>-0.34013437099999999</v>
      </c>
      <c r="Q38" s="43">
        <f t="shared" si="11"/>
        <v>-0.34013437099999999</v>
      </c>
      <c r="R38" s="43">
        <f t="shared" si="12"/>
        <v>0.11569139033556564</v>
      </c>
    </row>
    <row r="39" spans="1:18" ht="14.4" x14ac:dyDescent="0.3">
      <c r="A39" s="47">
        <v>38021</v>
      </c>
      <c r="B39" s="48">
        <v>10.30665397644043</v>
      </c>
      <c r="C39" s="49">
        <v>2.7395999999999998</v>
      </c>
      <c r="D39" s="10">
        <f t="shared" si="14"/>
        <v>9.916846199042789</v>
      </c>
      <c r="E39" s="10">
        <f t="shared" si="15"/>
        <v>2.3187549180327869</v>
      </c>
      <c r="F39" s="10">
        <f t="shared" si="13"/>
        <v>98.343838535469416</v>
      </c>
      <c r="G39" s="10">
        <f t="shared" si="13"/>
        <v>5.3766243699012364</v>
      </c>
      <c r="H39" s="11">
        <f t="shared" si="3"/>
        <v>22.994735895405217</v>
      </c>
      <c r="I39" s="12">
        <f t="shared" si="4"/>
        <v>7.5670539764404303</v>
      </c>
      <c r="J39" s="28">
        <f t="shared" si="5"/>
        <v>57.260305882362928</v>
      </c>
      <c r="K39" s="30">
        <f t="shared" si="6"/>
        <v>-7.5670539764404303</v>
      </c>
      <c r="L39" s="5"/>
      <c r="M39" s="30">
        <f t="shared" si="7"/>
        <v>7.5670539764404303</v>
      </c>
      <c r="N39" s="42">
        <f t="shared" si="8"/>
        <v>7.5670539764404303</v>
      </c>
      <c r="O39" s="43">
        <f t="shared" si="9"/>
        <v>57.260305882362928</v>
      </c>
      <c r="P39" s="43">
        <f t="shared" si="10"/>
        <v>9.9665196054404301</v>
      </c>
      <c r="Q39" s="43">
        <f t="shared" si="11"/>
        <v>9.9665196054404301</v>
      </c>
      <c r="R39" s="43">
        <f t="shared" si="12"/>
        <v>99.331513045628469</v>
      </c>
    </row>
    <row r="40" spans="1:18" ht="14.4" x14ac:dyDescent="0.3">
      <c r="A40" s="47">
        <v>38022</v>
      </c>
      <c r="B40" s="48">
        <v>5.659782886505127</v>
      </c>
      <c r="C40" s="49">
        <v>1.8012999999999999</v>
      </c>
      <c r="D40" s="10">
        <f t="shared" si="14"/>
        <v>5.2699751091074862</v>
      </c>
      <c r="E40" s="10">
        <f t="shared" si="15"/>
        <v>1.3804549180327867</v>
      </c>
      <c r="F40" s="10">
        <f t="shared" si="13"/>
        <v>27.772637650612463</v>
      </c>
      <c r="G40" s="10">
        <f t="shared" si="13"/>
        <v>1.905655780720908</v>
      </c>
      <c r="H40" s="11">
        <f t="shared" si="3"/>
        <v>7.2749630572778017</v>
      </c>
      <c r="I40" s="12">
        <f t="shared" si="4"/>
        <v>3.8584828865051271</v>
      </c>
      <c r="J40" s="28">
        <f t="shared" si="5"/>
        <v>14.887890185452937</v>
      </c>
      <c r="K40" s="30">
        <f t="shared" si="6"/>
        <v>-3.8584828865051271</v>
      </c>
      <c r="L40" s="5"/>
      <c r="M40" s="30">
        <f t="shared" si="7"/>
        <v>3.8584828865051271</v>
      </c>
      <c r="N40" s="42">
        <f t="shared" si="8"/>
        <v>3.8584828865051271</v>
      </c>
      <c r="O40" s="43">
        <f t="shared" si="9"/>
        <v>14.887890185452937</v>
      </c>
      <c r="P40" s="43">
        <f t="shared" si="10"/>
        <v>5.3196485155051274</v>
      </c>
      <c r="Q40" s="43">
        <f t="shared" si="11"/>
        <v>5.3196485155051274</v>
      </c>
      <c r="R40" s="43">
        <f t="shared" si="12"/>
        <v>28.298660328515904</v>
      </c>
    </row>
    <row r="41" spans="1:18" ht="14.4" x14ac:dyDescent="0.3">
      <c r="A41" s="47">
        <v>38023</v>
      </c>
      <c r="B41" s="48">
        <v>0</v>
      </c>
      <c r="C41" s="49">
        <v>0</v>
      </c>
      <c r="D41" s="10">
        <f t="shared" si="14"/>
        <v>-0.38980777739764078</v>
      </c>
      <c r="E41" s="10">
        <f t="shared" si="15"/>
        <v>-0.42084508196721315</v>
      </c>
      <c r="F41" s="10">
        <f t="shared" si="13"/>
        <v>0.15195010331968867</v>
      </c>
      <c r="G41" s="10">
        <f t="shared" si="13"/>
        <v>0.17711058301599036</v>
      </c>
      <c r="H41" s="11">
        <f t="shared" si="3"/>
        <v>0.16404868603036732</v>
      </c>
      <c r="I41" s="12">
        <f t="shared" si="4"/>
        <v>0</v>
      </c>
      <c r="J41" s="28">
        <f t="shared" si="5"/>
        <v>0</v>
      </c>
      <c r="K41" s="30">
        <f t="shared" si="6"/>
        <v>0</v>
      </c>
      <c r="L41" s="5"/>
      <c r="M41" s="30">
        <f t="shared" si="7"/>
        <v>0</v>
      </c>
      <c r="N41" s="42">
        <f t="shared" si="8"/>
        <v>0</v>
      </c>
      <c r="O41" s="43">
        <f t="shared" si="9"/>
        <v>0</v>
      </c>
      <c r="P41" s="43">
        <f t="shared" si="10"/>
        <v>-0.34013437099999999</v>
      </c>
      <c r="Q41" s="43">
        <f t="shared" si="11"/>
        <v>-0.34013437099999999</v>
      </c>
      <c r="R41" s="43">
        <f t="shared" si="12"/>
        <v>0.11569139033556564</v>
      </c>
    </row>
    <row r="42" spans="1:18" ht="14.4" x14ac:dyDescent="0.3">
      <c r="A42" s="47">
        <v>38024</v>
      </c>
      <c r="B42" s="48">
        <v>0</v>
      </c>
      <c r="C42" s="49">
        <v>0</v>
      </c>
      <c r="D42" s="10">
        <f t="shared" si="14"/>
        <v>-0.38980777739764078</v>
      </c>
      <c r="E42" s="10">
        <f t="shared" si="15"/>
        <v>-0.42084508196721315</v>
      </c>
      <c r="F42" s="10">
        <f t="shared" si="13"/>
        <v>0.15195010331968867</v>
      </c>
      <c r="G42" s="10">
        <f t="shared" si="13"/>
        <v>0.17711058301599036</v>
      </c>
      <c r="H42" s="11">
        <f t="shared" si="3"/>
        <v>0.16404868603036732</v>
      </c>
      <c r="I42" s="12">
        <f t="shared" si="4"/>
        <v>0</v>
      </c>
      <c r="J42" s="28">
        <f t="shared" si="5"/>
        <v>0</v>
      </c>
      <c r="K42" s="30">
        <f t="shared" si="6"/>
        <v>0</v>
      </c>
      <c r="L42" s="5"/>
      <c r="M42" s="30">
        <f t="shared" si="7"/>
        <v>0</v>
      </c>
      <c r="N42" s="42">
        <f t="shared" si="8"/>
        <v>0</v>
      </c>
      <c r="O42" s="43">
        <f t="shared" si="9"/>
        <v>0</v>
      </c>
      <c r="P42" s="43">
        <f t="shared" si="10"/>
        <v>-0.34013437099999999</v>
      </c>
      <c r="Q42" s="43">
        <f t="shared" si="11"/>
        <v>-0.34013437099999999</v>
      </c>
      <c r="R42" s="43">
        <f t="shared" si="12"/>
        <v>0.11569139033556564</v>
      </c>
    </row>
    <row r="43" spans="1:18" ht="14.4" x14ac:dyDescent="0.3">
      <c r="A43" s="47">
        <v>38025</v>
      </c>
      <c r="B43" s="48">
        <v>0</v>
      </c>
      <c r="C43" s="49">
        <v>0</v>
      </c>
      <c r="D43" s="10">
        <f t="shared" si="14"/>
        <v>-0.38980777739764078</v>
      </c>
      <c r="E43" s="10">
        <f t="shared" si="15"/>
        <v>-0.42084508196721315</v>
      </c>
      <c r="F43" s="10">
        <f t="shared" si="13"/>
        <v>0.15195010331968867</v>
      </c>
      <c r="G43" s="10">
        <f t="shared" si="13"/>
        <v>0.17711058301599036</v>
      </c>
      <c r="H43" s="11">
        <f t="shared" si="3"/>
        <v>0.16404868603036732</v>
      </c>
      <c r="I43" s="12">
        <f t="shared" si="4"/>
        <v>0</v>
      </c>
      <c r="J43" s="28">
        <f t="shared" si="5"/>
        <v>0</v>
      </c>
      <c r="K43" s="30">
        <f t="shared" si="6"/>
        <v>0</v>
      </c>
      <c r="L43" s="5"/>
      <c r="M43" s="30">
        <f t="shared" si="7"/>
        <v>0</v>
      </c>
      <c r="N43" s="42">
        <f t="shared" si="8"/>
        <v>0</v>
      </c>
      <c r="O43" s="43">
        <f t="shared" si="9"/>
        <v>0</v>
      </c>
      <c r="P43" s="43">
        <f t="shared" si="10"/>
        <v>-0.34013437099999999</v>
      </c>
      <c r="Q43" s="43">
        <f t="shared" si="11"/>
        <v>-0.34013437099999999</v>
      </c>
      <c r="R43" s="43">
        <f t="shared" si="12"/>
        <v>0.11569139033556564</v>
      </c>
    </row>
    <row r="44" spans="1:18" ht="14.4" x14ac:dyDescent="0.3">
      <c r="A44" s="47">
        <v>38026</v>
      </c>
      <c r="B44" s="48">
        <v>0</v>
      </c>
      <c r="C44" s="49">
        <v>0</v>
      </c>
      <c r="D44" s="10">
        <f t="shared" si="14"/>
        <v>-0.38980777739764078</v>
      </c>
      <c r="E44" s="10">
        <f t="shared" si="15"/>
        <v>-0.42084508196721315</v>
      </c>
      <c r="F44" s="10">
        <f t="shared" si="13"/>
        <v>0.15195010331968867</v>
      </c>
      <c r="G44" s="10">
        <f t="shared" si="13"/>
        <v>0.17711058301599036</v>
      </c>
      <c r="H44" s="11">
        <f t="shared" si="3"/>
        <v>0.16404868603036732</v>
      </c>
      <c r="I44" s="12">
        <f t="shared" si="4"/>
        <v>0</v>
      </c>
      <c r="J44" s="28">
        <f t="shared" si="5"/>
        <v>0</v>
      </c>
      <c r="K44" s="30">
        <f t="shared" si="6"/>
        <v>0</v>
      </c>
      <c r="L44" s="5"/>
      <c r="M44" s="30">
        <f t="shared" si="7"/>
        <v>0</v>
      </c>
      <c r="N44" s="42">
        <f t="shared" si="8"/>
        <v>0</v>
      </c>
      <c r="O44" s="43">
        <f t="shared" si="9"/>
        <v>0</v>
      </c>
      <c r="P44" s="43">
        <f t="shared" si="10"/>
        <v>-0.34013437099999999</v>
      </c>
      <c r="Q44" s="43">
        <f t="shared" si="11"/>
        <v>-0.34013437099999999</v>
      </c>
      <c r="R44" s="43">
        <f t="shared" si="12"/>
        <v>0.11569139033556564</v>
      </c>
    </row>
    <row r="45" spans="1:18" ht="14.4" x14ac:dyDescent="0.3">
      <c r="A45" s="47">
        <v>38027</v>
      </c>
      <c r="B45" s="48">
        <v>9.1667555272579193E-2</v>
      </c>
      <c r="C45" s="49">
        <v>7.3308</v>
      </c>
      <c r="D45" s="10">
        <f t="shared" si="14"/>
        <v>-0.29814022212506158</v>
      </c>
      <c r="E45" s="10">
        <f t="shared" si="15"/>
        <v>6.9099549180327866</v>
      </c>
      <c r="F45" s="10">
        <f t="shared" si="13"/>
        <v>8.8887592048781064E-2</v>
      </c>
      <c r="G45" s="10">
        <f t="shared" si="13"/>
        <v>47.747476969245497</v>
      </c>
      <c r="H45" s="11">
        <f t="shared" si="3"/>
        <v>-2.0601354941364569</v>
      </c>
      <c r="I45" s="12">
        <f t="shared" si="4"/>
        <v>7.2391324447274208</v>
      </c>
      <c r="J45" s="28">
        <f t="shared" si="5"/>
        <v>52.405038552305207</v>
      </c>
      <c r="K45" s="30">
        <f t="shared" si="6"/>
        <v>7.2391324447274208</v>
      </c>
      <c r="L45" s="5"/>
      <c r="M45" s="30">
        <f t="shared" si="7"/>
        <v>-7.2391324447274208</v>
      </c>
      <c r="N45" s="42">
        <f t="shared" si="8"/>
        <v>-7.2391324447274208</v>
      </c>
      <c r="O45" s="43">
        <f t="shared" si="9"/>
        <v>52.405038552305207</v>
      </c>
      <c r="P45" s="43">
        <f t="shared" si="10"/>
        <v>-0.2484668157274208</v>
      </c>
      <c r="Q45" s="43">
        <f t="shared" si="11"/>
        <v>-0.2484668157274208</v>
      </c>
      <c r="R45" s="43">
        <f t="shared" si="12"/>
        <v>6.1735758517724081E-2</v>
      </c>
    </row>
    <row r="46" spans="1:18" ht="14.4" x14ac:dyDescent="0.3">
      <c r="A46" s="47">
        <v>38028</v>
      </c>
      <c r="B46" s="48">
        <v>0</v>
      </c>
      <c r="C46" s="49">
        <v>0</v>
      </c>
      <c r="D46" s="10">
        <f t="shared" si="14"/>
        <v>-0.38980777739764078</v>
      </c>
      <c r="E46" s="10">
        <f t="shared" si="15"/>
        <v>-0.42084508196721315</v>
      </c>
      <c r="F46" s="10">
        <f t="shared" si="13"/>
        <v>0.15195010331968867</v>
      </c>
      <c r="G46" s="10">
        <f t="shared" si="13"/>
        <v>0.17711058301599036</v>
      </c>
      <c r="H46" s="11">
        <f t="shared" si="3"/>
        <v>0.16404868603036732</v>
      </c>
      <c r="I46" s="12">
        <f t="shared" si="4"/>
        <v>0</v>
      </c>
      <c r="J46" s="28">
        <f t="shared" si="5"/>
        <v>0</v>
      </c>
      <c r="K46" s="30">
        <f t="shared" si="6"/>
        <v>0</v>
      </c>
      <c r="L46" s="5"/>
      <c r="M46" s="30">
        <f t="shared" si="7"/>
        <v>0</v>
      </c>
      <c r="N46" s="42">
        <f t="shared" si="8"/>
        <v>0</v>
      </c>
      <c r="O46" s="43">
        <f t="shared" si="9"/>
        <v>0</v>
      </c>
      <c r="P46" s="43">
        <f t="shared" si="10"/>
        <v>-0.34013437099999999</v>
      </c>
      <c r="Q46" s="43">
        <f t="shared" si="11"/>
        <v>-0.34013437099999999</v>
      </c>
      <c r="R46" s="43">
        <f t="shared" si="12"/>
        <v>0.11569139033556564</v>
      </c>
    </row>
    <row r="47" spans="1:18" ht="14.4" x14ac:dyDescent="0.3">
      <c r="A47" s="47">
        <v>38029</v>
      </c>
      <c r="B47" s="48">
        <v>0</v>
      </c>
      <c r="C47" s="49">
        <v>0</v>
      </c>
      <c r="D47" s="10">
        <f t="shared" si="14"/>
        <v>-0.38980777739764078</v>
      </c>
      <c r="E47" s="10">
        <f t="shared" si="15"/>
        <v>-0.42084508196721315</v>
      </c>
      <c r="F47" s="10">
        <f t="shared" si="13"/>
        <v>0.15195010331968867</v>
      </c>
      <c r="G47" s="10">
        <f t="shared" si="13"/>
        <v>0.17711058301599036</v>
      </c>
      <c r="H47" s="11">
        <f t="shared" si="3"/>
        <v>0.16404868603036732</v>
      </c>
      <c r="I47" s="12">
        <f t="shared" si="4"/>
        <v>0</v>
      </c>
      <c r="J47" s="28">
        <f t="shared" si="5"/>
        <v>0</v>
      </c>
      <c r="K47" s="30">
        <f t="shared" si="6"/>
        <v>0</v>
      </c>
      <c r="L47" s="5"/>
      <c r="M47" s="30">
        <f t="shared" si="7"/>
        <v>0</v>
      </c>
      <c r="N47" s="42">
        <f t="shared" si="8"/>
        <v>0</v>
      </c>
      <c r="O47" s="43">
        <f t="shared" si="9"/>
        <v>0</v>
      </c>
      <c r="P47" s="43">
        <f t="shared" si="10"/>
        <v>-0.34013437099999999</v>
      </c>
      <c r="Q47" s="43">
        <f t="shared" si="11"/>
        <v>-0.34013437099999999</v>
      </c>
      <c r="R47" s="43">
        <f t="shared" si="12"/>
        <v>0.11569139033556564</v>
      </c>
    </row>
    <row r="48" spans="1:18" ht="14.4" x14ac:dyDescent="0.3">
      <c r="A48" s="47">
        <v>38030</v>
      </c>
      <c r="B48" s="48">
        <v>7.5338869094848633</v>
      </c>
      <c r="C48" s="49">
        <v>0</v>
      </c>
      <c r="D48" s="10">
        <f t="shared" si="14"/>
        <v>7.1440791320872226</v>
      </c>
      <c r="E48" s="10">
        <f t="shared" si="15"/>
        <v>-0.42084508196721315</v>
      </c>
      <c r="F48" s="10">
        <f t="shared" si="13"/>
        <v>51.037866645524126</v>
      </c>
      <c r="G48" s="10">
        <f t="shared" si="13"/>
        <v>0.17711058301599036</v>
      </c>
      <c r="H48" s="11">
        <f t="shared" si="3"/>
        <v>-3.0065505679235041</v>
      </c>
      <c r="I48" s="12">
        <f t="shared" si="4"/>
        <v>7.5338869094848633</v>
      </c>
      <c r="J48" s="28">
        <f t="shared" si="5"/>
        <v>56.759451964907385</v>
      </c>
      <c r="K48" s="30">
        <f t="shared" si="6"/>
        <v>-7.5338869094848633</v>
      </c>
      <c r="L48" s="5"/>
      <c r="M48" s="30">
        <f t="shared" si="7"/>
        <v>7.5338869094848633</v>
      </c>
      <c r="N48" s="42">
        <f t="shared" si="8"/>
        <v>7.5338869094848633</v>
      </c>
      <c r="O48" s="43">
        <f t="shared" si="9"/>
        <v>56.759451964907385</v>
      </c>
      <c r="P48" s="43">
        <f t="shared" si="10"/>
        <v>7.1937525384848637</v>
      </c>
      <c r="Q48" s="43">
        <f t="shared" si="11"/>
        <v>7.1937525384848637</v>
      </c>
      <c r="R48" s="43">
        <f t="shared" si="12"/>
        <v>51.750075584957422</v>
      </c>
    </row>
    <row r="49" spans="1:18" ht="14.4" x14ac:dyDescent="0.3">
      <c r="A49" s="47">
        <v>38031</v>
      </c>
      <c r="B49" s="48">
        <v>11.905324935913086</v>
      </c>
      <c r="C49" s="49">
        <v>0.81499999999999995</v>
      </c>
      <c r="D49" s="10">
        <f t="shared" si="14"/>
        <v>11.515517158515445</v>
      </c>
      <c r="E49" s="10">
        <f t="shared" si="15"/>
        <v>0.39415491803278679</v>
      </c>
      <c r="F49" s="10">
        <f t="shared" si="13"/>
        <v>132.60713542806363</v>
      </c>
      <c r="G49" s="10">
        <f t="shared" si="13"/>
        <v>0.15535809940943288</v>
      </c>
      <c r="H49" s="11">
        <f t="shared" si="3"/>
        <v>4.5388977217198052</v>
      </c>
      <c r="I49" s="12">
        <f t="shared" si="4"/>
        <v>11.090324935913086</v>
      </c>
      <c r="J49" s="28">
        <f t="shared" si="5"/>
        <v>122.9953071841356</v>
      </c>
      <c r="K49" s="30">
        <f t="shared" si="6"/>
        <v>-11.090324935913086</v>
      </c>
      <c r="L49" s="5"/>
      <c r="M49" s="30">
        <f t="shared" si="7"/>
        <v>11.090324935913086</v>
      </c>
      <c r="N49" s="42">
        <f t="shared" si="8"/>
        <v>11.090324935913086</v>
      </c>
      <c r="O49" s="43">
        <f t="shared" si="9"/>
        <v>122.9953071841356</v>
      </c>
      <c r="P49" s="43">
        <f t="shared" si="10"/>
        <v>11.565190564913086</v>
      </c>
      <c r="Q49" s="43">
        <f t="shared" si="11"/>
        <v>11.565190564913086</v>
      </c>
      <c r="R49" s="43">
        <f t="shared" si="12"/>
        <v>133.75363280275468</v>
      </c>
    </row>
    <row r="50" spans="1:18" ht="14.4" x14ac:dyDescent="0.3">
      <c r="A50" s="47">
        <v>38032</v>
      </c>
      <c r="B50" s="48">
        <v>0.39036214351654053</v>
      </c>
      <c r="C50" s="49">
        <v>0</v>
      </c>
      <c r="D50" s="10">
        <f t="shared" si="14"/>
        <v>5.5436611889975174E-4</v>
      </c>
      <c r="E50" s="10">
        <f t="shared" si="15"/>
        <v>-0.42084508196721315</v>
      </c>
      <c r="F50" s="10">
        <f t="shared" si="13"/>
        <v>3.0732179378397369E-7</v>
      </c>
      <c r="G50" s="10">
        <f t="shared" si="13"/>
        <v>0.17711058301599036</v>
      </c>
      <c r="H50" s="11">
        <f t="shared" si="3"/>
        <v>-2.3330225474821185E-4</v>
      </c>
      <c r="I50" s="12">
        <f t="shared" si="4"/>
        <v>0.39036214351654053</v>
      </c>
      <c r="J50" s="28">
        <f t="shared" si="5"/>
        <v>0.15238260309082818</v>
      </c>
      <c r="K50" s="30">
        <f t="shared" si="6"/>
        <v>-0.39036214351654053</v>
      </c>
      <c r="L50" s="5"/>
      <c r="M50" s="30">
        <f t="shared" si="7"/>
        <v>0.39036214351654053</v>
      </c>
      <c r="N50" s="42">
        <f t="shared" si="8"/>
        <v>0.39036214351654053</v>
      </c>
      <c r="O50" s="43">
        <f t="shared" si="9"/>
        <v>0.15238260309082818</v>
      </c>
      <c r="P50" s="43">
        <f t="shared" si="10"/>
        <v>5.0227772516540536E-2</v>
      </c>
      <c r="Q50" s="43">
        <f t="shared" si="11"/>
        <v>5.0227772516540536E-2</v>
      </c>
      <c r="R50" s="43">
        <f t="shared" si="12"/>
        <v>2.5228291319733449E-3</v>
      </c>
    </row>
    <row r="51" spans="1:18" ht="14.4" x14ac:dyDescent="0.3">
      <c r="A51" s="47">
        <v>38033</v>
      </c>
      <c r="B51" s="48">
        <v>0</v>
      </c>
      <c r="C51" s="49">
        <v>0</v>
      </c>
      <c r="D51" s="10">
        <f t="shared" si="14"/>
        <v>-0.38980777739764078</v>
      </c>
      <c r="E51" s="10">
        <f t="shared" si="15"/>
        <v>-0.42084508196721315</v>
      </c>
      <c r="F51" s="10">
        <f t="shared" si="13"/>
        <v>0.15195010331968867</v>
      </c>
      <c r="G51" s="10">
        <f t="shared" si="13"/>
        <v>0.17711058301599036</v>
      </c>
      <c r="H51" s="11">
        <f t="shared" si="3"/>
        <v>0.16404868603036732</v>
      </c>
      <c r="I51" s="12">
        <f t="shared" si="4"/>
        <v>0</v>
      </c>
      <c r="J51" s="28">
        <f t="shared" si="5"/>
        <v>0</v>
      </c>
      <c r="K51" s="30">
        <f t="shared" si="6"/>
        <v>0</v>
      </c>
      <c r="L51" s="5"/>
      <c r="M51" s="30">
        <f t="shared" si="7"/>
        <v>0</v>
      </c>
      <c r="N51" s="42">
        <f t="shared" si="8"/>
        <v>0</v>
      </c>
      <c r="O51" s="43">
        <f t="shared" si="9"/>
        <v>0</v>
      </c>
      <c r="P51" s="43">
        <f t="shared" si="10"/>
        <v>-0.34013437099999999</v>
      </c>
      <c r="Q51" s="43">
        <f t="shared" si="11"/>
        <v>-0.34013437099999999</v>
      </c>
      <c r="R51" s="43">
        <f t="shared" si="12"/>
        <v>0.11569139033556564</v>
      </c>
    </row>
    <row r="52" spans="1:18" ht="14.4" x14ac:dyDescent="0.3">
      <c r="A52" s="47">
        <v>38034</v>
      </c>
      <c r="B52" s="48">
        <v>0</v>
      </c>
      <c r="C52" s="49">
        <v>0.60970000000000002</v>
      </c>
      <c r="D52" s="10">
        <f t="shared" si="14"/>
        <v>-0.38980777739764078</v>
      </c>
      <c r="E52" s="10">
        <f t="shared" si="15"/>
        <v>0.18885491803278687</v>
      </c>
      <c r="F52" s="10">
        <f t="shared" si="13"/>
        <v>0.15195010331968867</v>
      </c>
      <c r="G52" s="10">
        <f t="shared" si="13"/>
        <v>3.5666180065170645E-2</v>
      </c>
      <c r="H52" s="11">
        <f t="shared" si="3"/>
        <v>-7.3617115848974277E-2</v>
      </c>
      <c r="I52" s="12">
        <f t="shared" si="4"/>
        <v>0.60970000000000002</v>
      </c>
      <c r="J52" s="28">
        <f t="shared" si="5"/>
        <v>0.37173409000000002</v>
      </c>
      <c r="K52" s="30">
        <f t="shared" si="6"/>
        <v>0.60970000000000002</v>
      </c>
      <c r="L52" s="5"/>
      <c r="M52" s="30">
        <f t="shared" si="7"/>
        <v>-0.60970000000000002</v>
      </c>
      <c r="N52" s="42">
        <f t="shared" si="8"/>
        <v>-0.60970000000000002</v>
      </c>
      <c r="O52" s="43">
        <f t="shared" si="9"/>
        <v>0.37173409000000002</v>
      </c>
      <c r="P52" s="43">
        <f t="shared" si="10"/>
        <v>-0.34013437099999999</v>
      </c>
      <c r="Q52" s="43">
        <f t="shared" si="11"/>
        <v>-0.34013437099999999</v>
      </c>
      <c r="R52" s="43">
        <f t="shared" si="12"/>
        <v>0.11569139033556564</v>
      </c>
    </row>
    <row r="53" spans="1:18" ht="14.4" x14ac:dyDescent="0.3">
      <c r="A53" s="47">
        <v>38035</v>
      </c>
      <c r="B53" s="48">
        <v>0.78885006904602051</v>
      </c>
      <c r="C53" s="49">
        <v>0</v>
      </c>
      <c r="D53" s="10">
        <f t="shared" si="14"/>
        <v>0.39904229164837973</v>
      </c>
      <c r="E53" s="10">
        <f t="shared" si="15"/>
        <v>-0.42084508196721315</v>
      </c>
      <c r="F53" s="10">
        <f t="shared" si="13"/>
        <v>0.15923475052399055</v>
      </c>
      <c r="G53" s="10">
        <f t="shared" si="13"/>
        <v>0.17711058301599036</v>
      </c>
      <c r="H53" s="11">
        <f t="shared" si="3"/>
        <v>-0.16793498593714695</v>
      </c>
      <c r="I53" s="12">
        <f t="shared" si="4"/>
        <v>0.78885006904602051</v>
      </c>
      <c r="J53" s="28">
        <f t="shared" si="5"/>
        <v>0.62228443143391132</v>
      </c>
      <c r="K53" s="30">
        <f t="shared" si="6"/>
        <v>-0.78885006904602051</v>
      </c>
      <c r="L53" s="5"/>
      <c r="M53" s="30">
        <f t="shared" si="7"/>
        <v>0.78885006904602051</v>
      </c>
      <c r="N53" s="42">
        <f t="shared" si="8"/>
        <v>0.78885006904602051</v>
      </c>
      <c r="O53" s="43">
        <f t="shared" si="9"/>
        <v>0.62228443143391132</v>
      </c>
      <c r="P53" s="43">
        <f t="shared" si="10"/>
        <v>0.44871569804602052</v>
      </c>
      <c r="Q53" s="43">
        <f t="shared" si="11"/>
        <v>0.44871569804602052</v>
      </c>
      <c r="R53" s="43">
        <f t="shared" si="12"/>
        <v>0.20134577767292747</v>
      </c>
    </row>
    <row r="54" spans="1:18" ht="14.4" x14ac:dyDescent="0.3">
      <c r="A54" s="47">
        <v>38036</v>
      </c>
      <c r="B54" s="48">
        <v>0.10435318946838379</v>
      </c>
      <c r="C54" s="49">
        <v>0</v>
      </c>
      <c r="D54" s="10">
        <f t="shared" si="14"/>
        <v>-0.28545458792925699</v>
      </c>
      <c r="E54" s="10">
        <f t="shared" si="15"/>
        <v>-0.42084508196721315</v>
      </c>
      <c r="F54" s="10">
        <f t="shared" si="13"/>
        <v>8.1484321769861909E-2</v>
      </c>
      <c r="G54" s="10">
        <f t="shared" si="13"/>
        <v>0.17711058301599036</v>
      </c>
      <c r="H54" s="11">
        <f t="shared" si="3"/>
        <v>0.12013215945500522</v>
      </c>
      <c r="I54" s="12">
        <f t="shared" si="4"/>
        <v>0.10435318946838379</v>
      </c>
      <c r="J54" s="28">
        <f t="shared" si="5"/>
        <v>1.0889588152224405E-2</v>
      </c>
      <c r="K54" s="30">
        <f t="shared" si="6"/>
        <v>-0.10435318946838379</v>
      </c>
      <c r="L54" s="5"/>
      <c r="M54" s="30">
        <f t="shared" si="7"/>
        <v>0.10435318946838379</v>
      </c>
      <c r="N54" s="42">
        <f t="shared" si="8"/>
        <v>0.10435318946838379</v>
      </c>
      <c r="O54" s="43">
        <f t="shared" si="9"/>
        <v>1.0889588152224405E-2</v>
      </c>
      <c r="P54" s="43">
        <f t="shared" si="10"/>
        <v>-0.2357811815316162</v>
      </c>
      <c r="Q54" s="43">
        <f t="shared" si="11"/>
        <v>-0.2357811815316162</v>
      </c>
      <c r="R54" s="43">
        <f t="shared" si="12"/>
        <v>5.5592765564444951E-2</v>
      </c>
    </row>
    <row r="55" spans="1:18" ht="14.4" x14ac:dyDescent="0.3">
      <c r="A55" s="47">
        <v>38037</v>
      </c>
      <c r="B55" s="48">
        <v>0</v>
      </c>
      <c r="C55" s="49">
        <v>0</v>
      </c>
      <c r="D55" s="10">
        <f t="shared" si="14"/>
        <v>-0.38980777739764078</v>
      </c>
      <c r="E55" s="10">
        <f t="shared" si="15"/>
        <v>-0.42084508196721315</v>
      </c>
      <c r="F55" s="10">
        <f t="shared" si="13"/>
        <v>0.15195010331968867</v>
      </c>
      <c r="G55" s="10">
        <f t="shared" si="13"/>
        <v>0.17711058301599036</v>
      </c>
      <c r="H55" s="11">
        <f t="shared" si="3"/>
        <v>0.16404868603036732</v>
      </c>
      <c r="I55" s="12">
        <f t="shared" si="4"/>
        <v>0</v>
      </c>
      <c r="J55" s="28">
        <f t="shared" si="5"/>
        <v>0</v>
      </c>
      <c r="K55" s="30">
        <f t="shared" si="6"/>
        <v>0</v>
      </c>
      <c r="L55" s="5"/>
      <c r="M55" s="30">
        <f t="shared" si="7"/>
        <v>0</v>
      </c>
      <c r="N55" s="42">
        <f t="shared" si="8"/>
        <v>0</v>
      </c>
      <c r="O55" s="43">
        <f t="shared" si="9"/>
        <v>0</v>
      </c>
      <c r="P55" s="43">
        <f t="shared" si="10"/>
        <v>-0.34013437099999999</v>
      </c>
      <c r="Q55" s="43">
        <f t="shared" si="11"/>
        <v>-0.34013437099999999</v>
      </c>
      <c r="R55" s="43">
        <f t="shared" si="12"/>
        <v>0.11569139033556564</v>
      </c>
    </row>
    <row r="56" spans="1:18" ht="14.4" x14ac:dyDescent="0.3">
      <c r="A56" s="47">
        <v>38038</v>
      </c>
      <c r="B56" s="48">
        <v>0</v>
      </c>
      <c r="C56" s="49">
        <v>0</v>
      </c>
      <c r="D56" s="10">
        <f t="shared" si="14"/>
        <v>-0.38980777739764078</v>
      </c>
      <c r="E56" s="10">
        <f t="shared" si="15"/>
        <v>-0.42084508196721315</v>
      </c>
      <c r="F56" s="10">
        <f t="shared" si="13"/>
        <v>0.15195010331968867</v>
      </c>
      <c r="G56" s="10">
        <f t="shared" si="13"/>
        <v>0.17711058301599036</v>
      </c>
      <c r="H56" s="11">
        <f t="shared" si="3"/>
        <v>0.16404868603036732</v>
      </c>
      <c r="I56" s="12">
        <f t="shared" si="4"/>
        <v>0</v>
      </c>
      <c r="J56" s="28">
        <f t="shared" si="5"/>
        <v>0</v>
      </c>
      <c r="K56" s="30">
        <f t="shared" si="6"/>
        <v>0</v>
      </c>
      <c r="L56" s="5"/>
      <c r="M56" s="30">
        <f t="shared" si="7"/>
        <v>0</v>
      </c>
      <c r="N56" s="42">
        <f t="shared" si="8"/>
        <v>0</v>
      </c>
      <c r="O56" s="43">
        <f t="shared" si="9"/>
        <v>0</v>
      </c>
      <c r="P56" s="43">
        <f t="shared" si="10"/>
        <v>-0.34013437099999999</v>
      </c>
      <c r="Q56" s="43">
        <f t="shared" si="11"/>
        <v>-0.34013437099999999</v>
      </c>
      <c r="R56" s="43">
        <f t="shared" si="12"/>
        <v>0.11569139033556564</v>
      </c>
    </row>
    <row r="57" spans="1:18" ht="14.4" x14ac:dyDescent="0.3">
      <c r="A57" s="47">
        <v>38039</v>
      </c>
      <c r="B57" s="48">
        <v>0</v>
      </c>
      <c r="C57" s="49">
        <v>2.931</v>
      </c>
      <c r="D57" s="10">
        <f t="shared" si="14"/>
        <v>-0.38980777739764078</v>
      </c>
      <c r="E57" s="10">
        <f t="shared" si="15"/>
        <v>2.5101549180327867</v>
      </c>
      <c r="F57" s="10">
        <f t="shared" si="13"/>
        <v>0.15195010331968867</v>
      </c>
      <c r="G57" s="10">
        <f t="shared" si="13"/>
        <v>6.3008777125241862</v>
      </c>
      <c r="H57" s="11">
        <f t="shared" si="3"/>
        <v>-0.97847790952211777</v>
      </c>
      <c r="I57" s="12">
        <f t="shared" si="4"/>
        <v>2.931</v>
      </c>
      <c r="J57" s="28">
        <f t="shared" si="5"/>
        <v>8.5907610000000005</v>
      </c>
      <c r="K57" s="30">
        <f t="shared" si="6"/>
        <v>2.931</v>
      </c>
      <c r="L57" s="5"/>
      <c r="M57" s="30">
        <f t="shared" si="7"/>
        <v>-2.931</v>
      </c>
      <c r="N57" s="42">
        <f t="shared" si="8"/>
        <v>-2.931</v>
      </c>
      <c r="O57" s="43">
        <f t="shared" si="9"/>
        <v>8.5907610000000005</v>
      </c>
      <c r="P57" s="43">
        <f t="shared" si="10"/>
        <v>-0.34013437099999999</v>
      </c>
      <c r="Q57" s="43">
        <f t="shared" si="11"/>
        <v>-0.34013437099999999</v>
      </c>
      <c r="R57" s="43">
        <f t="shared" si="12"/>
        <v>0.11569139033556564</v>
      </c>
    </row>
    <row r="58" spans="1:18" ht="14.4" x14ac:dyDescent="0.3">
      <c r="A58" s="47">
        <v>38040</v>
      </c>
      <c r="B58" s="48">
        <v>0</v>
      </c>
      <c r="C58" s="49">
        <v>0</v>
      </c>
      <c r="D58" s="10">
        <f t="shared" si="14"/>
        <v>-0.38980777739764078</v>
      </c>
      <c r="E58" s="10">
        <f t="shared" si="15"/>
        <v>-0.42084508196721315</v>
      </c>
      <c r="F58" s="10">
        <f t="shared" si="13"/>
        <v>0.15195010331968867</v>
      </c>
      <c r="G58" s="10">
        <f t="shared" si="13"/>
        <v>0.17711058301599036</v>
      </c>
      <c r="H58" s="11">
        <f t="shared" si="3"/>
        <v>0.16404868603036732</v>
      </c>
      <c r="I58" s="12">
        <f t="shared" si="4"/>
        <v>0</v>
      </c>
      <c r="J58" s="28">
        <f t="shared" si="5"/>
        <v>0</v>
      </c>
      <c r="K58" s="30">
        <f t="shared" si="6"/>
        <v>0</v>
      </c>
      <c r="L58" s="5"/>
      <c r="M58" s="30">
        <f t="shared" si="7"/>
        <v>0</v>
      </c>
      <c r="N58" s="42">
        <f t="shared" si="8"/>
        <v>0</v>
      </c>
      <c r="O58" s="43">
        <f t="shared" si="9"/>
        <v>0</v>
      </c>
      <c r="P58" s="43">
        <f t="shared" si="10"/>
        <v>-0.34013437099999999</v>
      </c>
      <c r="Q58" s="43">
        <f t="shared" si="11"/>
        <v>-0.34013437099999999</v>
      </c>
      <c r="R58" s="43">
        <f t="shared" si="12"/>
        <v>0.11569139033556564</v>
      </c>
    </row>
    <row r="59" spans="1:18" ht="14.4" x14ac:dyDescent="0.3">
      <c r="A59" s="47">
        <v>38041</v>
      </c>
      <c r="B59" s="48">
        <v>0</v>
      </c>
      <c r="C59" s="49">
        <v>0</v>
      </c>
      <c r="D59" s="10">
        <f t="shared" si="14"/>
        <v>-0.38980777739764078</v>
      </c>
      <c r="E59" s="10">
        <f t="shared" si="15"/>
        <v>-0.42084508196721315</v>
      </c>
      <c r="F59" s="10">
        <f t="shared" si="13"/>
        <v>0.15195010331968867</v>
      </c>
      <c r="G59" s="10">
        <f t="shared" si="13"/>
        <v>0.17711058301599036</v>
      </c>
      <c r="H59" s="11">
        <f t="shared" si="3"/>
        <v>0.16404868603036732</v>
      </c>
      <c r="I59" s="12">
        <f t="shared" si="4"/>
        <v>0</v>
      </c>
      <c r="J59" s="28">
        <f t="shared" si="5"/>
        <v>0</v>
      </c>
      <c r="K59" s="30">
        <f t="shared" si="6"/>
        <v>0</v>
      </c>
      <c r="L59" s="5"/>
      <c r="M59" s="30">
        <f t="shared" si="7"/>
        <v>0</v>
      </c>
      <c r="N59" s="42">
        <f t="shared" si="8"/>
        <v>0</v>
      </c>
      <c r="O59" s="43">
        <f t="shared" si="9"/>
        <v>0</v>
      </c>
      <c r="P59" s="43">
        <f t="shared" si="10"/>
        <v>-0.34013437099999999</v>
      </c>
      <c r="Q59" s="43">
        <f t="shared" si="11"/>
        <v>-0.34013437099999999</v>
      </c>
      <c r="R59" s="43">
        <f t="shared" si="12"/>
        <v>0.11569139033556564</v>
      </c>
    </row>
    <row r="60" spans="1:18" ht="14.4" x14ac:dyDescent="0.3">
      <c r="A60" s="47">
        <v>38042</v>
      </c>
      <c r="B60" s="48">
        <v>0</v>
      </c>
      <c r="C60" s="49">
        <v>0</v>
      </c>
      <c r="D60" s="10">
        <f t="shared" si="14"/>
        <v>-0.38980777739764078</v>
      </c>
      <c r="E60" s="10">
        <f t="shared" si="15"/>
        <v>-0.42084508196721315</v>
      </c>
      <c r="F60" s="10">
        <f t="shared" si="13"/>
        <v>0.15195010331968867</v>
      </c>
      <c r="G60" s="10">
        <f t="shared" si="13"/>
        <v>0.17711058301599036</v>
      </c>
      <c r="H60" s="11">
        <f t="shared" si="3"/>
        <v>0.16404868603036732</v>
      </c>
      <c r="I60" s="12">
        <f t="shared" si="4"/>
        <v>0</v>
      </c>
      <c r="J60" s="28">
        <f t="shared" si="5"/>
        <v>0</v>
      </c>
      <c r="K60" s="30">
        <f t="shared" si="6"/>
        <v>0</v>
      </c>
      <c r="L60" s="5"/>
      <c r="M60" s="30">
        <f t="shared" si="7"/>
        <v>0</v>
      </c>
      <c r="N60" s="42">
        <f t="shared" si="8"/>
        <v>0</v>
      </c>
      <c r="O60" s="43">
        <f t="shared" si="9"/>
        <v>0</v>
      </c>
      <c r="P60" s="43">
        <f t="shared" si="10"/>
        <v>-0.34013437099999999</v>
      </c>
      <c r="Q60" s="43">
        <f t="shared" si="11"/>
        <v>-0.34013437099999999</v>
      </c>
      <c r="R60" s="43">
        <f t="shared" si="12"/>
        <v>0.11569139033556564</v>
      </c>
    </row>
    <row r="61" spans="1:18" ht="14.4" x14ac:dyDescent="0.3">
      <c r="A61" s="47">
        <v>38043</v>
      </c>
      <c r="B61" s="48">
        <v>0</v>
      </c>
      <c r="C61" s="49">
        <v>4.3825000000000003</v>
      </c>
      <c r="D61" s="10">
        <f t="shared" si="14"/>
        <v>-0.38980777739764078</v>
      </c>
      <c r="E61" s="10">
        <f t="shared" si="15"/>
        <v>3.9616549180327869</v>
      </c>
      <c r="F61" s="10">
        <f t="shared" si="13"/>
        <v>0.15195010331968867</v>
      </c>
      <c r="G61" s="10">
        <f t="shared" si="13"/>
        <v>15.694709689573367</v>
      </c>
      <c r="H61" s="11">
        <f t="shared" si="3"/>
        <v>-1.5442838984147935</v>
      </c>
      <c r="I61" s="12">
        <f t="shared" si="4"/>
        <v>4.3825000000000003</v>
      </c>
      <c r="J61" s="28">
        <f t="shared" si="5"/>
        <v>19.206306250000001</v>
      </c>
      <c r="K61" s="30">
        <f t="shared" si="6"/>
        <v>4.3825000000000003</v>
      </c>
      <c r="L61" s="5"/>
      <c r="M61" s="30">
        <f t="shared" si="7"/>
        <v>-4.3825000000000003</v>
      </c>
      <c r="N61" s="42">
        <f t="shared" si="8"/>
        <v>-4.3825000000000003</v>
      </c>
      <c r="O61" s="43">
        <f t="shared" si="9"/>
        <v>19.206306250000001</v>
      </c>
      <c r="P61" s="43">
        <f t="shared" si="10"/>
        <v>-0.34013437099999999</v>
      </c>
      <c r="Q61" s="43">
        <f t="shared" si="11"/>
        <v>-0.34013437099999999</v>
      </c>
      <c r="R61" s="43">
        <f t="shared" si="12"/>
        <v>0.11569139033556564</v>
      </c>
    </row>
    <row r="62" spans="1:18" ht="14.4" x14ac:dyDescent="0.3">
      <c r="A62" s="47">
        <v>38044</v>
      </c>
      <c r="B62" s="48">
        <v>0</v>
      </c>
      <c r="C62" s="49">
        <v>0</v>
      </c>
      <c r="D62" s="10">
        <f t="shared" si="14"/>
        <v>-0.38980777739764078</v>
      </c>
      <c r="E62" s="10">
        <f t="shared" si="15"/>
        <v>-0.42084508196721315</v>
      </c>
      <c r="F62" s="10">
        <f t="shared" si="13"/>
        <v>0.15195010331968867</v>
      </c>
      <c r="G62" s="10">
        <f t="shared" si="13"/>
        <v>0.17711058301599036</v>
      </c>
      <c r="H62" s="11">
        <f t="shared" si="3"/>
        <v>0.16404868603036732</v>
      </c>
      <c r="I62" s="12">
        <f t="shared" si="4"/>
        <v>0</v>
      </c>
      <c r="J62" s="28">
        <f t="shared" si="5"/>
        <v>0</v>
      </c>
      <c r="K62" s="30">
        <f t="shared" si="6"/>
        <v>0</v>
      </c>
      <c r="L62" s="5"/>
      <c r="M62" s="30">
        <f t="shared" si="7"/>
        <v>0</v>
      </c>
      <c r="N62" s="42">
        <f t="shared" si="8"/>
        <v>0</v>
      </c>
      <c r="O62" s="43">
        <f t="shared" si="9"/>
        <v>0</v>
      </c>
      <c r="P62" s="43">
        <f t="shared" si="10"/>
        <v>-0.34013437099999999</v>
      </c>
      <c r="Q62" s="43">
        <f t="shared" si="11"/>
        <v>-0.34013437099999999</v>
      </c>
      <c r="R62" s="43">
        <f t="shared" si="12"/>
        <v>0.11569139033556564</v>
      </c>
    </row>
    <row r="63" spans="1:18" ht="14.4" x14ac:dyDescent="0.3">
      <c r="A63" s="47">
        <v>38045</v>
      </c>
      <c r="B63" s="48">
        <v>0</v>
      </c>
      <c r="C63" s="49">
        <v>1.3511</v>
      </c>
      <c r="D63" s="10">
        <f t="shared" si="14"/>
        <v>-0.38980777739764078</v>
      </c>
      <c r="E63" s="10">
        <f t="shared" si="15"/>
        <v>0.93025491803278682</v>
      </c>
      <c r="F63" s="10">
        <f t="shared" si="13"/>
        <v>0.15195010331968867</v>
      </c>
      <c r="G63" s="10">
        <f t="shared" si="13"/>
        <v>0.86537421252418689</v>
      </c>
      <c r="H63" s="11">
        <f t="shared" si="3"/>
        <v>-0.36262060201158514</v>
      </c>
      <c r="I63" s="12">
        <f t="shared" si="4"/>
        <v>1.3511</v>
      </c>
      <c r="J63" s="28">
        <f t="shared" si="5"/>
        <v>1.8254712099999999</v>
      </c>
      <c r="K63" s="30">
        <f t="shared" si="6"/>
        <v>1.3511</v>
      </c>
      <c r="L63" s="5"/>
      <c r="M63" s="30">
        <f t="shared" si="7"/>
        <v>-1.3511</v>
      </c>
      <c r="N63" s="42">
        <f t="shared" si="8"/>
        <v>-1.3511</v>
      </c>
      <c r="O63" s="43">
        <f t="shared" si="9"/>
        <v>1.8254712099999999</v>
      </c>
      <c r="P63" s="43">
        <f t="shared" si="10"/>
        <v>-0.34013437099999999</v>
      </c>
      <c r="Q63" s="43">
        <f t="shared" si="11"/>
        <v>-0.34013437099999999</v>
      </c>
      <c r="R63" s="43">
        <f t="shared" si="12"/>
        <v>0.11569139033556564</v>
      </c>
    </row>
    <row r="64" spans="1:18" ht="14.4" x14ac:dyDescent="0.3">
      <c r="A64" s="47">
        <v>38046</v>
      </c>
      <c r="B64" s="48">
        <v>0</v>
      </c>
      <c r="C64" s="49">
        <v>0</v>
      </c>
      <c r="D64" s="10">
        <f t="shared" si="14"/>
        <v>-0.38980777739764078</v>
      </c>
      <c r="E64" s="10">
        <f t="shared" si="15"/>
        <v>-0.42084508196721315</v>
      </c>
      <c r="F64" s="10">
        <f t="shared" si="13"/>
        <v>0.15195010331968867</v>
      </c>
      <c r="G64" s="10">
        <f t="shared" si="13"/>
        <v>0.17711058301599036</v>
      </c>
      <c r="H64" s="11">
        <f t="shared" si="3"/>
        <v>0.16404868603036732</v>
      </c>
      <c r="I64" s="12">
        <f t="shared" si="4"/>
        <v>0</v>
      </c>
      <c r="J64" s="28">
        <f t="shared" si="5"/>
        <v>0</v>
      </c>
      <c r="K64" s="30">
        <f t="shared" si="6"/>
        <v>0</v>
      </c>
      <c r="L64" s="5"/>
      <c r="M64" s="30">
        <f t="shared" si="7"/>
        <v>0</v>
      </c>
      <c r="N64" s="42">
        <f t="shared" si="8"/>
        <v>0</v>
      </c>
      <c r="O64" s="43">
        <f t="shared" si="9"/>
        <v>0</v>
      </c>
      <c r="P64" s="43">
        <f t="shared" si="10"/>
        <v>-0.34013437099999999</v>
      </c>
      <c r="Q64" s="43">
        <f t="shared" si="11"/>
        <v>-0.34013437099999999</v>
      </c>
      <c r="R64" s="43">
        <f t="shared" si="12"/>
        <v>0.11569139033556564</v>
      </c>
    </row>
    <row r="65" spans="1:18" ht="14.4" x14ac:dyDescent="0.3">
      <c r="A65" s="47">
        <v>38047</v>
      </c>
      <c r="B65" s="48">
        <v>0</v>
      </c>
      <c r="C65" s="49">
        <v>0</v>
      </c>
      <c r="D65" s="10">
        <f t="shared" si="14"/>
        <v>-0.38980777739764078</v>
      </c>
      <c r="E65" s="10">
        <f t="shared" si="15"/>
        <v>-0.42084508196721315</v>
      </c>
      <c r="F65" s="10">
        <f t="shared" si="13"/>
        <v>0.15195010331968867</v>
      </c>
      <c r="G65" s="10">
        <f t="shared" si="13"/>
        <v>0.17711058301599036</v>
      </c>
      <c r="H65" s="11">
        <f t="shared" si="3"/>
        <v>0.16404868603036732</v>
      </c>
      <c r="I65" s="12">
        <f t="shared" si="4"/>
        <v>0</v>
      </c>
      <c r="J65" s="28">
        <f t="shared" si="5"/>
        <v>0</v>
      </c>
      <c r="K65" s="30">
        <f t="shared" si="6"/>
        <v>0</v>
      </c>
      <c r="L65" s="5"/>
      <c r="M65" s="30">
        <f t="shared" si="7"/>
        <v>0</v>
      </c>
      <c r="N65" s="42">
        <f t="shared" si="8"/>
        <v>0</v>
      </c>
      <c r="O65" s="43">
        <f t="shared" si="9"/>
        <v>0</v>
      </c>
      <c r="P65" s="43">
        <f t="shared" si="10"/>
        <v>-0.34013437099999999</v>
      </c>
      <c r="Q65" s="43">
        <f t="shared" si="11"/>
        <v>-0.34013437099999999</v>
      </c>
      <c r="R65" s="43">
        <f t="shared" si="12"/>
        <v>0.11569139033556564</v>
      </c>
    </row>
    <row r="66" spans="1:18" ht="14.4" x14ac:dyDescent="0.3">
      <c r="A66" s="47">
        <v>38048</v>
      </c>
      <c r="B66" s="48">
        <v>0</v>
      </c>
      <c r="C66" s="49">
        <v>0</v>
      </c>
      <c r="D66" s="10">
        <f t="shared" si="14"/>
        <v>-0.38980777739764078</v>
      </c>
      <c r="E66" s="10">
        <f t="shared" si="15"/>
        <v>-0.42084508196721315</v>
      </c>
      <c r="F66" s="10">
        <f t="shared" si="13"/>
        <v>0.15195010331968867</v>
      </c>
      <c r="G66" s="10">
        <f t="shared" si="13"/>
        <v>0.17711058301599036</v>
      </c>
      <c r="H66" s="11">
        <f t="shared" si="3"/>
        <v>0.16404868603036732</v>
      </c>
      <c r="I66" s="12">
        <f t="shared" si="4"/>
        <v>0</v>
      </c>
      <c r="J66" s="28">
        <f t="shared" si="5"/>
        <v>0</v>
      </c>
      <c r="K66" s="30">
        <f t="shared" si="6"/>
        <v>0</v>
      </c>
      <c r="L66" s="5"/>
      <c r="M66" s="30">
        <f t="shared" si="7"/>
        <v>0</v>
      </c>
      <c r="N66" s="42">
        <f t="shared" si="8"/>
        <v>0</v>
      </c>
      <c r="O66" s="43">
        <f t="shared" si="9"/>
        <v>0</v>
      </c>
      <c r="P66" s="43">
        <f t="shared" si="10"/>
        <v>-0.34013437099999999</v>
      </c>
      <c r="Q66" s="43">
        <f t="shared" si="11"/>
        <v>-0.34013437099999999</v>
      </c>
      <c r="R66" s="43">
        <f t="shared" si="12"/>
        <v>0.11569139033556564</v>
      </c>
    </row>
    <row r="67" spans="1:18" ht="14.4" x14ac:dyDescent="0.3">
      <c r="A67" s="47">
        <v>38049</v>
      </c>
      <c r="B67" s="48">
        <v>0</v>
      </c>
      <c r="C67" s="49">
        <v>0</v>
      </c>
      <c r="D67" s="10">
        <f t="shared" si="14"/>
        <v>-0.38980777739764078</v>
      </c>
      <c r="E67" s="10">
        <f t="shared" si="15"/>
        <v>-0.42084508196721315</v>
      </c>
      <c r="F67" s="10">
        <f t="shared" si="13"/>
        <v>0.15195010331968867</v>
      </c>
      <c r="G67" s="10">
        <f t="shared" si="13"/>
        <v>0.17711058301599036</v>
      </c>
      <c r="H67" s="11">
        <f t="shared" si="3"/>
        <v>0.16404868603036732</v>
      </c>
      <c r="I67" s="12">
        <f t="shared" si="4"/>
        <v>0</v>
      </c>
      <c r="J67" s="28">
        <f t="shared" si="5"/>
        <v>0</v>
      </c>
      <c r="K67" s="30">
        <f t="shared" si="6"/>
        <v>0</v>
      </c>
      <c r="L67" s="5"/>
      <c r="M67" s="30">
        <f t="shared" si="7"/>
        <v>0</v>
      </c>
      <c r="N67" s="42">
        <f t="shared" si="8"/>
        <v>0</v>
      </c>
      <c r="O67" s="43">
        <f t="shared" si="9"/>
        <v>0</v>
      </c>
      <c r="P67" s="43">
        <f t="shared" si="10"/>
        <v>-0.34013437099999999</v>
      </c>
      <c r="Q67" s="43">
        <f t="shared" si="11"/>
        <v>-0.34013437099999999</v>
      </c>
      <c r="R67" s="43">
        <f t="shared" si="12"/>
        <v>0.11569139033556564</v>
      </c>
    </row>
    <row r="68" spans="1:18" ht="14.4" x14ac:dyDescent="0.3">
      <c r="A68" s="47">
        <v>38050</v>
      </c>
      <c r="B68" s="48">
        <v>0</v>
      </c>
      <c r="C68" s="49">
        <v>0</v>
      </c>
      <c r="D68" s="10">
        <f t="shared" si="14"/>
        <v>-0.38980777739764078</v>
      </c>
      <c r="E68" s="10">
        <f t="shared" si="15"/>
        <v>-0.42084508196721315</v>
      </c>
      <c r="F68" s="10">
        <f t="shared" si="13"/>
        <v>0.15195010331968867</v>
      </c>
      <c r="G68" s="10">
        <f t="shared" si="13"/>
        <v>0.17711058301599036</v>
      </c>
      <c r="H68" s="11">
        <f t="shared" si="3"/>
        <v>0.16404868603036732</v>
      </c>
      <c r="I68" s="12">
        <f t="shared" si="4"/>
        <v>0</v>
      </c>
      <c r="J68" s="28">
        <f t="shared" si="5"/>
        <v>0</v>
      </c>
      <c r="K68" s="30">
        <f t="shared" si="6"/>
        <v>0</v>
      </c>
      <c r="L68" s="5"/>
      <c r="M68" s="30">
        <f t="shared" si="7"/>
        <v>0</v>
      </c>
      <c r="N68" s="42">
        <f t="shared" si="8"/>
        <v>0</v>
      </c>
      <c r="O68" s="43">
        <f t="shared" si="9"/>
        <v>0</v>
      </c>
      <c r="P68" s="43">
        <f t="shared" si="10"/>
        <v>-0.34013437099999999</v>
      </c>
      <c r="Q68" s="43">
        <f t="shared" si="11"/>
        <v>-0.34013437099999999</v>
      </c>
      <c r="R68" s="43">
        <f t="shared" si="12"/>
        <v>0.11569139033556564</v>
      </c>
    </row>
    <row r="69" spans="1:18" ht="14.4" x14ac:dyDescent="0.3">
      <c r="A69" s="47">
        <v>38051</v>
      </c>
      <c r="B69" s="48">
        <v>1.1068876981735229</v>
      </c>
      <c r="C69" s="49">
        <v>0</v>
      </c>
      <c r="D69" s="10">
        <f t="shared" si="14"/>
        <v>0.71707992077588223</v>
      </c>
      <c r="E69" s="10">
        <f t="shared" si="15"/>
        <v>-0.42084508196721315</v>
      </c>
      <c r="F69" s="10">
        <f t="shared" si="13"/>
        <v>0.51420361277994553</v>
      </c>
      <c r="G69" s="10">
        <f t="shared" si="13"/>
        <v>0.17711058301599036</v>
      </c>
      <c r="H69" s="11">
        <f t="shared" si="3"/>
        <v>-0.3017795580359689</v>
      </c>
      <c r="I69" s="12">
        <f t="shared" si="4"/>
        <v>1.1068876981735229</v>
      </c>
      <c r="J69" s="28">
        <f t="shared" si="5"/>
        <v>1.22520037636788</v>
      </c>
      <c r="K69" s="30">
        <f t="shared" si="6"/>
        <v>-1.1068876981735229</v>
      </c>
      <c r="L69" s="5"/>
      <c r="M69" s="30">
        <f t="shared" si="7"/>
        <v>1.1068876981735229</v>
      </c>
      <c r="N69" s="42">
        <f t="shared" si="8"/>
        <v>1.1068876981735229</v>
      </c>
      <c r="O69" s="43">
        <f t="shared" si="9"/>
        <v>1.22520037636788</v>
      </c>
      <c r="P69" s="43">
        <f t="shared" si="10"/>
        <v>0.76675332717352296</v>
      </c>
      <c r="Q69" s="43">
        <f t="shared" si="11"/>
        <v>0.76675332717352296</v>
      </c>
      <c r="R69" s="43">
        <f t="shared" si="12"/>
        <v>0.58791066473166753</v>
      </c>
    </row>
    <row r="70" spans="1:18" ht="14.4" x14ac:dyDescent="0.3">
      <c r="A70" s="47">
        <v>38052</v>
      </c>
      <c r="B70" s="48">
        <v>0.44278484582901001</v>
      </c>
      <c r="C70" s="49">
        <v>0</v>
      </c>
      <c r="D70" s="10">
        <f t="shared" ref="D70:D133" si="16">B70-$C$375</f>
        <v>5.2977068431369234E-2</v>
      </c>
      <c r="E70" s="10">
        <f t="shared" ref="E70:E133" si="17">C70-$D$375</f>
        <v>-0.42084508196721315</v>
      </c>
      <c r="F70" s="10">
        <f t="shared" si="13"/>
        <v>2.8065697795819785E-3</v>
      </c>
      <c r="G70" s="10">
        <f t="shared" si="13"/>
        <v>0.17711058301599036</v>
      </c>
      <c r="H70" s="11">
        <f t="shared" si="3"/>
        <v>-2.2295138706382247E-2</v>
      </c>
      <c r="I70" s="12">
        <f t="shared" si="4"/>
        <v>0.44278484582901001</v>
      </c>
      <c r="J70" s="28">
        <f t="shared" si="5"/>
        <v>0.19605841969582016</v>
      </c>
      <c r="K70" s="30">
        <f t="shared" ref="K70:K133" si="18">C70-B70</f>
        <v>-0.44278484582901001</v>
      </c>
      <c r="L70" s="5"/>
      <c r="M70" s="30">
        <f t="shared" ref="M70:M133" si="19">B70-C70</f>
        <v>0.44278484582901001</v>
      </c>
      <c r="N70" s="42">
        <f t="shared" ref="N70:N133" si="20">B70-C70</f>
        <v>0.44278484582901001</v>
      </c>
      <c r="O70" s="43">
        <f t="shared" ref="O70:O133" si="21">M70*N70</f>
        <v>0.19605841969582016</v>
      </c>
      <c r="P70" s="43">
        <f t="shared" ref="P70:P133" si="22">B70-0.340134371</f>
        <v>0.10265047482901002</v>
      </c>
      <c r="Q70" s="43">
        <f t="shared" ref="Q70:Q133" si="23">B70-0.340134371</f>
        <v>0.10265047482901002</v>
      </c>
      <c r="R70" s="43">
        <f t="shared" ref="R70:R133" si="24">P70*Q70</f>
        <v>1.053711998262122E-2</v>
      </c>
    </row>
    <row r="71" spans="1:18" ht="14.4" x14ac:dyDescent="0.3">
      <c r="A71" s="47">
        <v>38053</v>
      </c>
      <c r="B71" s="48">
        <v>0</v>
      </c>
      <c r="C71" s="49">
        <v>0</v>
      </c>
      <c r="D71" s="10">
        <f t="shared" si="16"/>
        <v>-0.38980777739764078</v>
      </c>
      <c r="E71" s="10">
        <f t="shared" si="17"/>
        <v>-0.42084508196721315</v>
      </c>
      <c r="F71" s="10">
        <f t="shared" si="13"/>
        <v>0.15195010331968867</v>
      </c>
      <c r="G71" s="10">
        <f t="shared" si="13"/>
        <v>0.17711058301599036</v>
      </c>
      <c r="H71" s="11">
        <f t="shared" si="3"/>
        <v>0.16404868603036732</v>
      </c>
      <c r="I71" s="12">
        <f t="shared" si="4"/>
        <v>0</v>
      </c>
      <c r="J71" s="28">
        <f t="shared" si="5"/>
        <v>0</v>
      </c>
      <c r="K71" s="30">
        <f t="shared" si="18"/>
        <v>0</v>
      </c>
      <c r="L71" s="5"/>
      <c r="M71" s="30">
        <f t="shared" si="19"/>
        <v>0</v>
      </c>
      <c r="N71" s="42">
        <f t="shared" si="20"/>
        <v>0</v>
      </c>
      <c r="O71" s="43">
        <f t="shared" si="21"/>
        <v>0</v>
      </c>
      <c r="P71" s="43">
        <f t="shared" si="22"/>
        <v>-0.34013437099999999</v>
      </c>
      <c r="Q71" s="43">
        <f t="shared" si="23"/>
        <v>-0.34013437099999999</v>
      </c>
      <c r="R71" s="43">
        <f t="shared" si="24"/>
        <v>0.11569139033556564</v>
      </c>
    </row>
    <row r="72" spans="1:18" ht="14.4" x14ac:dyDescent="0.3">
      <c r="A72" s="47">
        <v>38054</v>
      </c>
      <c r="B72" s="48">
        <v>0</v>
      </c>
      <c r="C72" s="49">
        <v>0</v>
      </c>
      <c r="D72" s="10">
        <f t="shared" si="16"/>
        <v>-0.38980777739764078</v>
      </c>
      <c r="E72" s="10">
        <f t="shared" si="17"/>
        <v>-0.42084508196721315</v>
      </c>
      <c r="F72" s="10">
        <f t="shared" si="13"/>
        <v>0.15195010331968867</v>
      </c>
      <c r="G72" s="10">
        <f t="shared" si="13"/>
        <v>0.17711058301599036</v>
      </c>
      <c r="H72" s="11">
        <f t="shared" si="3"/>
        <v>0.16404868603036732</v>
      </c>
      <c r="I72" s="12">
        <f t="shared" si="4"/>
        <v>0</v>
      </c>
      <c r="J72" s="28">
        <f t="shared" si="5"/>
        <v>0</v>
      </c>
      <c r="K72" s="30">
        <f t="shared" si="18"/>
        <v>0</v>
      </c>
      <c r="L72" s="5"/>
      <c r="M72" s="30">
        <f t="shared" si="19"/>
        <v>0</v>
      </c>
      <c r="N72" s="42">
        <f t="shared" si="20"/>
        <v>0</v>
      </c>
      <c r="O72" s="43">
        <f t="shared" si="21"/>
        <v>0</v>
      </c>
      <c r="P72" s="43">
        <f t="shared" si="22"/>
        <v>-0.34013437099999999</v>
      </c>
      <c r="Q72" s="43">
        <f t="shared" si="23"/>
        <v>-0.34013437099999999</v>
      </c>
      <c r="R72" s="43">
        <f t="shared" si="24"/>
        <v>0.11569139033556564</v>
      </c>
    </row>
    <row r="73" spans="1:18" ht="14.4" x14ac:dyDescent="0.3">
      <c r="A73" s="47">
        <v>38055</v>
      </c>
      <c r="B73" s="48">
        <v>0</v>
      </c>
      <c r="C73" s="49">
        <v>0</v>
      </c>
      <c r="D73" s="10">
        <f t="shared" si="16"/>
        <v>-0.38980777739764078</v>
      </c>
      <c r="E73" s="10">
        <f t="shared" si="17"/>
        <v>-0.42084508196721315</v>
      </c>
      <c r="F73" s="10">
        <f t="shared" si="13"/>
        <v>0.15195010331968867</v>
      </c>
      <c r="G73" s="10">
        <f t="shared" si="13"/>
        <v>0.17711058301599036</v>
      </c>
      <c r="H73" s="11">
        <f t="shared" si="3"/>
        <v>0.16404868603036732</v>
      </c>
      <c r="I73" s="12">
        <f t="shared" si="4"/>
        <v>0</v>
      </c>
      <c r="J73" s="28">
        <f t="shared" si="5"/>
        <v>0</v>
      </c>
      <c r="K73" s="30">
        <f t="shared" si="18"/>
        <v>0</v>
      </c>
      <c r="L73" s="5"/>
      <c r="M73" s="30">
        <f t="shared" si="19"/>
        <v>0</v>
      </c>
      <c r="N73" s="42">
        <f t="shared" si="20"/>
        <v>0</v>
      </c>
      <c r="O73" s="43">
        <f t="shared" si="21"/>
        <v>0</v>
      </c>
      <c r="P73" s="43">
        <f t="shared" si="22"/>
        <v>-0.34013437099999999</v>
      </c>
      <c r="Q73" s="43">
        <f t="shared" si="23"/>
        <v>-0.34013437099999999</v>
      </c>
      <c r="R73" s="43">
        <f t="shared" si="24"/>
        <v>0.11569139033556564</v>
      </c>
    </row>
    <row r="74" spans="1:18" ht="14.4" x14ac:dyDescent="0.3">
      <c r="A74" s="47">
        <v>38056</v>
      </c>
      <c r="B74" s="48">
        <v>0</v>
      </c>
      <c r="C74" s="49">
        <v>0</v>
      </c>
      <c r="D74" s="10">
        <f t="shared" si="16"/>
        <v>-0.38980777739764078</v>
      </c>
      <c r="E74" s="10">
        <f t="shared" si="17"/>
        <v>-0.42084508196721315</v>
      </c>
      <c r="F74" s="10">
        <f t="shared" si="13"/>
        <v>0.15195010331968867</v>
      </c>
      <c r="G74" s="10">
        <f t="shared" si="13"/>
        <v>0.17711058301599036</v>
      </c>
      <c r="H74" s="11">
        <f t="shared" si="3"/>
        <v>0.16404868603036732</v>
      </c>
      <c r="I74" s="12">
        <f t="shared" si="4"/>
        <v>0</v>
      </c>
      <c r="J74" s="28">
        <f t="shared" si="5"/>
        <v>0</v>
      </c>
      <c r="K74" s="30">
        <f t="shared" si="18"/>
        <v>0</v>
      </c>
      <c r="L74" s="5"/>
      <c r="M74" s="30">
        <f t="shared" si="19"/>
        <v>0</v>
      </c>
      <c r="N74" s="42">
        <f t="shared" si="20"/>
        <v>0</v>
      </c>
      <c r="O74" s="43">
        <f t="shared" si="21"/>
        <v>0</v>
      </c>
      <c r="P74" s="43">
        <f t="shared" si="22"/>
        <v>-0.34013437099999999</v>
      </c>
      <c r="Q74" s="43">
        <f t="shared" si="23"/>
        <v>-0.34013437099999999</v>
      </c>
      <c r="R74" s="43">
        <f t="shared" si="24"/>
        <v>0.11569139033556564</v>
      </c>
    </row>
    <row r="75" spans="1:18" ht="14.4" x14ac:dyDescent="0.3">
      <c r="A75" s="47">
        <v>38057</v>
      </c>
      <c r="B75" s="48">
        <v>0</v>
      </c>
      <c r="C75" s="49">
        <v>0</v>
      </c>
      <c r="D75" s="10">
        <f t="shared" si="16"/>
        <v>-0.38980777739764078</v>
      </c>
      <c r="E75" s="10">
        <f t="shared" si="17"/>
        <v>-0.42084508196721315</v>
      </c>
      <c r="F75" s="10">
        <f t="shared" si="13"/>
        <v>0.15195010331968867</v>
      </c>
      <c r="G75" s="10">
        <f t="shared" si="13"/>
        <v>0.17711058301599036</v>
      </c>
      <c r="H75" s="11">
        <f t="shared" si="3"/>
        <v>0.16404868603036732</v>
      </c>
      <c r="I75" s="12">
        <f t="shared" si="4"/>
        <v>0</v>
      </c>
      <c r="J75" s="28">
        <f t="shared" si="5"/>
        <v>0</v>
      </c>
      <c r="K75" s="30">
        <f t="shared" si="18"/>
        <v>0</v>
      </c>
      <c r="L75" s="5"/>
      <c r="M75" s="30">
        <f t="shared" si="19"/>
        <v>0</v>
      </c>
      <c r="N75" s="42">
        <f t="shared" si="20"/>
        <v>0</v>
      </c>
      <c r="O75" s="43">
        <f t="shared" si="21"/>
        <v>0</v>
      </c>
      <c r="P75" s="43">
        <f t="shared" si="22"/>
        <v>-0.34013437099999999</v>
      </c>
      <c r="Q75" s="43">
        <f t="shared" si="23"/>
        <v>-0.34013437099999999</v>
      </c>
      <c r="R75" s="43">
        <f t="shared" si="24"/>
        <v>0.11569139033556564</v>
      </c>
    </row>
    <row r="76" spans="1:18" ht="14.4" x14ac:dyDescent="0.3">
      <c r="A76" s="47">
        <v>38058</v>
      </c>
      <c r="B76" s="48">
        <v>0</v>
      </c>
      <c r="C76" s="49">
        <v>0</v>
      </c>
      <c r="D76" s="10">
        <f t="shared" si="16"/>
        <v>-0.38980777739764078</v>
      </c>
      <c r="E76" s="10">
        <f t="shared" si="17"/>
        <v>-0.42084508196721315</v>
      </c>
      <c r="F76" s="10">
        <f t="shared" si="13"/>
        <v>0.15195010331968867</v>
      </c>
      <c r="G76" s="10">
        <f t="shared" si="13"/>
        <v>0.17711058301599036</v>
      </c>
      <c r="H76" s="11">
        <f t="shared" si="3"/>
        <v>0.16404868603036732</v>
      </c>
      <c r="I76" s="12">
        <f t="shared" si="4"/>
        <v>0</v>
      </c>
      <c r="J76" s="28">
        <f t="shared" si="5"/>
        <v>0</v>
      </c>
      <c r="K76" s="30">
        <f t="shared" si="18"/>
        <v>0</v>
      </c>
      <c r="L76" s="5"/>
      <c r="M76" s="30">
        <f t="shared" si="19"/>
        <v>0</v>
      </c>
      <c r="N76" s="42">
        <f t="shared" si="20"/>
        <v>0</v>
      </c>
      <c r="O76" s="43">
        <f t="shared" si="21"/>
        <v>0</v>
      </c>
      <c r="P76" s="43">
        <f t="shared" si="22"/>
        <v>-0.34013437099999999</v>
      </c>
      <c r="Q76" s="43">
        <f t="shared" si="23"/>
        <v>-0.34013437099999999</v>
      </c>
      <c r="R76" s="43">
        <f t="shared" si="24"/>
        <v>0.11569139033556564</v>
      </c>
    </row>
    <row r="77" spans="1:18" ht="14.4" x14ac:dyDescent="0.3">
      <c r="A77" s="47">
        <v>38059</v>
      </c>
      <c r="B77" s="48">
        <v>0</v>
      </c>
      <c r="C77" s="49">
        <v>0</v>
      </c>
      <c r="D77" s="10">
        <f t="shared" si="16"/>
        <v>-0.38980777739764078</v>
      </c>
      <c r="E77" s="10">
        <f t="shared" si="17"/>
        <v>-0.42084508196721315</v>
      </c>
      <c r="F77" s="10">
        <f t="shared" si="13"/>
        <v>0.15195010331968867</v>
      </c>
      <c r="G77" s="10">
        <f t="shared" si="13"/>
        <v>0.17711058301599036</v>
      </c>
      <c r="H77" s="11">
        <f t="shared" si="3"/>
        <v>0.16404868603036732</v>
      </c>
      <c r="I77" s="12">
        <f t="shared" si="4"/>
        <v>0</v>
      </c>
      <c r="J77" s="28">
        <f t="shared" si="5"/>
        <v>0</v>
      </c>
      <c r="K77" s="30">
        <f t="shared" si="18"/>
        <v>0</v>
      </c>
      <c r="L77" s="5"/>
      <c r="M77" s="30">
        <f t="shared" si="19"/>
        <v>0</v>
      </c>
      <c r="N77" s="42">
        <f t="shared" si="20"/>
        <v>0</v>
      </c>
      <c r="O77" s="43">
        <f t="shared" si="21"/>
        <v>0</v>
      </c>
      <c r="P77" s="43">
        <f t="shared" si="22"/>
        <v>-0.34013437099999999</v>
      </c>
      <c r="Q77" s="43">
        <f t="shared" si="23"/>
        <v>-0.34013437099999999</v>
      </c>
      <c r="R77" s="43">
        <f t="shared" si="24"/>
        <v>0.11569139033556564</v>
      </c>
    </row>
    <row r="78" spans="1:18" ht="14.4" x14ac:dyDescent="0.3">
      <c r="A78" s="47">
        <v>38060</v>
      </c>
      <c r="B78" s="48">
        <v>0</v>
      </c>
      <c r="C78" s="49">
        <v>0</v>
      </c>
      <c r="D78" s="10">
        <f t="shared" si="16"/>
        <v>-0.38980777739764078</v>
      </c>
      <c r="E78" s="10">
        <f t="shared" si="17"/>
        <v>-0.42084508196721315</v>
      </c>
      <c r="F78" s="10">
        <f t="shared" si="13"/>
        <v>0.15195010331968867</v>
      </c>
      <c r="G78" s="10">
        <f t="shared" si="13"/>
        <v>0.17711058301599036</v>
      </c>
      <c r="H78" s="11">
        <f t="shared" si="3"/>
        <v>0.16404868603036732</v>
      </c>
      <c r="I78" s="12">
        <f t="shared" si="4"/>
        <v>0</v>
      </c>
      <c r="J78" s="28">
        <f t="shared" si="5"/>
        <v>0</v>
      </c>
      <c r="K78" s="30">
        <f t="shared" si="18"/>
        <v>0</v>
      </c>
      <c r="L78" s="5"/>
      <c r="M78" s="30">
        <f t="shared" si="19"/>
        <v>0</v>
      </c>
      <c r="N78" s="42">
        <f t="shared" si="20"/>
        <v>0</v>
      </c>
      <c r="O78" s="43">
        <f t="shared" si="21"/>
        <v>0</v>
      </c>
      <c r="P78" s="43">
        <f t="shared" si="22"/>
        <v>-0.34013437099999999</v>
      </c>
      <c r="Q78" s="43">
        <f t="shared" si="23"/>
        <v>-0.34013437099999999</v>
      </c>
      <c r="R78" s="43">
        <f t="shared" si="24"/>
        <v>0.11569139033556564</v>
      </c>
    </row>
    <row r="79" spans="1:18" ht="14.4" x14ac:dyDescent="0.3">
      <c r="A79" s="47">
        <v>38061</v>
      </c>
      <c r="B79" s="48">
        <v>0</v>
      </c>
      <c r="C79" s="49">
        <v>0</v>
      </c>
      <c r="D79" s="10">
        <f t="shared" si="16"/>
        <v>-0.38980777739764078</v>
      </c>
      <c r="E79" s="10">
        <f t="shared" si="17"/>
        <v>-0.42084508196721315</v>
      </c>
      <c r="F79" s="10">
        <f t="shared" si="13"/>
        <v>0.15195010331968867</v>
      </c>
      <c r="G79" s="10">
        <f t="shared" si="13"/>
        <v>0.17711058301599036</v>
      </c>
      <c r="H79" s="11">
        <f t="shared" si="3"/>
        <v>0.16404868603036732</v>
      </c>
      <c r="I79" s="12">
        <f t="shared" si="4"/>
        <v>0</v>
      </c>
      <c r="J79" s="28">
        <f t="shared" si="5"/>
        <v>0</v>
      </c>
      <c r="K79" s="30">
        <f t="shared" si="18"/>
        <v>0</v>
      </c>
      <c r="L79" s="5"/>
      <c r="M79" s="30">
        <f t="shared" si="19"/>
        <v>0</v>
      </c>
      <c r="N79" s="42">
        <f t="shared" si="20"/>
        <v>0</v>
      </c>
      <c r="O79" s="43">
        <f t="shared" si="21"/>
        <v>0</v>
      </c>
      <c r="P79" s="43">
        <f t="shared" si="22"/>
        <v>-0.34013437099999999</v>
      </c>
      <c r="Q79" s="43">
        <f t="shared" si="23"/>
        <v>-0.34013437099999999</v>
      </c>
      <c r="R79" s="43">
        <f t="shared" si="24"/>
        <v>0.11569139033556564</v>
      </c>
    </row>
    <row r="80" spans="1:18" ht="14.4" x14ac:dyDescent="0.3">
      <c r="A80" s="47">
        <v>38062</v>
      </c>
      <c r="B80" s="48">
        <v>0</v>
      </c>
      <c r="C80" s="49">
        <v>0</v>
      </c>
      <c r="D80" s="10">
        <f t="shared" si="16"/>
        <v>-0.38980777739764078</v>
      </c>
      <c r="E80" s="10">
        <f t="shared" si="17"/>
        <v>-0.42084508196721315</v>
      </c>
      <c r="F80" s="10">
        <f t="shared" si="13"/>
        <v>0.15195010331968867</v>
      </c>
      <c r="G80" s="10">
        <f t="shared" si="13"/>
        <v>0.17711058301599036</v>
      </c>
      <c r="H80" s="11">
        <f t="shared" si="3"/>
        <v>0.16404868603036732</v>
      </c>
      <c r="I80" s="12">
        <f t="shared" si="4"/>
        <v>0</v>
      </c>
      <c r="J80" s="28">
        <f t="shared" si="5"/>
        <v>0</v>
      </c>
      <c r="K80" s="30">
        <f t="shared" si="18"/>
        <v>0</v>
      </c>
      <c r="L80" s="5"/>
      <c r="M80" s="30">
        <f t="shared" si="19"/>
        <v>0</v>
      </c>
      <c r="N80" s="42">
        <f t="shared" si="20"/>
        <v>0</v>
      </c>
      <c r="O80" s="43">
        <f t="shared" si="21"/>
        <v>0</v>
      </c>
      <c r="P80" s="43">
        <f t="shared" si="22"/>
        <v>-0.34013437099999999</v>
      </c>
      <c r="Q80" s="43">
        <f t="shared" si="23"/>
        <v>-0.34013437099999999</v>
      </c>
      <c r="R80" s="43">
        <f t="shared" si="24"/>
        <v>0.11569139033556564</v>
      </c>
    </row>
    <row r="81" spans="1:18" ht="14.4" x14ac:dyDescent="0.3">
      <c r="A81" s="47">
        <v>38063</v>
      </c>
      <c r="B81" s="48">
        <v>0</v>
      </c>
      <c r="C81" s="49">
        <v>0</v>
      </c>
      <c r="D81" s="10">
        <f t="shared" si="16"/>
        <v>-0.38980777739764078</v>
      </c>
      <c r="E81" s="10">
        <f t="shared" si="17"/>
        <v>-0.42084508196721315</v>
      </c>
      <c r="F81" s="10">
        <f t="shared" si="13"/>
        <v>0.15195010331968867</v>
      </c>
      <c r="G81" s="10">
        <f t="shared" si="13"/>
        <v>0.17711058301599036</v>
      </c>
      <c r="H81" s="11">
        <f t="shared" si="3"/>
        <v>0.16404868603036732</v>
      </c>
      <c r="I81" s="12">
        <f t="shared" si="4"/>
        <v>0</v>
      </c>
      <c r="J81" s="28">
        <f t="shared" si="5"/>
        <v>0</v>
      </c>
      <c r="K81" s="30">
        <f t="shared" si="18"/>
        <v>0</v>
      </c>
      <c r="L81" s="5"/>
      <c r="M81" s="30">
        <f t="shared" si="19"/>
        <v>0</v>
      </c>
      <c r="N81" s="42">
        <f t="shared" si="20"/>
        <v>0</v>
      </c>
      <c r="O81" s="43">
        <f t="shared" si="21"/>
        <v>0</v>
      </c>
      <c r="P81" s="43">
        <f t="shared" si="22"/>
        <v>-0.34013437099999999</v>
      </c>
      <c r="Q81" s="43">
        <f t="shared" si="23"/>
        <v>-0.34013437099999999</v>
      </c>
      <c r="R81" s="43">
        <f t="shared" si="24"/>
        <v>0.11569139033556564</v>
      </c>
    </row>
    <row r="82" spans="1:18" ht="14.4" x14ac:dyDescent="0.3">
      <c r="A82" s="47">
        <v>38064</v>
      </c>
      <c r="B82" s="48">
        <v>0</v>
      </c>
      <c r="C82" s="49">
        <v>0</v>
      </c>
      <c r="D82" s="10">
        <f t="shared" si="16"/>
        <v>-0.38980777739764078</v>
      </c>
      <c r="E82" s="10">
        <f t="shared" si="17"/>
        <v>-0.42084508196721315</v>
      </c>
      <c r="F82" s="10">
        <f t="shared" si="13"/>
        <v>0.15195010331968867</v>
      </c>
      <c r="G82" s="10">
        <f t="shared" si="13"/>
        <v>0.17711058301599036</v>
      </c>
      <c r="H82" s="11">
        <f t="shared" si="3"/>
        <v>0.16404868603036732</v>
      </c>
      <c r="I82" s="12">
        <f t="shared" si="4"/>
        <v>0</v>
      </c>
      <c r="J82" s="28">
        <f t="shared" si="5"/>
        <v>0</v>
      </c>
      <c r="K82" s="30">
        <f t="shared" si="18"/>
        <v>0</v>
      </c>
      <c r="L82" s="5"/>
      <c r="M82" s="30">
        <f t="shared" si="19"/>
        <v>0</v>
      </c>
      <c r="N82" s="42">
        <f t="shared" si="20"/>
        <v>0</v>
      </c>
      <c r="O82" s="43">
        <f t="shared" si="21"/>
        <v>0</v>
      </c>
      <c r="P82" s="43">
        <f t="shared" si="22"/>
        <v>-0.34013437099999999</v>
      </c>
      <c r="Q82" s="43">
        <f t="shared" si="23"/>
        <v>-0.34013437099999999</v>
      </c>
      <c r="R82" s="43">
        <f t="shared" si="24"/>
        <v>0.11569139033556564</v>
      </c>
    </row>
    <row r="83" spans="1:18" ht="14.4" x14ac:dyDescent="0.3">
      <c r="A83" s="47">
        <v>38065</v>
      </c>
      <c r="B83" s="48">
        <v>0</v>
      </c>
      <c r="C83" s="49">
        <v>0</v>
      </c>
      <c r="D83" s="10">
        <f t="shared" si="16"/>
        <v>-0.38980777739764078</v>
      </c>
      <c r="E83" s="10">
        <f t="shared" si="17"/>
        <v>-0.42084508196721315</v>
      </c>
      <c r="F83" s="10">
        <f t="shared" si="13"/>
        <v>0.15195010331968867</v>
      </c>
      <c r="G83" s="10">
        <f t="shared" si="13"/>
        <v>0.17711058301599036</v>
      </c>
      <c r="H83" s="11">
        <f t="shared" si="3"/>
        <v>0.16404868603036732</v>
      </c>
      <c r="I83" s="12">
        <f t="shared" si="4"/>
        <v>0</v>
      </c>
      <c r="J83" s="28">
        <f t="shared" si="5"/>
        <v>0</v>
      </c>
      <c r="K83" s="30">
        <f t="shared" si="18"/>
        <v>0</v>
      </c>
      <c r="L83" s="5"/>
      <c r="M83" s="30">
        <f t="shared" si="19"/>
        <v>0</v>
      </c>
      <c r="N83" s="42">
        <f t="shared" si="20"/>
        <v>0</v>
      </c>
      <c r="O83" s="43">
        <f t="shared" si="21"/>
        <v>0</v>
      </c>
      <c r="P83" s="43">
        <f t="shared" si="22"/>
        <v>-0.34013437099999999</v>
      </c>
      <c r="Q83" s="43">
        <f t="shared" si="23"/>
        <v>-0.34013437099999999</v>
      </c>
      <c r="R83" s="43">
        <f t="shared" si="24"/>
        <v>0.11569139033556564</v>
      </c>
    </row>
    <row r="84" spans="1:18" ht="14.4" x14ac:dyDescent="0.3">
      <c r="A84" s="47">
        <v>38066</v>
      </c>
      <c r="B84" s="48">
        <v>0</v>
      </c>
      <c r="C84" s="49">
        <v>0</v>
      </c>
      <c r="D84" s="10">
        <f t="shared" si="16"/>
        <v>-0.38980777739764078</v>
      </c>
      <c r="E84" s="10">
        <f t="shared" si="17"/>
        <v>-0.42084508196721315</v>
      </c>
      <c r="F84" s="10">
        <f t="shared" si="13"/>
        <v>0.15195010331968867</v>
      </c>
      <c r="G84" s="10">
        <f t="shared" si="13"/>
        <v>0.17711058301599036</v>
      </c>
      <c r="H84" s="11">
        <f t="shared" si="3"/>
        <v>0.16404868603036732</v>
      </c>
      <c r="I84" s="12">
        <f t="shared" si="4"/>
        <v>0</v>
      </c>
      <c r="J84" s="28">
        <f t="shared" si="5"/>
        <v>0</v>
      </c>
      <c r="K84" s="30">
        <f t="shared" si="18"/>
        <v>0</v>
      </c>
      <c r="L84" s="5"/>
      <c r="M84" s="30">
        <f t="shared" si="19"/>
        <v>0</v>
      </c>
      <c r="N84" s="42">
        <f t="shared" si="20"/>
        <v>0</v>
      </c>
      <c r="O84" s="43">
        <f t="shared" si="21"/>
        <v>0</v>
      </c>
      <c r="P84" s="43">
        <f t="shared" si="22"/>
        <v>-0.34013437099999999</v>
      </c>
      <c r="Q84" s="43">
        <f t="shared" si="23"/>
        <v>-0.34013437099999999</v>
      </c>
      <c r="R84" s="43">
        <f t="shared" si="24"/>
        <v>0.11569139033556564</v>
      </c>
    </row>
    <row r="85" spans="1:18" ht="14.4" x14ac:dyDescent="0.3">
      <c r="A85" s="47">
        <v>38067</v>
      </c>
      <c r="B85" s="48">
        <v>0</v>
      </c>
      <c r="C85" s="49">
        <v>0</v>
      </c>
      <c r="D85" s="10">
        <f t="shared" si="16"/>
        <v>-0.38980777739764078</v>
      </c>
      <c r="E85" s="10">
        <f t="shared" si="17"/>
        <v>-0.42084508196721315</v>
      </c>
      <c r="F85" s="10">
        <f t="shared" ref="F85:G148" si="25">D85^2</f>
        <v>0.15195010331968867</v>
      </c>
      <c r="G85" s="10">
        <f t="shared" si="25"/>
        <v>0.17711058301599036</v>
      </c>
      <c r="H85" s="11">
        <f t="shared" si="3"/>
        <v>0.16404868603036732</v>
      </c>
      <c r="I85" s="12">
        <f t="shared" si="4"/>
        <v>0</v>
      </c>
      <c r="J85" s="28">
        <f t="shared" si="5"/>
        <v>0</v>
      </c>
      <c r="K85" s="30">
        <f t="shared" si="18"/>
        <v>0</v>
      </c>
      <c r="L85" s="5"/>
      <c r="M85" s="30">
        <f t="shared" si="19"/>
        <v>0</v>
      </c>
      <c r="N85" s="42">
        <f t="shared" si="20"/>
        <v>0</v>
      </c>
      <c r="O85" s="43">
        <f t="shared" si="21"/>
        <v>0</v>
      </c>
      <c r="P85" s="43">
        <f t="shared" si="22"/>
        <v>-0.34013437099999999</v>
      </c>
      <c r="Q85" s="43">
        <f t="shared" si="23"/>
        <v>-0.34013437099999999</v>
      </c>
      <c r="R85" s="43">
        <f t="shared" si="24"/>
        <v>0.11569139033556564</v>
      </c>
    </row>
    <row r="86" spans="1:18" ht="14.4" x14ac:dyDescent="0.3">
      <c r="A86" s="47">
        <v>38068</v>
      </c>
      <c r="B86" s="48">
        <v>0</v>
      </c>
      <c r="C86" s="49">
        <v>0</v>
      </c>
      <c r="D86" s="10">
        <f t="shared" si="16"/>
        <v>-0.38980777739764078</v>
      </c>
      <c r="E86" s="10">
        <f t="shared" si="17"/>
        <v>-0.42084508196721315</v>
      </c>
      <c r="F86" s="10">
        <f t="shared" si="25"/>
        <v>0.15195010331968867</v>
      </c>
      <c r="G86" s="10">
        <f t="shared" si="25"/>
        <v>0.17711058301599036</v>
      </c>
      <c r="H86" s="11">
        <f t="shared" si="3"/>
        <v>0.16404868603036732</v>
      </c>
      <c r="I86" s="12">
        <f t="shared" si="4"/>
        <v>0</v>
      </c>
      <c r="J86" s="28">
        <f t="shared" si="5"/>
        <v>0</v>
      </c>
      <c r="K86" s="30">
        <f t="shared" si="18"/>
        <v>0</v>
      </c>
      <c r="L86" s="5"/>
      <c r="M86" s="30">
        <f t="shared" si="19"/>
        <v>0</v>
      </c>
      <c r="N86" s="42">
        <f t="shared" si="20"/>
        <v>0</v>
      </c>
      <c r="O86" s="43">
        <f t="shared" si="21"/>
        <v>0</v>
      </c>
      <c r="P86" s="43">
        <f t="shared" si="22"/>
        <v>-0.34013437099999999</v>
      </c>
      <c r="Q86" s="43">
        <f t="shared" si="23"/>
        <v>-0.34013437099999999</v>
      </c>
      <c r="R86" s="43">
        <f t="shared" si="24"/>
        <v>0.11569139033556564</v>
      </c>
    </row>
    <row r="87" spans="1:18" ht="14.4" x14ac:dyDescent="0.3">
      <c r="A87" s="47">
        <v>38069</v>
      </c>
      <c r="B87" s="48">
        <v>0</v>
      </c>
      <c r="C87" s="49">
        <v>0</v>
      </c>
      <c r="D87" s="10">
        <f t="shared" si="16"/>
        <v>-0.38980777739764078</v>
      </c>
      <c r="E87" s="10">
        <f t="shared" si="17"/>
        <v>-0.42084508196721315</v>
      </c>
      <c r="F87" s="10">
        <f t="shared" si="25"/>
        <v>0.15195010331968867</v>
      </c>
      <c r="G87" s="10">
        <f t="shared" si="25"/>
        <v>0.17711058301599036</v>
      </c>
      <c r="H87" s="11">
        <f t="shared" si="3"/>
        <v>0.16404868603036732</v>
      </c>
      <c r="I87" s="12">
        <f t="shared" si="4"/>
        <v>0</v>
      </c>
      <c r="J87" s="28">
        <f t="shared" si="5"/>
        <v>0</v>
      </c>
      <c r="K87" s="30">
        <f t="shared" si="18"/>
        <v>0</v>
      </c>
      <c r="L87" s="5"/>
      <c r="M87" s="30">
        <f t="shared" si="19"/>
        <v>0</v>
      </c>
      <c r="N87" s="42">
        <f t="shared" si="20"/>
        <v>0</v>
      </c>
      <c r="O87" s="43">
        <f t="shared" si="21"/>
        <v>0</v>
      </c>
      <c r="P87" s="43">
        <f t="shared" si="22"/>
        <v>-0.34013437099999999</v>
      </c>
      <c r="Q87" s="43">
        <f t="shared" si="23"/>
        <v>-0.34013437099999999</v>
      </c>
      <c r="R87" s="43">
        <f t="shared" si="24"/>
        <v>0.11569139033556564</v>
      </c>
    </row>
    <row r="88" spans="1:18" ht="14.4" x14ac:dyDescent="0.3">
      <c r="A88" s="47">
        <v>38070</v>
      </c>
      <c r="B88" s="48">
        <v>0</v>
      </c>
      <c r="C88" s="49">
        <v>0</v>
      </c>
      <c r="D88" s="10">
        <f t="shared" si="16"/>
        <v>-0.38980777739764078</v>
      </c>
      <c r="E88" s="10">
        <f t="shared" si="17"/>
        <v>-0.42084508196721315</v>
      </c>
      <c r="F88" s="10">
        <f t="shared" si="25"/>
        <v>0.15195010331968867</v>
      </c>
      <c r="G88" s="10">
        <f t="shared" si="25"/>
        <v>0.17711058301599036</v>
      </c>
      <c r="H88" s="11">
        <f t="shared" si="3"/>
        <v>0.16404868603036732</v>
      </c>
      <c r="I88" s="12">
        <f t="shared" si="4"/>
        <v>0</v>
      </c>
      <c r="J88" s="28">
        <f t="shared" si="5"/>
        <v>0</v>
      </c>
      <c r="K88" s="30">
        <f t="shared" si="18"/>
        <v>0</v>
      </c>
      <c r="L88" s="5"/>
      <c r="M88" s="30">
        <f t="shared" si="19"/>
        <v>0</v>
      </c>
      <c r="N88" s="42">
        <f t="shared" si="20"/>
        <v>0</v>
      </c>
      <c r="O88" s="43">
        <f t="shared" si="21"/>
        <v>0</v>
      </c>
      <c r="P88" s="43">
        <f t="shared" si="22"/>
        <v>-0.34013437099999999</v>
      </c>
      <c r="Q88" s="43">
        <f t="shared" si="23"/>
        <v>-0.34013437099999999</v>
      </c>
      <c r="R88" s="43">
        <f t="shared" si="24"/>
        <v>0.11569139033556564</v>
      </c>
    </row>
    <row r="89" spans="1:18" ht="14.4" x14ac:dyDescent="0.3">
      <c r="A89" s="47">
        <v>38071</v>
      </c>
      <c r="B89" s="48">
        <v>0</v>
      </c>
      <c r="C89" s="49">
        <v>0</v>
      </c>
      <c r="D89" s="10">
        <f t="shared" si="16"/>
        <v>-0.38980777739764078</v>
      </c>
      <c r="E89" s="10">
        <f t="shared" si="17"/>
        <v>-0.42084508196721315</v>
      </c>
      <c r="F89" s="10">
        <f t="shared" si="25"/>
        <v>0.15195010331968867</v>
      </c>
      <c r="G89" s="10">
        <f t="shared" si="25"/>
        <v>0.17711058301599036</v>
      </c>
      <c r="H89" s="11">
        <f t="shared" si="3"/>
        <v>0.16404868603036732</v>
      </c>
      <c r="I89" s="12">
        <f t="shared" si="4"/>
        <v>0</v>
      </c>
      <c r="J89" s="28">
        <f t="shared" si="5"/>
        <v>0</v>
      </c>
      <c r="K89" s="30">
        <f t="shared" si="18"/>
        <v>0</v>
      </c>
      <c r="L89" s="5"/>
      <c r="M89" s="30">
        <f t="shared" si="19"/>
        <v>0</v>
      </c>
      <c r="N89" s="42">
        <f t="shared" si="20"/>
        <v>0</v>
      </c>
      <c r="O89" s="43">
        <f t="shared" si="21"/>
        <v>0</v>
      </c>
      <c r="P89" s="43">
        <f t="shared" si="22"/>
        <v>-0.34013437099999999</v>
      </c>
      <c r="Q89" s="43">
        <f t="shared" si="23"/>
        <v>-0.34013437099999999</v>
      </c>
      <c r="R89" s="43">
        <f t="shared" si="24"/>
        <v>0.11569139033556564</v>
      </c>
    </row>
    <row r="90" spans="1:18" ht="14.4" x14ac:dyDescent="0.3">
      <c r="A90" s="47">
        <v>38072</v>
      </c>
      <c r="B90" s="48">
        <v>0</v>
      </c>
      <c r="C90" s="49">
        <v>0.28389999999999999</v>
      </c>
      <c r="D90" s="10">
        <f t="shared" si="16"/>
        <v>-0.38980777739764078</v>
      </c>
      <c r="E90" s="10">
        <f t="shared" si="17"/>
        <v>-0.13694508196721317</v>
      </c>
      <c r="F90" s="10">
        <f t="shared" si="25"/>
        <v>0.15195010331968867</v>
      </c>
      <c r="G90" s="10">
        <f t="shared" si="25"/>
        <v>1.8753955475006735E-2</v>
      </c>
      <c r="H90" s="11">
        <f t="shared" si="3"/>
        <v>5.3382258027177103E-2</v>
      </c>
      <c r="I90" s="12">
        <f t="shared" si="4"/>
        <v>0.28389999999999999</v>
      </c>
      <c r="J90" s="28">
        <f t="shared" si="5"/>
        <v>8.0599209999999991E-2</v>
      </c>
      <c r="K90" s="30">
        <f t="shared" si="18"/>
        <v>0.28389999999999999</v>
      </c>
      <c r="L90" s="5"/>
      <c r="M90" s="30">
        <f t="shared" si="19"/>
        <v>-0.28389999999999999</v>
      </c>
      <c r="N90" s="42">
        <f t="shared" si="20"/>
        <v>-0.28389999999999999</v>
      </c>
      <c r="O90" s="43">
        <f t="shared" si="21"/>
        <v>8.0599209999999991E-2</v>
      </c>
      <c r="P90" s="43">
        <f t="shared" si="22"/>
        <v>-0.34013437099999999</v>
      </c>
      <c r="Q90" s="43">
        <f t="shared" si="23"/>
        <v>-0.34013437099999999</v>
      </c>
      <c r="R90" s="43">
        <f t="shared" si="24"/>
        <v>0.11569139033556564</v>
      </c>
    </row>
    <row r="91" spans="1:18" ht="14.4" x14ac:dyDescent="0.3">
      <c r="A91" s="47">
        <v>38073</v>
      </c>
      <c r="B91" s="48">
        <v>0</v>
      </c>
      <c r="C91" s="49">
        <v>0</v>
      </c>
      <c r="D91" s="10">
        <f t="shared" si="16"/>
        <v>-0.38980777739764078</v>
      </c>
      <c r="E91" s="10">
        <f t="shared" si="17"/>
        <v>-0.42084508196721315</v>
      </c>
      <c r="F91" s="10">
        <f t="shared" si="25"/>
        <v>0.15195010331968867</v>
      </c>
      <c r="G91" s="10">
        <f t="shared" si="25"/>
        <v>0.17711058301599036</v>
      </c>
      <c r="H91" s="11">
        <f t="shared" si="3"/>
        <v>0.16404868603036732</v>
      </c>
      <c r="I91" s="12">
        <f t="shared" si="4"/>
        <v>0</v>
      </c>
      <c r="J91" s="28">
        <f t="shared" si="5"/>
        <v>0</v>
      </c>
      <c r="K91" s="30">
        <f t="shared" si="18"/>
        <v>0</v>
      </c>
      <c r="L91" s="5"/>
      <c r="M91" s="30">
        <f t="shared" si="19"/>
        <v>0</v>
      </c>
      <c r="N91" s="42">
        <f t="shared" si="20"/>
        <v>0</v>
      </c>
      <c r="O91" s="43">
        <f t="shared" si="21"/>
        <v>0</v>
      </c>
      <c r="P91" s="43">
        <f t="shared" si="22"/>
        <v>-0.34013437099999999</v>
      </c>
      <c r="Q91" s="43">
        <f t="shared" si="23"/>
        <v>-0.34013437099999999</v>
      </c>
      <c r="R91" s="43">
        <f t="shared" si="24"/>
        <v>0.11569139033556564</v>
      </c>
    </row>
    <row r="92" spans="1:18" ht="14.4" x14ac:dyDescent="0.3">
      <c r="A92" s="47">
        <v>38074</v>
      </c>
      <c r="B92" s="48">
        <v>0</v>
      </c>
      <c r="C92" s="49">
        <v>0</v>
      </c>
      <c r="D92" s="10">
        <f t="shared" si="16"/>
        <v>-0.38980777739764078</v>
      </c>
      <c r="E92" s="10">
        <f t="shared" si="17"/>
        <v>-0.42084508196721315</v>
      </c>
      <c r="F92" s="10">
        <f t="shared" si="25"/>
        <v>0.15195010331968867</v>
      </c>
      <c r="G92" s="10">
        <f t="shared" si="25"/>
        <v>0.17711058301599036</v>
      </c>
      <c r="H92" s="11">
        <f t="shared" si="3"/>
        <v>0.16404868603036732</v>
      </c>
      <c r="I92" s="12">
        <f t="shared" si="4"/>
        <v>0</v>
      </c>
      <c r="J92" s="28">
        <f t="shared" si="5"/>
        <v>0</v>
      </c>
      <c r="K92" s="30">
        <f t="shared" si="18"/>
        <v>0</v>
      </c>
      <c r="L92" s="5"/>
      <c r="M92" s="30">
        <f t="shared" si="19"/>
        <v>0</v>
      </c>
      <c r="N92" s="42">
        <f t="shared" si="20"/>
        <v>0</v>
      </c>
      <c r="O92" s="43">
        <f t="shared" si="21"/>
        <v>0</v>
      </c>
      <c r="P92" s="43">
        <f t="shared" si="22"/>
        <v>-0.34013437099999999</v>
      </c>
      <c r="Q92" s="43">
        <f t="shared" si="23"/>
        <v>-0.34013437099999999</v>
      </c>
      <c r="R92" s="43">
        <f t="shared" si="24"/>
        <v>0.11569139033556564</v>
      </c>
    </row>
    <row r="93" spans="1:18" ht="14.4" x14ac:dyDescent="0.3">
      <c r="A93" s="47">
        <v>38075</v>
      </c>
      <c r="B93" s="48">
        <v>0</v>
      </c>
      <c r="C93" s="49">
        <v>0</v>
      </c>
      <c r="D93" s="10">
        <f t="shared" si="16"/>
        <v>-0.38980777739764078</v>
      </c>
      <c r="E93" s="10">
        <f t="shared" si="17"/>
        <v>-0.42084508196721315</v>
      </c>
      <c r="F93" s="10">
        <f t="shared" si="25"/>
        <v>0.15195010331968867</v>
      </c>
      <c r="G93" s="10">
        <f t="shared" si="25"/>
        <v>0.17711058301599036</v>
      </c>
      <c r="H93" s="11">
        <f t="shared" si="3"/>
        <v>0.16404868603036732</v>
      </c>
      <c r="I93" s="12">
        <f t="shared" si="4"/>
        <v>0</v>
      </c>
      <c r="J93" s="28">
        <f t="shared" si="5"/>
        <v>0</v>
      </c>
      <c r="K93" s="30">
        <f t="shared" si="18"/>
        <v>0</v>
      </c>
      <c r="L93" s="5"/>
      <c r="M93" s="30">
        <f t="shared" si="19"/>
        <v>0</v>
      </c>
      <c r="N93" s="42">
        <f t="shared" si="20"/>
        <v>0</v>
      </c>
      <c r="O93" s="43">
        <f t="shared" si="21"/>
        <v>0</v>
      </c>
      <c r="P93" s="43">
        <f t="shared" si="22"/>
        <v>-0.34013437099999999</v>
      </c>
      <c r="Q93" s="43">
        <f t="shared" si="23"/>
        <v>-0.34013437099999999</v>
      </c>
      <c r="R93" s="43">
        <f t="shared" si="24"/>
        <v>0.11569139033556564</v>
      </c>
    </row>
    <row r="94" spans="1:18" ht="14.4" x14ac:dyDescent="0.3">
      <c r="A94" s="47">
        <v>38076</v>
      </c>
      <c r="B94" s="48">
        <v>0</v>
      </c>
      <c r="C94" s="49">
        <v>0</v>
      </c>
      <c r="D94" s="10">
        <f t="shared" si="16"/>
        <v>-0.38980777739764078</v>
      </c>
      <c r="E94" s="10">
        <f t="shared" si="17"/>
        <v>-0.42084508196721315</v>
      </c>
      <c r="F94" s="10">
        <f t="shared" si="25"/>
        <v>0.15195010331968867</v>
      </c>
      <c r="G94" s="10">
        <f t="shared" si="25"/>
        <v>0.17711058301599036</v>
      </c>
      <c r="H94" s="11">
        <f t="shared" si="3"/>
        <v>0.16404868603036732</v>
      </c>
      <c r="I94" s="12">
        <f t="shared" si="4"/>
        <v>0</v>
      </c>
      <c r="J94" s="28">
        <f t="shared" si="5"/>
        <v>0</v>
      </c>
      <c r="K94" s="30">
        <f t="shared" si="18"/>
        <v>0</v>
      </c>
      <c r="L94" s="5"/>
      <c r="M94" s="30">
        <f t="shared" si="19"/>
        <v>0</v>
      </c>
      <c r="N94" s="42">
        <f t="shared" si="20"/>
        <v>0</v>
      </c>
      <c r="O94" s="43">
        <f t="shared" si="21"/>
        <v>0</v>
      </c>
      <c r="P94" s="43">
        <f t="shared" si="22"/>
        <v>-0.34013437099999999</v>
      </c>
      <c r="Q94" s="43">
        <f t="shared" si="23"/>
        <v>-0.34013437099999999</v>
      </c>
      <c r="R94" s="43">
        <f t="shared" si="24"/>
        <v>0.11569139033556564</v>
      </c>
    </row>
    <row r="95" spans="1:18" ht="14.4" x14ac:dyDescent="0.3">
      <c r="A95" s="47">
        <v>38077</v>
      </c>
      <c r="B95" s="48">
        <v>0</v>
      </c>
      <c r="C95" s="49">
        <v>0</v>
      </c>
      <c r="D95" s="10">
        <f t="shared" si="16"/>
        <v>-0.38980777739764078</v>
      </c>
      <c r="E95" s="10">
        <f t="shared" si="17"/>
        <v>-0.42084508196721315</v>
      </c>
      <c r="F95" s="10">
        <f t="shared" si="25"/>
        <v>0.15195010331968867</v>
      </c>
      <c r="G95" s="10">
        <f t="shared" si="25"/>
        <v>0.17711058301599036</v>
      </c>
      <c r="H95" s="11">
        <f t="shared" si="3"/>
        <v>0.16404868603036732</v>
      </c>
      <c r="I95" s="12">
        <f t="shared" si="4"/>
        <v>0</v>
      </c>
      <c r="J95" s="28">
        <f t="shared" si="5"/>
        <v>0</v>
      </c>
      <c r="K95" s="30">
        <f t="shared" si="18"/>
        <v>0</v>
      </c>
      <c r="L95" s="5"/>
      <c r="M95" s="30">
        <f t="shared" si="19"/>
        <v>0</v>
      </c>
      <c r="N95" s="42">
        <f t="shared" si="20"/>
        <v>0</v>
      </c>
      <c r="O95" s="43">
        <f t="shared" si="21"/>
        <v>0</v>
      </c>
      <c r="P95" s="43">
        <f t="shared" si="22"/>
        <v>-0.34013437099999999</v>
      </c>
      <c r="Q95" s="43">
        <f t="shared" si="23"/>
        <v>-0.34013437099999999</v>
      </c>
      <c r="R95" s="43">
        <f t="shared" si="24"/>
        <v>0.11569139033556564</v>
      </c>
    </row>
    <row r="96" spans="1:18" ht="14.4" x14ac:dyDescent="0.3">
      <c r="A96" s="47">
        <v>38078</v>
      </c>
      <c r="B96" s="48">
        <v>0</v>
      </c>
      <c r="C96" s="49">
        <v>0</v>
      </c>
      <c r="D96" s="10">
        <f t="shared" si="16"/>
        <v>-0.38980777739764078</v>
      </c>
      <c r="E96" s="10">
        <f t="shared" si="17"/>
        <v>-0.42084508196721315</v>
      </c>
      <c r="F96" s="10">
        <f t="shared" si="25"/>
        <v>0.15195010331968867</v>
      </c>
      <c r="G96" s="10">
        <f t="shared" si="25"/>
        <v>0.17711058301599036</v>
      </c>
      <c r="H96" s="11">
        <f t="shared" si="3"/>
        <v>0.16404868603036732</v>
      </c>
      <c r="I96" s="12">
        <f t="shared" si="4"/>
        <v>0</v>
      </c>
      <c r="J96" s="28">
        <f t="shared" si="5"/>
        <v>0</v>
      </c>
      <c r="K96" s="30">
        <f t="shared" si="18"/>
        <v>0</v>
      </c>
      <c r="L96" s="5"/>
      <c r="M96" s="30">
        <f t="shared" si="19"/>
        <v>0</v>
      </c>
      <c r="N96" s="42">
        <f t="shared" si="20"/>
        <v>0</v>
      </c>
      <c r="O96" s="43">
        <f t="shared" si="21"/>
        <v>0</v>
      </c>
      <c r="P96" s="43">
        <f t="shared" si="22"/>
        <v>-0.34013437099999999</v>
      </c>
      <c r="Q96" s="43">
        <f t="shared" si="23"/>
        <v>-0.34013437099999999</v>
      </c>
      <c r="R96" s="43">
        <f t="shared" si="24"/>
        <v>0.11569139033556564</v>
      </c>
    </row>
    <row r="97" spans="1:18" ht="14.4" x14ac:dyDescent="0.3">
      <c r="A97" s="47">
        <v>38079</v>
      </c>
      <c r="B97" s="48">
        <v>0</v>
      </c>
      <c r="C97" s="49">
        <v>0</v>
      </c>
      <c r="D97" s="10">
        <f t="shared" si="16"/>
        <v>-0.38980777739764078</v>
      </c>
      <c r="E97" s="10">
        <f t="shared" si="17"/>
        <v>-0.42084508196721315</v>
      </c>
      <c r="F97" s="10">
        <f t="shared" si="25"/>
        <v>0.15195010331968867</v>
      </c>
      <c r="G97" s="10">
        <f t="shared" si="25"/>
        <v>0.17711058301599036</v>
      </c>
      <c r="H97" s="11">
        <f t="shared" si="3"/>
        <v>0.16404868603036732</v>
      </c>
      <c r="I97" s="12">
        <f t="shared" si="4"/>
        <v>0</v>
      </c>
      <c r="J97" s="28">
        <f t="shared" si="5"/>
        <v>0</v>
      </c>
      <c r="K97" s="30">
        <f t="shared" si="18"/>
        <v>0</v>
      </c>
      <c r="L97" s="5"/>
      <c r="M97" s="30">
        <f t="shared" si="19"/>
        <v>0</v>
      </c>
      <c r="N97" s="42">
        <f t="shared" si="20"/>
        <v>0</v>
      </c>
      <c r="O97" s="43">
        <f t="shared" si="21"/>
        <v>0</v>
      </c>
      <c r="P97" s="43">
        <f t="shared" si="22"/>
        <v>-0.34013437099999999</v>
      </c>
      <c r="Q97" s="43">
        <f t="shared" si="23"/>
        <v>-0.34013437099999999</v>
      </c>
      <c r="R97" s="43">
        <f t="shared" si="24"/>
        <v>0.11569139033556564</v>
      </c>
    </row>
    <row r="98" spans="1:18" ht="14.4" x14ac:dyDescent="0.3">
      <c r="A98" s="47">
        <v>38080</v>
      </c>
      <c r="B98" s="48">
        <v>0</v>
      </c>
      <c r="C98" s="49">
        <v>0</v>
      </c>
      <c r="D98" s="10">
        <f t="shared" si="16"/>
        <v>-0.38980777739764078</v>
      </c>
      <c r="E98" s="10">
        <f t="shared" si="17"/>
        <v>-0.42084508196721315</v>
      </c>
      <c r="F98" s="10">
        <f t="shared" si="25"/>
        <v>0.15195010331968867</v>
      </c>
      <c r="G98" s="10">
        <f t="shared" si="25"/>
        <v>0.17711058301599036</v>
      </c>
      <c r="H98" s="11">
        <f t="shared" si="3"/>
        <v>0.16404868603036732</v>
      </c>
      <c r="I98" s="12">
        <f t="shared" si="4"/>
        <v>0</v>
      </c>
      <c r="J98" s="28">
        <f t="shared" si="5"/>
        <v>0</v>
      </c>
      <c r="K98" s="30">
        <f t="shared" si="18"/>
        <v>0</v>
      </c>
      <c r="L98" s="5"/>
      <c r="M98" s="30">
        <f t="shared" si="19"/>
        <v>0</v>
      </c>
      <c r="N98" s="42">
        <f t="shared" si="20"/>
        <v>0</v>
      </c>
      <c r="O98" s="43">
        <f t="shared" si="21"/>
        <v>0</v>
      </c>
      <c r="P98" s="43">
        <f t="shared" si="22"/>
        <v>-0.34013437099999999</v>
      </c>
      <c r="Q98" s="43">
        <f t="shared" si="23"/>
        <v>-0.34013437099999999</v>
      </c>
      <c r="R98" s="43">
        <f t="shared" si="24"/>
        <v>0.11569139033556564</v>
      </c>
    </row>
    <row r="99" spans="1:18" ht="14.4" x14ac:dyDescent="0.3">
      <c r="A99" s="47">
        <v>38081</v>
      </c>
      <c r="B99" s="48">
        <v>0</v>
      </c>
      <c r="C99" s="49">
        <v>0</v>
      </c>
      <c r="D99" s="10">
        <f t="shared" si="16"/>
        <v>-0.38980777739764078</v>
      </c>
      <c r="E99" s="10">
        <f t="shared" si="17"/>
        <v>-0.42084508196721315</v>
      </c>
      <c r="F99" s="10">
        <f t="shared" si="25"/>
        <v>0.15195010331968867</v>
      </c>
      <c r="G99" s="10">
        <f t="shared" si="25"/>
        <v>0.17711058301599036</v>
      </c>
      <c r="H99" s="11">
        <f t="shared" si="3"/>
        <v>0.16404868603036732</v>
      </c>
      <c r="I99" s="12">
        <f t="shared" si="4"/>
        <v>0</v>
      </c>
      <c r="J99" s="28">
        <f t="shared" si="5"/>
        <v>0</v>
      </c>
      <c r="K99" s="30">
        <f t="shared" si="18"/>
        <v>0</v>
      </c>
      <c r="L99" s="5"/>
      <c r="M99" s="30">
        <f t="shared" si="19"/>
        <v>0</v>
      </c>
      <c r="N99" s="42">
        <f t="shared" si="20"/>
        <v>0</v>
      </c>
      <c r="O99" s="43">
        <f t="shared" si="21"/>
        <v>0</v>
      </c>
      <c r="P99" s="43">
        <f t="shared" si="22"/>
        <v>-0.34013437099999999</v>
      </c>
      <c r="Q99" s="43">
        <f t="shared" si="23"/>
        <v>-0.34013437099999999</v>
      </c>
      <c r="R99" s="43">
        <f t="shared" si="24"/>
        <v>0.11569139033556564</v>
      </c>
    </row>
    <row r="100" spans="1:18" ht="14.4" x14ac:dyDescent="0.3">
      <c r="A100" s="47">
        <v>38082</v>
      </c>
      <c r="B100" s="48">
        <v>0</v>
      </c>
      <c r="C100" s="49">
        <v>0</v>
      </c>
      <c r="D100" s="10">
        <f t="shared" si="16"/>
        <v>-0.38980777739764078</v>
      </c>
      <c r="E100" s="10">
        <f t="shared" si="17"/>
        <v>-0.42084508196721315</v>
      </c>
      <c r="F100" s="10">
        <f t="shared" si="25"/>
        <v>0.15195010331968867</v>
      </c>
      <c r="G100" s="10">
        <f t="shared" si="25"/>
        <v>0.17711058301599036</v>
      </c>
      <c r="H100" s="11">
        <f t="shared" si="3"/>
        <v>0.16404868603036732</v>
      </c>
      <c r="I100" s="12">
        <f t="shared" si="4"/>
        <v>0</v>
      </c>
      <c r="J100" s="28">
        <f t="shared" si="5"/>
        <v>0</v>
      </c>
      <c r="K100" s="30">
        <f t="shared" si="18"/>
        <v>0</v>
      </c>
      <c r="L100" s="5"/>
      <c r="M100" s="30">
        <f t="shared" si="19"/>
        <v>0</v>
      </c>
      <c r="N100" s="42">
        <f t="shared" si="20"/>
        <v>0</v>
      </c>
      <c r="O100" s="43">
        <f t="shared" si="21"/>
        <v>0</v>
      </c>
      <c r="P100" s="43">
        <f t="shared" si="22"/>
        <v>-0.34013437099999999</v>
      </c>
      <c r="Q100" s="43">
        <f t="shared" si="23"/>
        <v>-0.34013437099999999</v>
      </c>
      <c r="R100" s="43">
        <f t="shared" si="24"/>
        <v>0.11569139033556564</v>
      </c>
    </row>
    <row r="101" spans="1:18" ht="14.4" x14ac:dyDescent="0.3">
      <c r="A101" s="47">
        <v>38083</v>
      </c>
      <c r="B101" s="48">
        <v>0</v>
      </c>
      <c r="C101" s="49">
        <v>0</v>
      </c>
      <c r="D101" s="10">
        <f t="shared" si="16"/>
        <v>-0.38980777739764078</v>
      </c>
      <c r="E101" s="10">
        <f t="shared" si="17"/>
        <v>-0.42084508196721315</v>
      </c>
      <c r="F101" s="10">
        <f t="shared" si="25"/>
        <v>0.15195010331968867</v>
      </c>
      <c r="G101" s="10">
        <f t="shared" si="25"/>
        <v>0.17711058301599036</v>
      </c>
      <c r="H101" s="11">
        <f t="shared" si="3"/>
        <v>0.16404868603036732</v>
      </c>
      <c r="I101" s="12">
        <f t="shared" si="4"/>
        <v>0</v>
      </c>
      <c r="J101" s="28">
        <f t="shared" si="5"/>
        <v>0</v>
      </c>
      <c r="K101" s="30">
        <f t="shared" si="18"/>
        <v>0</v>
      </c>
      <c r="L101" s="5"/>
      <c r="M101" s="30">
        <f t="shared" si="19"/>
        <v>0</v>
      </c>
      <c r="N101" s="42">
        <f t="shared" si="20"/>
        <v>0</v>
      </c>
      <c r="O101" s="43">
        <f t="shared" si="21"/>
        <v>0</v>
      </c>
      <c r="P101" s="43">
        <f t="shared" si="22"/>
        <v>-0.34013437099999999</v>
      </c>
      <c r="Q101" s="43">
        <f t="shared" si="23"/>
        <v>-0.34013437099999999</v>
      </c>
      <c r="R101" s="43">
        <f t="shared" si="24"/>
        <v>0.11569139033556564</v>
      </c>
    </row>
    <row r="102" spans="1:18" ht="14.4" x14ac:dyDescent="0.3">
      <c r="A102" s="47">
        <v>38084</v>
      </c>
      <c r="B102" s="48">
        <v>0</v>
      </c>
      <c r="C102" s="49">
        <v>0</v>
      </c>
      <c r="D102" s="10">
        <f t="shared" si="16"/>
        <v>-0.38980777739764078</v>
      </c>
      <c r="E102" s="10">
        <f t="shared" si="17"/>
        <v>-0.42084508196721315</v>
      </c>
      <c r="F102" s="10">
        <f t="shared" si="25"/>
        <v>0.15195010331968867</v>
      </c>
      <c r="G102" s="10">
        <f t="shared" si="25"/>
        <v>0.17711058301599036</v>
      </c>
      <c r="H102" s="11">
        <f t="shared" si="3"/>
        <v>0.16404868603036732</v>
      </c>
      <c r="I102" s="12">
        <f t="shared" si="4"/>
        <v>0</v>
      </c>
      <c r="J102" s="28">
        <f t="shared" si="5"/>
        <v>0</v>
      </c>
      <c r="K102" s="30">
        <f t="shared" si="18"/>
        <v>0</v>
      </c>
      <c r="L102" s="5"/>
      <c r="M102" s="30">
        <f t="shared" si="19"/>
        <v>0</v>
      </c>
      <c r="N102" s="42">
        <f t="shared" si="20"/>
        <v>0</v>
      </c>
      <c r="O102" s="43">
        <f t="shared" si="21"/>
        <v>0</v>
      </c>
      <c r="P102" s="43">
        <f t="shared" si="22"/>
        <v>-0.34013437099999999</v>
      </c>
      <c r="Q102" s="43">
        <f t="shared" si="23"/>
        <v>-0.34013437099999999</v>
      </c>
      <c r="R102" s="43">
        <f t="shared" si="24"/>
        <v>0.11569139033556564</v>
      </c>
    </row>
    <row r="103" spans="1:18" ht="14.4" x14ac:dyDescent="0.3">
      <c r="A103" s="47">
        <v>38085</v>
      </c>
      <c r="B103" s="48">
        <v>0</v>
      </c>
      <c r="C103" s="49">
        <v>0</v>
      </c>
      <c r="D103" s="10">
        <f t="shared" si="16"/>
        <v>-0.38980777739764078</v>
      </c>
      <c r="E103" s="10">
        <f t="shared" si="17"/>
        <v>-0.42084508196721315</v>
      </c>
      <c r="F103" s="10">
        <f t="shared" si="25"/>
        <v>0.15195010331968867</v>
      </c>
      <c r="G103" s="10">
        <f t="shared" si="25"/>
        <v>0.17711058301599036</v>
      </c>
      <c r="H103" s="11">
        <f t="shared" si="3"/>
        <v>0.16404868603036732</v>
      </c>
      <c r="I103" s="12">
        <f t="shared" si="4"/>
        <v>0</v>
      </c>
      <c r="J103" s="28">
        <f t="shared" si="5"/>
        <v>0</v>
      </c>
      <c r="K103" s="30">
        <f t="shared" si="18"/>
        <v>0</v>
      </c>
      <c r="L103" s="5"/>
      <c r="M103" s="30">
        <f t="shared" si="19"/>
        <v>0</v>
      </c>
      <c r="N103" s="42">
        <f t="shared" si="20"/>
        <v>0</v>
      </c>
      <c r="O103" s="43">
        <f t="shared" si="21"/>
        <v>0</v>
      </c>
      <c r="P103" s="43">
        <f t="shared" si="22"/>
        <v>-0.34013437099999999</v>
      </c>
      <c r="Q103" s="43">
        <f t="shared" si="23"/>
        <v>-0.34013437099999999</v>
      </c>
      <c r="R103" s="43">
        <f t="shared" si="24"/>
        <v>0.11569139033556564</v>
      </c>
    </row>
    <row r="104" spans="1:18" ht="14.4" x14ac:dyDescent="0.3">
      <c r="A104" s="47">
        <v>38086</v>
      </c>
      <c r="B104" s="48">
        <v>0</v>
      </c>
      <c r="C104" s="49">
        <v>0</v>
      </c>
      <c r="D104" s="10">
        <f t="shared" si="16"/>
        <v>-0.38980777739764078</v>
      </c>
      <c r="E104" s="10">
        <f t="shared" si="17"/>
        <v>-0.42084508196721315</v>
      </c>
      <c r="F104" s="10">
        <f t="shared" si="25"/>
        <v>0.15195010331968867</v>
      </c>
      <c r="G104" s="10">
        <f t="shared" si="25"/>
        <v>0.17711058301599036</v>
      </c>
      <c r="H104" s="11">
        <f t="shared" si="3"/>
        <v>0.16404868603036732</v>
      </c>
      <c r="I104" s="12">
        <f t="shared" si="4"/>
        <v>0</v>
      </c>
      <c r="J104" s="28">
        <f t="shared" si="5"/>
        <v>0</v>
      </c>
      <c r="K104" s="30">
        <f t="shared" si="18"/>
        <v>0</v>
      </c>
      <c r="L104" s="5"/>
      <c r="M104" s="30">
        <f t="shared" si="19"/>
        <v>0</v>
      </c>
      <c r="N104" s="42">
        <f t="shared" si="20"/>
        <v>0</v>
      </c>
      <c r="O104" s="43">
        <f t="shared" si="21"/>
        <v>0</v>
      </c>
      <c r="P104" s="43">
        <f t="shared" si="22"/>
        <v>-0.34013437099999999</v>
      </c>
      <c r="Q104" s="43">
        <f t="shared" si="23"/>
        <v>-0.34013437099999999</v>
      </c>
      <c r="R104" s="43">
        <f t="shared" si="24"/>
        <v>0.11569139033556564</v>
      </c>
    </row>
    <row r="105" spans="1:18" ht="14.4" x14ac:dyDescent="0.3">
      <c r="A105" s="47">
        <v>38087</v>
      </c>
      <c r="B105" s="48">
        <v>0</v>
      </c>
      <c r="C105" s="49">
        <v>0</v>
      </c>
      <c r="D105" s="10">
        <f t="shared" si="16"/>
        <v>-0.38980777739764078</v>
      </c>
      <c r="E105" s="10">
        <f t="shared" si="17"/>
        <v>-0.42084508196721315</v>
      </c>
      <c r="F105" s="10">
        <f t="shared" si="25"/>
        <v>0.15195010331968867</v>
      </c>
      <c r="G105" s="10">
        <f t="shared" si="25"/>
        <v>0.17711058301599036</v>
      </c>
      <c r="H105" s="11">
        <f t="shared" si="3"/>
        <v>0.16404868603036732</v>
      </c>
      <c r="I105" s="12">
        <f t="shared" si="4"/>
        <v>0</v>
      </c>
      <c r="J105" s="28">
        <f t="shared" si="5"/>
        <v>0</v>
      </c>
      <c r="K105" s="30">
        <f t="shared" si="18"/>
        <v>0</v>
      </c>
      <c r="L105" s="5"/>
      <c r="M105" s="30">
        <f t="shared" si="19"/>
        <v>0</v>
      </c>
      <c r="N105" s="42">
        <f t="shared" si="20"/>
        <v>0</v>
      </c>
      <c r="O105" s="43">
        <f t="shared" si="21"/>
        <v>0</v>
      </c>
      <c r="P105" s="43">
        <f t="shared" si="22"/>
        <v>-0.34013437099999999</v>
      </c>
      <c r="Q105" s="43">
        <f t="shared" si="23"/>
        <v>-0.34013437099999999</v>
      </c>
      <c r="R105" s="43">
        <f t="shared" si="24"/>
        <v>0.11569139033556564</v>
      </c>
    </row>
    <row r="106" spans="1:18" ht="14.4" x14ac:dyDescent="0.3">
      <c r="A106" s="47">
        <v>38088</v>
      </c>
      <c r="B106" s="48">
        <v>0</v>
      </c>
      <c r="C106" s="49">
        <v>0</v>
      </c>
      <c r="D106" s="10">
        <f t="shared" si="16"/>
        <v>-0.38980777739764078</v>
      </c>
      <c r="E106" s="10">
        <f t="shared" si="17"/>
        <v>-0.42084508196721315</v>
      </c>
      <c r="F106" s="10">
        <f t="shared" si="25"/>
        <v>0.15195010331968867</v>
      </c>
      <c r="G106" s="10">
        <f t="shared" si="25"/>
        <v>0.17711058301599036</v>
      </c>
      <c r="H106" s="11">
        <f t="shared" si="3"/>
        <v>0.16404868603036732</v>
      </c>
      <c r="I106" s="12">
        <f t="shared" si="4"/>
        <v>0</v>
      </c>
      <c r="J106" s="28">
        <f t="shared" si="5"/>
        <v>0</v>
      </c>
      <c r="K106" s="30">
        <f t="shared" si="18"/>
        <v>0</v>
      </c>
      <c r="L106" s="5"/>
      <c r="M106" s="30">
        <f t="shared" si="19"/>
        <v>0</v>
      </c>
      <c r="N106" s="42">
        <f t="shared" si="20"/>
        <v>0</v>
      </c>
      <c r="O106" s="43">
        <f t="shared" si="21"/>
        <v>0</v>
      </c>
      <c r="P106" s="43">
        <f t="shared" si="22"/>
        <v>-0.34013437099999999</v>
      </c>
      <c r="Q106" s="43">
        <f t="shared" si="23"/>
        <v>-0.34013437099999999</v>
      </c>
      <c r="R106" s="43">
        <f t="shared" si="24"/>
        <v>0.11569139033556564</v>
      </c>
    </row>
    <row r="107" spans="1:18" ht="14.4" x14ac:dyDescent="0.3">
      <c r="A107" s="47">
        <v>38089</v>
      </c>
      <c r="B107" s="48">
        <v>0</v>
      </c>
      <c r="C107" s="49">
        <v>0</v>
      </c>
      <c r="D107" s="10">
        <f t="shared" si="16"/>
        <v>-0.38980777739764078</v>
      </c>
      <c r="E107" s="10">
        <f t="shared" si="17"/>
        <v>-0.42084508196721315</v>
      </c>
      <c r="F107" s="10">
        <f t="shared" si="25"/>
        <v>0.15195010331968867</v>
      </c>
      <c r="G107" s="10">
        <f t="shared" si="25"/>
        <v>0.17711058301599036</v>
      </c>
      <c r="H107" s="11">
        <f t="shared" si="3"/>
        <v>0.16404868603036732</v>
      </c>
      <c r="I107" s="12">
        <f t="shared" si="4"/>
        <v>0</v>
      </c>
      <c r="J107" s="28">
        <f t="shared" si="5"/>
        <v>0</v>
      </c>
      <c r="K107" s="30">
        <f t="shared" si="18"/>
        <v>0</v>
      </c>
      <c r="L107" s="5"/>
      <c r="M107" s="30">
        <f t="shared" si="19"/>
        <v>0</v>
      </c>
      <c r="N107" s="42">
        <f t="shared" si="20"/>
        <v>0</v>
      </c>
      <c r="O107" s="43">
        <f t="shared" si="21"/>
        <v>0</v>
      </c>
      <c r="P107" s="43">
        <f t="shared" si="22"/>
        <v>-0.34013437099999999</v>
      </c>
      <c r="Q107" s="43">
        <f t="shared" si="23"/>
        <v>-0.34013437099999999</v>
      </c>
      <c r="R107" s="43">
        <f t="shared" si="24"/>
        <v>0.11569139033556564</v>
      </c>
    </row>
    <row r="108" spans="1:18" ht="14.4" x14ac:dyDescent="0.3">
      <c r="A108" s="47">
        <v>38090</v>
      </c>
      <c r="B108" s="48">
        <v>0</v>
      </c>
      <c r="C108" s="49">
        <v>0</v>
      </c>
      <c r="D108" s="10">
        <f t="shared" si="16"/>
        <v>-0.38980777739764078</v>
      </c>
      <c r="E108" s="10">
        <f t="shared" si="17"/>
        <v>-0.42084508196721315</v>
      </c>
      <c r="F108" s="10">
        <f t="shared" si="25"/>
        <v>0.15195010331968867</v>
      </c>
      <c r="G108" s="10">
        <f t="shared" si="25"/>
        <v>0.17711058301599036</v>
      </c>
      <c r="H108" s="11">
        <f t="shared" si="3"/>
        <v>0.16404868603036732</v>
      </c>
      <c r="I108" s="12">
        <f t="shared" si="4"/>
        <v>0</v>
      </c>
      <c r="J108" s="28">
        <f t="shared" si="5"/>
        <v>0</v>
      </c>
      <c r="K108" s="30">
        <f t="shared" si="18"/>
        <v>0</v>
      </c>
      <c r="L108" s="5"/>
      <c r="M108" s="30">
        <f t="shared" si="19"/>
        <v>0</v>
      </c>
      <c r="N108" s="42">
        <f t="shared" si="20"/>
        <v>0</v>
      </c>
      <c r="O108" s="43">
        <f t="shared" si="21"/>
        <v>0</v>
      </c>
      <c r="P108" s="43">
        <f t="shared" si="22"/>
        <v>-0.34013437099999999</v>
      </c>
      <c r="Q108" s="43">
        <f t="shared" si="23"/>
        <v>-0.34013437099999999</v>
      </c>
      <c r="R108" s="43">
        <f t="shared" si="24"/>
        <v>0.11569139033556564</v>
      </c>
    </row>
    <row r="109" spans="1:18" ht="14.4" x14ac:dyDescent="0.3">
      <c r="A109" s="47">
        <v>38091</v>
      </c>
      <c r="B109" s="48">
        <v>0</v>
      </c>
      <c r="C109" s="49">
        <v>0.34310000000000002</v>
      </c>
      <c r="D109" s="10">
        <f t="shared" si="16"/>
        <v>-0.38980777739764078</v>
      </c>
      <c r="E109" s="10">
        <f t="shared" si="17"/>
        <v>-7.7745081967213137E-2</v>
      </c>
      <c r="F109" s="10">
        <f t="shared" si="25"/>
        <v>0.15195010331968867</v>
      </c>
      <c r="G109" s="10">
        <f t="shared" si="25"/>
        <v>6.0442977700886896E-3</v>
      </c>
      <c r="H109" s="11">
        <f t="shared" si="3"/>
        <v>3.0305637605236753E-2</v>
      </c>
      <c r="I109" s="12">
        <f t="shared" si="4"/>
        <v>0.34310000000000002</v>
      </c>
      <c r="J109" s="28">
        <f t="shared" si="5"/>
        <v>0.11771761000000001</v>
      </c>
      <c r="K109" s="30">
        <f t="shared" si="18"/>
        <v>0.34310000000000002</v>
      </c>
      <c r="L109" s="5"/>
      <c r="M109" s="30">
        <f t="shared" si="19"/>
        <v>-0.34310000000000002</v>
      </c>
      <c r="N109" s="42">
        <f t="shared" si="20"/>
        <v>-0.34310000000000002</v>
      </c>
      <c r="O109" s="43">
        <f t="shared" si="21"/>
        <v>0.11771761000000001</v>
      </c>
      <c r="P109" s="43">
        <f t="shared" si="22"/>
        <v>-0.34013437099999999</v>
      </c>
      <c r="Q109" s="43">
        <f t="shared" si="23"/>
        <v>-0.34013437099999999</v>
      </c>
      <c r="R109" s="43">
        <f t="shared" si="24"/>
        <v>0.11569139033556564</v>
      </c>
    </row>
    <row r="110" spans="1:18" ht="14.4" x14ac:dyDescent="0.3">
      <c r="A110" s="47">
        <v>38092</v>
      </c>
      <c r="B110" s="48">
        <v>0</v>
      </c>
      <c r="C110" s="49">
        <v>0</v>
      </c>
      <c r="D110" s="10">
        <f t="shared" si="16"/>
        <v>-0.38980777739764078</v>
      </c>
      <c r="E110" s="10">
        <f t="shared" si="17"/>
        <v>-0.42084508196721315</v>
      </c>
      <c r="F110" s="10">
        <f t="shared" si="25"/>
        <v>0.15195010331968867</v>
      </c>
      <c r="G110" s="10">
        <f t="shared" si="25"/>
        <v>0.17711058301599036</v>
      </c>
      <c r="H110" s="11">
        <f t="shared" si="3"/>
        <v>0.16404868603036732</v>
      </c>
      <c r="I110" s="12">
        <f t="shared" si="4"/>
        <v>0</v>
      </c>
      <c r="J110" s="28">
        <f t="shared" si="5"/>
        <v>0</v>
      </c>
      <c r="K110" s="30">
        <f t="shared" si="18"/>
        <v>0</v>
      </c>
      <c r="L110" s="5"/>
      <c r="M110" s="30">
        <f t="shared" si="19"/>
        <v>0</v>
      </c>
      <c r="N110" s="42">
        <f t="shared" si="20"/>
        <v>0</v>
      </c>
      <c r="O110" s="43">
        <f t="shared" si="21"/>
        <v>0</v>
      </c>
      <c r="P110" s="43">
        <f t="shared" si="22"/>
        <v>-0.34013437099999999</v>
      </c>
      <c r="Q110" s="43">
        <f t="shared" si="23"/>
        <v>-0.34013437099999999</v>
      </c>
      <c r="R110" s="43">
        <f t="shared" si="24"/>
        <v>0.11569139033556564</v>
      </c>
    </row>
    <row r="111" spans="1:18" ht="14.4" x14ac:dyDescent="0.3">
      <c r="A111" s="47">
        <v>38093</v>
      </c>
      <c r="B111" s="48">
        <v>0</v>
      </c>
      <c r="C111" s="49">
        <v>0</v>
      </c>
      <c r="D111" s="10">
        <f t="shared" si="16"/>
        <v>-0.38980777739764078</v>
      </c>
      <c r="E111" s="10">
        <f t="shared" si="17"/>
        <v>-0.42084508196721315</v>
      </c>
      <c r="F111" s="10">
        <f t="shared" si="25"/>
        <v>0.15195010331968867</v>
      </c>
      <c r="G111" s="10">
        <f t="shared" si="25"/>
        <v>0.17711058301599036</v>
      </c>
      <c r="H111" s="11">
        <f t="shared" si="3"/>
        <v>0.16404868603036732</v>
      </c>
      <c r="I111" s="12">
        <f t="shared" si="4"/>
        <v>0</v>
      </c>
      <c r="J111" s="28">
        <f t="shared" si="5"/>
        <v>0</v>
      </c>
      <c r="K111" s="30">
        <f t="shared" si="18"/>
        <v>0</v>
      </c>
      <c r="L111" s="5"/>
      <c r="M111" s="30">
        <f t="shared" si="19"/>
        <v>0</v>
      </c>
      <c r="N111" s="42">
        <f t="shared" si="20"/>
        <v>0</v>
      </c>
      <c r="O111" s="43">
        <f t="shared" si="21"/>
        <v>0</v>
      </c>
      <c r="P111" s="43">
        <f t="shared" si="22"/>
        <v>-0.34013437099999999</v>
      </c>
      <c r="Q111" s="43">
        <f t="shared" si="23"/>
        <v>-0.34013437099999999</v>
      </c>
      <c r="R111" s="43">
        <f t="shared" si="24"/>
        <v>0.11569139033556564</v>
      </c>
    </row>
    <row r="112" spans="1:18" ht="14.4" x14ac:dyDescent="0.3">
      <c r="A112" s="47">
        <v>38094</v>
      </c>
      <c r="B112" s="48">
        <v>0</v>
      </c>
      <c r="C112" s="49">
        <v>0</v>
      </c>
      <c r="D112" s="10">
        <f t="shared" si="16"/>
        <v>-0.38980777739764078</v>
      </c>
      <c r="E112" s="10">
        <f t="shared" si="17"/>
        <v>-0.42084508196721315</v>
      </c>
      <c r="F112" s="10">
        <f t="shared" si="25"/>
        <v>0.15195010331968867</v>
      </c>
      <c r="G112" s="10">
        <f t="shared" si="25"/>
        <v>0.17711058301599036</v>
      </c>
      <c r="H112" s="11">
        <f t="shared" si="3"/>
        <v>0.16404868603036732</v>
      </c>
      <c r="I112" s="12">
        <f t="shared" si="4"/>
        <v>0</v>
      </c>
      <c r="J112" s="28">
        <f t="shared" si="5"/>
        <v>0</v>
      </c>
      <c r="K112" s="30">
        <f t="shared" si="18"/>
        <v>0</v>
      </c>
      <c r="L112" s="5"/>
      <c r="M112" s="30">
        <f t="shared" si="19"/>
        <v>0</v>
      </c>
      <c r="N112" s="42">
        <f t="shared" si="20"/>
        <v>0</v>
      </c>
      <c r="O112" s="43">
        <f t="shared" si="21"/>
        <v>0</v>
      </c>
      <c r="P112" s="43">
        <f t="shared" si="22"/>
        <v>-0.34013437099999999</v>
      </c>
      <c r="Q112" s="43">
        <f t="shared" si="23"/>
        <v>-0.34013437099999999</v>
      </c>
      <c r="R112" s="43">
        <f t="shared" si="24"/>
        <v>0.11569139033556564</v>
      </c>
    </row>
    <row r="113" spans="1:18" ht="14.4" x14ac:dyDescent="0.3">
      <c r="A113" s="47">
        <v>38095</v>
      </c>
      <c r="B113" s="48">
        <v>0</v>
      </c>
      <c r="C113" s="49">
        <v>0.40389999999999998</v>
      </c>
      <c r="D113" s="10">
        <f t="shared" si="16"/>
        <v>-0.38980777739764078</v>
      </c>
      <c r="E113" s="10">
        <f t="shared" si="17"/>
        <v>-1.6945081967213171E-2</v>
      </c>
      <c r="F113" s="10">
        <f t="shared" si="25"/>
        <v>0.15195010331968867</v>
      </c>
      <c r="G113" s="10">
        <f t="shared" si="25"/>
        <v>2.8713580287557299E-4</v>
      </c>
      <c r="H113" s="11">
        <f t="shared" si="3"/>
        <v>6.6053247394602084E-3</v>
      </c>
      <c r="I113" s="12">
        <f t="shared" si="4"/>
        <v>0.40389999999999998</v>
      </c>
      <c r="J113" s="28">
        <f t="shared" si="5"/>
        <v>0.16313520999999997</v>
      </c>
      <c r="K113" s="30">
        <f t="shared" si="18"/>
        <v>0.40389999999999998</v>
      </c>
      <c r="L113" s="5"/>
      <c r="M113" s="30">
        <f t="shared" si="19"/>
        <v>-0.40389999999999998</v>
      </c>
      <c r="N113" s="42">
        <f t="shared" si="20"/>
        <v>-0.40389999999999998</v>
      </c>
      <c r="O113" s="43">
        <f t="shared" si="21"/>
        <v>0.16313520999999997</v>
      </c>
      <c r="P113" s="43">
        <f t="shared" si="22"/>
        <v>-0.34013437099999999</v>
      </c>
      <c r="Q113" s="43">
        <f t="shared" si="23"/>
        <v>-0.34013437099999999</v>
      </c>
      <c r="R113" s="43">
        <f t="shared" si="24"/>
        <v>0.11569139033556564</v>
      </c>
    </row>
    <row r="114" spans="1:18" ht="14.4" x14ac:dyDescent="0.3">
      <c r="A114" s="47">
        <v>38096</v>
      </c>
      <c r="B114" s="48">
        <v>0</v>
      </c>
      <c r="C114" s="49">
        <v>0.57809999999999995</v>
      </c>
      <c r="D114" s="10">
        <f t="shared" si="16"/>
        <v>-0.38980777739764078</v>
      </c>
      <c r="E114" s="10">
        <f t="shared" si="17"/>
        <v>0.15725491803278679</v>
      </c>
      <c r="F114" s="10">
        <f t="shared" si="25"/>
        <v>0.15195010331968867</v>
      </c>
      <c r="G114" s="10">
        <f t="shared" si="25"/>
        <v>2.4729109245498492E-2</v>
      </c>
      <c r="H114" s="11">
        <f t="shared" si="3"/>
        <v>-6.1299190083208804E-2</v>
      </c>
      <c r="I114" s="12">
        <f t="shared" si="4"/>
        <v>0.57809999999999995</v>
      </c>
      <c r="J114" s="28">
        <f t="shared" si="5"/>
        <v>0.33419960999999992</v>
      </c>
      <c r="K114" s="30">
        <f t="shared" si="18"/>
        <v>0.57809999999999995</v>
      </c>
      <c r="L114" s="5"/>
      <c r="M114" s="30">
        <f t="shared" si="19"/>
        <v>-0.57809999999999995</v>
      </c>
      <c r="N114" s="42">
        <f t="shared" si="20"/>
        <v>-0.57809999999999995</v>
      </c>
      <c r="O114" s="43">
        <f t="shared" si="21"/>
        <v>0.33419960999999992</v>
      </c>
      <c r="P114" s="43">
        <f t="shared" si="22"/>
        <v>-0.34013437099999999</v>
      </c>
      <c r="Q114" s="43">
        <f t="shared" si="23"/>
        <v>-0.34013437099999999</v>
      </c>
      <c r="R114" s="43">
        <f t="shared" si="24"/>
        <v>0.11569139033556564</v>
      </c>
    </row>
    <row r="115" spans="1:18" ht="14.4" x14ac:dyDescent="0.3">
      <c r="A115" s="47">
        <v>38097</v>
      </c>
      <c r="B115" s="48">
        <v>0.27125126123428345</v>
      </c>
      <c r="C115" s="49">
        <v>0.55879999999999996</v>
      </c>
      <c r="D115" s="10">
        <f t="shared" si="16"/>
        <v>-0.11855651616335733</v>
      </c>
      <c r="E115" s="10">
        <f t="shared" si="17"/>
        <v>0.13795491803278681</v>
      </c>
      <c r="F115" s="10">
        <f t="shared" si="25"/>
        <v>1.4055647524792407E-2</v>
      </c>
      <c r="G115" s="10">
        <f t="shared" si="25"/>
        <v>1.9031559409432929E-2</v>
      </c>
      <c r="H115" s="11">
        <f t="shared" si="3"/>
        <v>-1.6355454469568726E-2</v>
      </c>
      <c r="I115" s="12">
        <f t="shared" si="4"/>
        <v>0.28754873876571652</v>
      </c>
      <c r="J115" s="28">
        <f t="shared" si="5"/>
        <v>8.2684277165754286E-2</v>
      </c>
      <c r="K115" s="30">
        <f t="shared" si="18"/>
        <v>0.28754873876571652</v>
      </c>
      <c r="L115" s="5"/>
      <c r="M115" s="30">
        <f t="shared" si="19"/>
        <v>-0.28754873876571652</v>
      </c>
      <c r="N115" s="42">
        <f t="shared" si="20"/>
        <v>-0.28754873876571652</v>
      </c>
      <c r="O115" s="43">
        <f t="shared" si="21"/>
        <v>8.2684277165754286E-2</v>
      </c>
      <c r="P115" s="43">
        <f t="shared" si="22"/>
        <v>-6.8883109765716544E-2</v>
      </c>
      <c r="Q115" s="43">
        <f t="shared" si="23"/>
        <v>-6.8883109765716544E-2</v>
      </c>
      <c r="R115" s="43">
        <f t="shared" si="24"/>
        <v>4.7448828109957538E-3</v>
      </c>
    </row>
    <row r="116" spans="1:18" ht="14.4" x14ac:dyDescent="0.3">
      <c r="A116" s="47">
        <v>38098</v>
      </c>
      <c r="B116" s="48">
        <v>0</v>
      </c>
      <c r="C116" s="49">
        <v>0</v>
      </c>
      <c r="D116" s="10">
        <f t="shared" si="16"/>
        <v>-0.38980777739764078</v>
      </c>
      <c r="E116" s="10">
        <f t="shared" si="17"/>
        <v>-0.42084508196721315</v>
      </c>
      <c r="F116" s="10">
        <f t="shared" si="25"/>
        <v>0.15195010331968867</v>
      </c>
      <c r="G116" s="10">
        <f t="shared" si="25"/>
        <v>0.17711058301599036</v>
      </c>
      <c r="H116" s="11">
        <f t="shared" si="3"/>
        <v>0.16404868603036732</v>
      </c>
      <c r="I116" s="12">
        <f t="shared" si="4"/>
        <v>0</v>
      </c>
      <c r="J116" s="28">
        <f t="shared" si="5"/>
        <v>0</v>
      </c>
      <c r="K116" s="30">
        <f t="shared" si="18"/>
        <v>0</v>
      </c>
      <c r="L116" s="5"/>
      <c r="M116" s="30">
        <f t="shared" si="19"/>
        <v>0</v>
      </c>
      <c r="N116" s="42">
        <f t="shared" si="20"/>
        <v>0</v>
      </c>
      <c r="O116" s="43">
        <f t="shared" si="21"/>
        <v>0</v>
      </c>
      <c r="P116" s="43">
        <f t="shared" si="22"/>
        <v>-0.34013437099999999</v>
      </c>
      <c r="Q116" s="43">
        <f t="shared" si="23"/>
        <v>-0.34013437099999999</v>
      </c>
      <c r="R116" s="43">
        <f t="shared" si="24"/>
        <v>0.11569139033556564</v>
      </c>
    </row>
    <row r="117" spans="1:18" ht="14.4" x14ac:dyDescent="0.3">
      <c r="A117" s="47">
        <v>38099</v>
      </c>
      <c r="B117" s="48">
        <v>0</v>
      </c>
      <c r="C117" s="49">
        <v>0</v>
      </c>
      <c r="D117" s="10">
        <f t="shared" si="16"/>
        <v>-0.38980777739764078</v>
      </c>
      <c r="E117" s="10">
        <f t="shared" si="17"/>
        <v>-0.42084508196721315</v>
      </c>
      <c r="F117" s="10">
        <f t="shared" si="25"/>
        <v>0.15195010331968867</v>
      </c>
      <c r="G117" s="10">
        <f t="shared" si="25"/>
        <v>0.17711058301599036</v>
      </c>
      <c r="H117" s="11">
        <f t="shared" si="3"/>
        <v>0.16404868603036732</v>
      </c>
      <c r="I117" s="12">
        <f t="shared" si="4"/>
        <v>0</v>
      </c>
      <c r="J117" s="28">
        <f t="shared" si="5"/>
        <v>0</v>
      </c>
      <c r="K117" s="30">
        <f t="shared" si="18"/>
        <v>0</v>
      </c>
      <c r="L117" s="5"/>
      <c r="M117" s="30">
        <f t="shared" si="19"/>
        <v>0</v>
      </c>
      <c r="N117" s="42">
        <f t="shared" si="20"/>
        <v>0</v>
      </c>
      <c r="O117" s="43">
        <f t="shared" si="21"/>
        <v>0</v>
      </c>
      <c r="P117" s="43">
        <f t="shared" si="22"/>
        <v>-0.34013437099999999</v>
      </c>
      <c r="Q117" s="43">
        <f t="shared" si="23"/>
        <v>-0.34013437099999999</v>
      </c>
      <c r="R117" s="43">
        <f t="shared" si="24"/>
        <v>0.11569139033556564</v>
      </c>
    </row>
    <row r="118" spans="1:18" ht="14.4" x14ac:dyDescent="0.3">
      <c r="A118" s="47">
        <v>38100</v>
      </c>
      <c r="B118" s="48">
        <v>0</v>
      </c>
      <c r="C118" s="49">
        <v>0</v>
      </c>
      <c r="D118" s="10">
        <f t="shared" si="16"/>
        <v>-0.38980777739764078</v>
      </c>
      <c r="E118" s="10">
        <f t="shared" si="17"/>
        <v>-0.42084508196721315</v>
      </c>
      <c r="F118" s="10">
        <f t="shared" si="25"/>
        <v>0.15195010331968867</v>
      </c>
      <c r="G118" s="10">
        <f t="shared" si="25"/>
        <v>0.17711058301599036</v>
      </c>
      <c r="H118" s="11">
        <f t="shared" si="3"/>
        <v>0.16404868603036732</v>
      </c>
      <c r="I118" s="12">
        <f t="shared" si="4"/>
        <v>0</v>
      </c>
      <c r="J118" s="28">
        <f t="shared" si="5"/>
        <v>0</v>
      </c>
      <c r="K118" s="30">
        <f t="shared" si="18"/>
        <v>0</v>
      </c>
      <c r="L118" s="5"/>
      <c r="M118" s="30">
        <f t="shared" si="19"/>
        <v>0</v>
      </c>
      <c r="N118" s="42">
        <f t="shared" si="20"/>
        <v>0</v>
      </c>
      <c r="O118" s="43">
        <f t="shared" si="21"/>
        <v>0</v>
      </c>
      <c r="P118" s="43">
        <f t="shared" si="22"/>
        <v>-0.34013437099999999</v>
      </c>
      <c r="Q118" s="43">
        <f t="shared" si="23"/>
        <v>-0.34013437099999999</v>
      </c>
      <c r="R118" s="43">
        <f t="shared" si="24"/>
        <v>0.11569139033556564</v>
      </c>
    </row>
    <row r="119" spans="1:18" ht="14.4" x14ac:dyDescent="0.3">
      <c r="A119" s="47">
        <v>38101</v>
      </c>
      <c r="B119" s="48">
        <v>0</v>
      </c>
      <c r="C119" s="49">
        <v>0</v>
      </c>
      <c r="D119" s="10">
        <f t="shared" si="16"/>
        <v>-0.38980777739764078</v>
      </c>
      <c r="E119" s="10">
        <f t="shared" si="17"/>
        <v>-0.42084508196721315</v>
      </c>
      <c r="F119" s="10">
        <f t="shared" si="25"/>
        <v>0.15195010331968867</v>
      </c>
      <c r="G119" s="10">
        <f t="shared" si="25"/>
        <v>0.17711058301599036</v>
      </c>
      <c r="H119" s="11">
        <f t="shared" si="3"/>
        <v>0.16404868603036732</v>
      </c>
      <c r="I119" s="12">
        <f t="shared" si="4"/>
        <v>0</v>
      </c>
      <c r="J119" s="28">
        <f t="shared" si="5"/>
        <v>0</v>
      </c>
      <c r="K119" s="30">
        <f t="shared" si="18"/>
        <v>0</v>
      </c>
      <c r="L119" s="5"/>
      <c r="M119" s="30">
        <f t="shared" si="19"/>
        <v>0</v>
      </c>
      <c r="N119" s="42">
        <f t="shared" si="20"/>
        <v>0</v>
      </c>
      <c r="O119" s="43">
        <f t="shared" si="21"/>
        <v>0</v>
      </c>
      <c r="P119" s="43">
        <f t="shared" si="22"/>
        <v>-0.34013437099999999</v>
      </c>
      <c r="Q119" s="43">
        <f t="shared" si="23"/>
        <v>-0.34013437099999999</v>
      </c>
      <c r="R119" s="43">
        <f t="shared" si="24"/>
        <v>0.11569139033556564</v>
      </c>
    </row>
    <row r="120" spans="1:18" ht="14.4" x14ac:dyDescent="0.3">
      <c r="A120" s="47">
        <v>38102</v>
      </c>
      <c r="B120" s="48">
        <v>0</v>
      </c>
      <c r="C120" s="49">
        <v>0</v>
      </c>
      <c r="D120" s="10">
        <f t="shared" si="16"/>
        <v>-0.38980777739764078</v>
      </c>
      <c r="E120" s="10">
        <f t="shared" si="17"/>
        <v>-0.42084508196721315</v>
      </c>
      <c r="F120" s="10">
        <f t="shared" si="25"/>
        <v>0.15195010331968867</v>
      </c>
      <c r="G120" s="10">
        <f t="shared" si="25"/>
        <v>0.17711058301599036</v>
      </c>
      <c r="H120" s="11">
        <f t="shared" si="3"/>
        <v>0.16404868603036732</v>
      </c>
      <c r="I120" s="12">
        <f t="shared" si="4"/>
        <v>0</v>
      </c>
      <c r="J120" s="28">
        <f t="shared" si="5"/>
        <v>0</v>
      </c>
      <c r="K120" s="30">
        <f t="shared" si="18"/>
        <v>0</v>
      </c>
      <c r="L120" s="5"/>
      <c r="M120" s="30">
        <f t="shared" si="19"/>
        <v>0</v>
      </c>
      <c r="N120" s="42">
        <f t="shared" si="20"/>
        <v>0</v>
      </c>
      <c r="O120" s="43">
        <f t="shared" si="21"/>
        <v>0</v>
      </c>
      <c r="P120" s="43">
        <f t="shared" si="22"/>
        <v>-0.34013437099999999</v>
      </c>
      <c r="Q120" s="43">
        <f t="shared" si="23"/>
        <v>-0.34013437099999999</v>
      </c>
      <c r="R120" s="43">
        <f t="shared" si="24"/>
        <v>0.11569139033556564</v>
      </c>
    </row>
    <row r="121" spans="1:18" ht="14.4" x14ac:dyDescent="0.3">
      <c r="A121" s="47">
        <v>38103</v>
      </c>
      <c r="B121" s="48">
        <v>0</v>
      </c>
      <c r="C121" s="49">
        <v>0</v>
      </c>
      <c r="D121" s="10">
        <f t="shared" si="16"/>
        <v>-0.38980777739764078</v>
      </c>
      <c r="E121" s="10">
        <f t="shared" si="17"/>
        <v>-0.42084508196721315</v>
      </c>
      <c r="F121" s="10">
        <f t="shared" si="25"/>
        <v>0.15195010331968867</v>
      </c>
      <c r="G121" s="10">
        <f t="shared" si="25"/>
        <v>0.17711058301599036</v>
      </c>
      <c r="H121" s="11">
        <f t="shared" si="3"/>
        <v>0.16404868603036732</v>
      </c>
      <c r="I121" s="12">
        <f t="shared" si="4"/>
        <v>0</v>
      </c>
      <c r="J121" s="28">
        <f t="shared" si="5"/>
        <v>0</v>
      </c>
      <c r="K121" s="30">
        <f t="shared" si="18"/>
        <v>0</v>
      </c>
      <c r="L121" s="5"/>
      <c r="M121" s="30">
        <f t="shared" si="19"/>
        <v>0</v>
      </c>
      <c r="N121" s="42">
        <f t="shared" si="20"/>
        <v>0</v>
      </c>
      <c r="O121" s="43">
        <f t="shared" si="21"/>
        <v>0</v>
      </c>
      <c r="P121" s="43">
        <f t="shared" si="22"/>
        <v>-0.34013437099999999</v>
      </c>
      <c r="Q121" s="43">
        <f t="shared" si="23"/>
        <v>-0.34013437099999999</v>
      </c>
      <c r="R121" s="43">
        <f t="shared" si="24"/>
        <v>0.11569139033556564</v>
      </c>
    </row>
    <row r="122" spans="1:18" ht="14.4" x14ac:dyDescent="0.3">
      <c r="A122" s="47">
        <v>38104</v>
      </c>
      <c r="B122" s="48">
        <v>0</v>
      </c>
      <c r="C122" s="49">
        <v>0</v>
      </c>
      <c r="D122" s="10">
        <f t="shared" si="16"/>
        <v>-0.38980777739764078</v>
      </c>
      <c r="E122" s="10">
        <f t="shared" si="17"/>
        <v>-0.42084508196721315</v>
      </c>
      <c r="F122" s="10">
        <f t="shared" si="25"/>
        <v>0.15195010331968867</v>
      </c>
      <c r="G122" s="10">
        <f t="shared" si="25"/>
        <v>0.17711058301599036</v>
      </c>
      <c r="H122" s="11">
        <f t="shared" si="3"/>
        <v>0.16404868603036732</v>
      </c>
      <c r="I122" s="12">
        <f t="shared" si="4"/>
        <v>0</v>
      </c>
      <c r="J122" s="28">
        <f t="shared" si="5"/>
        <v>0</v>
      </c>
      <c r="K122" s="30">
        <f t="shared" si="18"/>
        <v>0</v>
      </c>
      <c r="L122" s="5"/>
      <c r="M122" s="30">
        <f t="shared" si="19"/>
        <v>0</v>
      </c>
      <c r="N122" s="42">
        <f t="shared" si="20"/>
        <v>0</v>
      </c>
      <c r="O122" s="43">
        <f t="shared" si="21"/>
        <v>0</v>
      </c>
      <c r="P122" s="43">
        <f t="shared" si="22"/>
        <v>-0.34013437099999999</v>
      </c>
      <c r="Q122" s="43">
        <f t="shared" si="23"/>
        <v>-0.34013437099999999</v>
      </c>
      <c r="R122" s="43">
        <f t="shared" si="24"/>
        <v>0.11569139033556564</v>
      </c>
    </row>
    <row r="123" spans="1:18" ht="14.4" x14ac:dyDescent="0.3">
      <c r="A123" s="47">
        <v>38105</v>
      </c>
      <c r="B123" s="48">
        <v>0</v>
      </c>
      <c r="C123" s="49">
        <v>0</v>
      </c>
      <c r="D123" s="10">
        <f t="shared" si="16"/>
        <v>-0.38980777739764078</v>
      </c>
      <c r="E123" s="10">
        <f t="shared" si="17"/>
        <v>-0.42084508196721315</v>
      </c>
      <c r="F123" s="10">
        <f t="shared" si="25"/>
        <v>0.15195010331968867</v>
      </c>
      <c r="G123" s="10">
        <f t="shared" si="25"/>
        <v>0.17711058301599036</v>
      </c>
      <c r="H123" s="11">
        <f t="shared" si="3"/>
        <v>0.16404868603036732</v>
      </c>
      <c r="I123" s="12">
        <f t="shared" si="4"/>
        <v>0</v>
      </c>
      <c r="J123" s="28">
        <f t="shared" si="5"/>
        <v>0</v>
      </c>
      <c r="K123" s="30">
        <f t="shared" si="18"/>
        <v>0</v>
      </c>
      <c r="L123" s="5"/>
      <c r="M123" s="30">
        <f t="shared" si="19"/>
        <v>0</v>
      </c>
      <c r="N123" s="42">
        <f t="shared" si="20"/>
        <v>0</v>
      </c>
      <c r="O123" s="43">
        <f t="shared" si="21"/>
        <v>0</v>
      </c>
      <c r="P123" s="43">
        <f t="shared" si="22"/>
        <v>-0.34013437099999999</v>
      </c>
      <c r="Q123" s="43">
        <f t="shared" si="23"/>
        <v>-0.34013437099999999</v>
      </c>
      <c r="R123" s="43">
        <f t="shared" si="24"/>
        <v>0.11569139033556564</v>
      </c>
    </row>
    <row r="124" spans="1:18" ht="14.4" x14ac:dyDescent="0.3">
      <c r="A124" s="47">
        <v>38106</v>
      </c>
      <c r="B124" s="48">
        <v>0</v>
      </c>
      <c r="C124" s="49">
        <v>0</v>
      </c>
      <c r="D124" s="10">
        <f t="shared" si="16"/>
        <v>-0.38980777739764078</v>
      </c>
      <c r="E124" s="10">
        <f t="shared" si="17"/>
        <v>-0.42084508196721315</v>
      </c>
      <c r="F124" s="10">
        <f t="shared" si="25"/>
        <v>0.15195010331968867</v>
      </c>
      <c r="G124" s="10">
        <f t="shared" si="25"/>
        <v>0.17711058301599036</v>
      </c>
      <c r="H124" s="11">
        <f t="shared" si="3"/>
        <v>0.16404868603036732</v>
      </c>
      <c r="I124" s="12">
        <f t="shared" si="4"/>
        <v>0</v>
      </c>
      <c r="J124" s="28">
        <f t="shared" si="5"/>
        <v>0</v>
      </c>
      <c r="K124" s="30">
        <f t="shared" si="18"/>
        <v>0</v>
      </c>
      <c r="L124" s="5"/>
      <c r="M124" s="30">
        <f t="shared" si="19"/>
        <v>0</v>
      </c>
      <c r="N124" s="42">
        <f t="shared" si="20"/>
        <v>0</v>
      </c>
      <c r="O124" s="43">
        <f t="shared" si="21"/>
        <v>0</v>
      </c>
      <c r="P124" s="43">
        <f t="shared" si="22"/>
        <v>-0.34013437099999999</v>
      </c>
      <c r="Q124" s="43">
        <f t="shared" si="23"/>
        <v>-0.34013437099999999</v>
      </c>
      <c r="R124" s="43">
        <f t="shared" si="24"/>
        <v>0.11569139033556564</v>
      </c>
    </row>
    <row r="125" spans="1:18" ht="14.4" x14ac:dyDescent="0.3">
      <c r="A125" s="47">
        <v>38107</v>
      </c>
      <c r="B125" s="48">
        <v>6.5293349325656891E-2</v>
      </c>
      <c r="C125" s="49">
        <v>0</v>
      </c>
      <c r="D125" s="10">
        <f t="shared" si="16"/>
        <v>-0.32451442807198388</v>
      </c>
      <c r="E125" s="10">
        <f t="shared" si="17"/>
        <v>-0.42084508196721315</v>
      </c>
      <c r="F125" s="10">
        <f t="shared" si="25"/>
        <v>0.10530961402688681</v>
      </c>
      <c r="G125" s="10">
        <f t="shared" si="25"/>
        <v>0.17711058301599036</v>
      </c>
      <c r="H125" s="11">
        <f t="shared" si="3"/>
        <v>0.13657030108149734</v>
      </c>
      <c r="I125" s="12">
        <f t="shared" si="4"/>
        <v>6.5293349325656891E-2</v>
      </c>
      <c r="J125" s="28">
        <f t="shared" si="5"/>
        <v>4.2632214661622592E-3</v>
      </c>
      <c r="K125" s="30">
        <f t="shared" si="18"/>
        <v>-6.5293349325656891E-2</v>
      </c>
      <c r="L125" s="5"/>
      <c r="M125" s="30">
        <f t="shared" si="19"/>
        <v>6.5293349325656891E-2</v>
      </c>
      <c r="N125" s="42">
        <f t="shared" si="20"/>
        <v>6.5293349325656891E-2</v>
      </c>
      <c r="O125" s="43">
        <f t="shared" si="21"/>
        <v>4.2632214661622592E-3</v>
      </c>
      <c r="P125" s="43">
        <f t="shared" si="22"/>
        <v>-0.2748410216743431</v>
      </c>
      <c r="Q125" s="43">
        <f t="shared" si="23"/>
        <v>-0.2748410216743431</v>
      </c>
      <c r="R125" s="43">
        <f t="shared" si="24"/>
        <v>7.553758719499673E-2</v>
      </c>
    </row>
    <row r="126" spans="1:18" ht="14.4" x14ac:dyDescent="0.3">
      <c r="A126" s="47">
        <v>38108</v>
      </c>
      <c r="B126" s="48">
        <v>0.11188478767871857</v>
      </c>
      <c r="C126" s="49">
        <v>0</v>
      </c>
      <c r="D126" s="10">
        <f t="shared" si="16"/>
        <v>-0.27792298971892221</v>
      </c>
      <c r="E126" s="10">
        <f t="shared" si="17"/>
        <v>-0.42084508196721315</v>
      </c>
      <c r="F126" s="10">
        <f t="shared" si="25"/>
        <v>7.7241188214304146E-2</v>
      </c>
      <c r="G126" s="10">
        <f t="shared" si="25"/>
        <v>0.17711058301599036</v>
      </c>
      <c r="H126" s="11">
        <f t="shared" si="3"/>
        <v>0.11696252338883276</v>
      </c>
      <c r="I126" s="12">
        <f t="shared" si="4"/>
        <v>0.11188478767871857</v>
      </c>
      <c r="J126" s="28">
        <f t="shared" si="5"/>
        <v>1.2518205713911934E-2</v>
      </c>
      <c r="K126" s="30">
        <f t="shared" si="18"/>
        <v>-0.11188478767871857</v>
      </c>
      <c r="L126" s="5"/>
      <c r="M126" s="30">
        <f t="shared" si="19"/>
        <v>0.11188478767871857</v>
      </c>
      <c r="N126" s="42">
        <f t="shared" si="20"/>
        <v>0.11188478767871857</v>
      </c>
      <c r="O126" s="43">
        <f t="shared" si="21"/>
        <v>1.2518205713911934E-2</v>
      </c>
      <c r="P126" s="43">
        <f t="shared" si="22"/>
        <v>-0.22824958332128142</v>
      </c>
      <c r="Q126" s="43">
        <f t="shared" si="23"/>
        <v>-0.22824958332128142</v>
      </c>
      <c r="R126" s="43">
        <f t="shared" si="24"/>
        <v>5.2097872286338588E-2</v>
      </c>
    </row>
    <row r="127" spans="1:18" ht="14.4" x14ac:dyDescent="0.3">
      <c r="A127" s="47">
        <v>38109</v>
      </c>
      <c r="B127" s="48">
        <v>0</v>
      </c>
      <c r="C127" s="49">
        <v>0</v>
      </c>
      <c r="D127" s="10">
        <f t="shared" si="16"/>
        <v>-0.38980777739764078</v>
      </c>
      <c r="E127" s="10">
        <f t="shared" si="17"/>
        <v>-0.42084508196721315</v>
      </c>
      <c r="F127" s="10">
        <f t="shared" si="25"/>
        <v>0.15195010331968867</v>
      </c>
      <c r="G127" s="10">
        <f t="shared" si="25"/>
        <v>0.17711058301599036</v>
      </c>
      <c r="H127" s="11">
        <f t="shared" si="3"/>
        <v>0.16404868603036732</v>
      </c>
      <c r="I127" s="12">
        <f t="shared" si="4"/>
        <v>0</v>
      </c>
      <c r="J127" s="28">
        <f t="shared" si="5"/>
        <v>0</v>
      </c>
      <c r="K127" s="30">
        <f t="shared" si="18"/>
        <v>0</v>
      </c>
      <c r="L127" s="5"/>
      <c r="M127" s="30">
        <f t="shared" si="19"/>
        <v>0</v>
      </c>
      <c r="N127" s="42">
        <f t="shared" si="20"/>
        <v>0</v>
      </c>
      <c r="O127" s="43">
        <f t="shared" si="21"/>
        <v>0</v>
      </c>
      <c r="P127" s="43">
        <f t="shared" si="22"/>
        <v>-0.34013437099999999</v>
      </c>
      <c r="Q127" s="43">
        <f t="shared" si="23"/>
        <v>-0.34013437099999999</v>
      </c>
      <c r="R127" s="43">
        <f t="shared" si="24"/>
        <v>0.11569139033556564</v>
      </c>
    </row>
    <row r="128" spans="1:18" ht="14.4" x14ac:dyDescent="0.3">
      <c r="A128" s="47">
        <v>38110</v>
      </c>
      <c r="B128" s="48">
        <v>0</v>
      </c>
      <c r="C128" s="49">
        <v>0</v>
      </c>
      <c r="D128" s="10">
        <f t="shared" si="16"/>
        <v>-0.38980777739764078</v>
      </c>
      <c r="E128" s="10">
        <f t="shared" si="17"/>
        <v>-0.42084508196721315</v>
      </c>
      <c r="F128" s="10">
        <f t="shared" si="25"/>
        <v>0.15195010331968867</v>
      </c>
      <c r="G128" s="10">
        <f t="shared" si="25"/>
        <v>0.17711058301599036</v>
      </c>
      <c r="H128" s="11">
        <f t="shared" si="3"/>
        <v>0.16404868603036732</v>
      </c>
      <c r="I128" s="12">
        <f t="shared" si="4"/>
        <v>0</v>
      </c>
      <c r="J128" s="28">
        <f t="shared" si="5"/>
        <v>0</v>
      </c>
      <c r="K128" s="30">
        <f t="shared" si="18"/>
        <v>0</v>
      </c>
      <c r="L128" s="5"/>
      <c r="M128" s="30">
        <f t="shared" si="19"/>
        <v>0</v>
      </c>
      <c r="N128" s="42">
        <f t="shared" si="20"/>
        <v>0</v>
      </c>
      <c r="O128" s="43">
        <f t="shared" si="21"/>
        <v>0</v>
      </c>
      <c r="P128" s="43">
        <f t="shared" si="22"/>
        <v>-0.34013437099999999</v>
      </c>
      <c r="Q128" s="43">
        <f t="shared" si="23"/>
        <v>-0.34013437099999999</v>
      </c>
      <c r="R128" s="43">
        <f t="shared" si="24"/>
        <v>0.11569139033556564</v>
      </c>
    </row>
    <row r="129" spans="1:18" ht="14.4" x14ac:dyDescent="0.3">
      <c r="A129" s="47">
        <v>38111</v>
      </c>
      <c r="B129" s="48">
        <v>0</v>
      </c>
      <c r="C129" s="49">
        <v>0</v>
      </c>
      <c r="D129" s="10">
        <f t="shared" si="16"/>
        <v>-0.38980777739764078</v>
      </c>
      <c r="E129" s="10">
        <f t="shared" si="17"/>
        <v>-0.42084508196721315</v>
      </c>
      <c r="F129" s="10">
        <f t="shared" si="25"/>
        <v>0.15195010331968867</v>
      </c>
      <c r="G129" s="10">
        <f t="shared" si="25"/>
        <v>0.17711058301599036</v>
      </c>
      <c r="H129" s="11">
        <f t="shared" si="3"/>
        <v>0.16404868603036732</v>
      </c>
      <c r="I129" s="12">
        <f t="shared" si="4"/>
        <v>0</v>
      </c>
      <c r="J129" s="28">
        <f t="shared" si="5"/>
        <v>0</v>
      </c>
      <c r="K129" s="30">
        <f t="shared" si="18"/>
        <v>0</v>
      </c>
      <c r="L129" s="5"/>
      <c r="M129" s="30">
        <f t="shared" si="19"/>
        <v>0</v>
      </c>
      <c r="N129" s="42">
        <f t="shared" si="20"/>
        <v>0</v>
      </c>
      <c r="O129" s="43">
        <f t="shared" si="21"/>
        <v>0</v>
      </c>
      <c r="P129" s="43">
        <f t="shared" si="22"/>
        <v>-0.34013437099999999</v>
      </c>
      <c r="Q129" s="43">
        <f t="shared" si="23"/>
        <v>-0.34013437099999999</v>
      </c>
      <c r="R129" s="43">
        <f t="shared" si="24"/>
        <v>0.11569139033556564</v>
      </c>
    </row>
    <row r="130" spans="1:18" ht="14.4" x14ac:dyDescent="0.3">
      <c r="A130" s="47">
        <v>38112</v>
      </c>
      <c r="B130" s="48">
        <v>0</v>
      </c>
      <c r="C130" s="49">
        <v>0</v>
      </c>
      <c r="D130" s="10">
        <f t="shared" si="16"/>
        <v>-0.38980777739764078</v>
      </c>
      <c r="E130" s="10">
        <f t="shared" si="17"/>
        <v>-0.42084508196721315</v>
      </c>
      <c r="F130" s="10">
        <f t="shared" si="25"/>
        <v>0.15195010331968867</v>
      </c>
      <c r="G130" s="10">
        <f t="shared" si="25"/>
        <v>0.17711058301599036</v>
      </c>
      <c r="H130" s="11">
        <f t="shared" si="3"/>
        <v>0.16404868603036732</v>
      </c>
      <c r="I130" s="12">
        <f t="shared" si="4"/>
        <v>0</v>
      </c>
      <c r="J130" s="28">
        <f t="shared" si="5"/>
        <v>0</v>
      </c>
      <c r="K130" s="30">
        <f t="shared" si="18"/>
        <v>0</v>
      </c>
      <c r="L130" s="5"/>
      <c r="M130" s="30">
        <f t="shared" si="19"/>
        <v>0</v>
      </c>
      <c r="N130" s="42">
        <f t="shared" si="20"/>
        <v>0</v>
      </c>
      <c r="O130" s="43">
        <f t="shared" si="21"/>
        <v>0</v>
      </c>
      <c r="P130" s="43">
        <f t="shared" si="22"/>
        <v>-0.34013437099999999</v>
      </c>
      <c r="Q130" s="43">
        <f t="shared" si="23"/>
        <v>-0.34013437099999999</v>
      </c>
      <c r="R130" s="43">
        <f t="shared" si="24"/>
        <v>0.11569139033556564</v>
      </c>
    </row>
    <row r="131" spans="1:18" ht="14.4" x14ac:dyDescent="0.3">
      <c r="A131" s="47">
        <v>38113</v>
      </c>
      <c r="B131" s="48">
        <v>0</v>
      </c>
      <c r="C131" s="49">
        <v>0</v>
      </c>
      <c r="D131" s="10">
        <f t="shared" si="16"/>
        <v>-0.38980777739764078</v>
      </c>
      <c r="E131" s="10">
        <f t="shared" si="17"/>
        <v>-0.42084508196721315</v>
      </c>
      <c r="F131" s="10">
        <f t="shared" si="25"/>
        <v>0.15195010331968867</v>
      </c>
      <c r="G131" s="10">
        <f t="shared" si="25"/>
        <v>0.17711058301599036</v>
      </c>
      <c r="H131" s="11">
        <f t="shared" si="3"/>
        <v>0.16404868603036732</v>
      </c>
      <c r="I131" s="12">
        <f t="shared" si="4"/>
        <v>0</v>
      </c>
      <c r="J131" s="28">
        <f t="shared" si="5"/>
        <v>0</v>
      </c>
      <c r="K131" s="30">
        <f t="shared" si="18"/>
        <v>0</v>
      </c>
      <c r="L131" s="5"/>
      <c r="M131" s="30">
        <f t="shared" si="19"/>
        <v>0</v>
      </c>
      <c r="N131" s="42">
        <f t="shared" si="20"/>
        <v>0</v>
      </c>
      <c r="O131" s="43">
        <f t="shared" si="21"/>
        <v>0</v>
      </c>
      <c r="P131" s="43">
        <f t="shared" si="22"/>
        <v>-0.34013437099999999</v>
      </c>
      <c r="Q131" s="43">
        <f t="shared" si="23"/>
        <v>-0.34013437099999999</v>
      </c>
      <c r="R131" s="43">
        <f t="shared" si="24"/>
        <v>0.11569139033556564</v>
      </c>
    </row>
    <row r="132" spans="1:18" ht="14.4" x14ac:dyDescent="0.3">
      <c r="A132" s="47">
        <v>38114</v>
      </c>
      <c r="B132" s="48">
        <v>0</v>
      </c>
      <c r="C132" s="49">
        <v>0</v>
      </c>
      <c r="D132" s="10">
        <f t="shared" si="16"/>
        <v>-0.38980777739764078</v>
      </c>
      <c r="E132" s="10">
        <f t="shared" si="17"/>
        <v>-0.42084508196721315</v>
      </c>
      <c r="F132" s="10">
        <f t="shared" si="25"/>
        <v>0.15195010331968867</v>
      </c>
      <c r="G132" s="10">
        <f t="shared" si="25"/>
        <v>0.17711058301599036</v>
      </c>
      <c r="H132" s="11">
        <f t="shared" si="3"/>
        <v>0.16404868603036732</v>
      </c>
      <c r="I132" s="12">
        <f t="shared" si="4"/>
        <v>0</v>
      </c>
      <c r="J132" s="28">
        <f t="shared" si="5"/>
        <v>0</v>
      </c>
      <c r="K132" s="30">
        <f t="shared" si="18"/>
        <v>0</v>
      </c>
      <c r="L132" s="5"/>
      <c r="M132" s="30">
        <f t="shared" si="19"/>
        <v>0</v>
      </c>
      <c r="N132" s="42">
        <f t="shared" si="20"/>
        <v>0</v>
      </c>
      <c r="O132" s="43">
        <f t="shared" si="21"/>
        <v>0</v>
      </c>
      <c r="P132" s="43">
        <f t="shared" si="22"/>
        <v>-0.34013437099999999</v>
      </c>
      <c r="Q132" s="43">
        <f t="shared" si="23"/>
        <v>-0.34013437099999999</v>
      </c>
      <c r="R132" s="43">
        <f t="shared" si="24"/>
        <v>0.11569139033556564</v>
      </c>
    </row>
    <row r="133" spans="1:18" ht="14.4" x14ac:dyDescent="0.3">
      <c r="A133" s="47">
        <v>38115</v>
      </c>
      <c r="B133" s="48">
        <v>0</v>
      </c>
      <c r="C133" s="49">
        <v>0</v>
      </c>
      <c r="D133" s="10">
        <f t="shared" si="16"/>
        <v>-0.38980777739764078</v>
      </c>
      <c r="E133" s="10">
        <f t="shared" si="17"/>
        <v>-0.42084508196721315</v>
      </c>
      <c r="F133" s="10">
        <f t="shared" si="25"/>
        <v>0.15195010331968867</v>
      </c>
      <c r="G133" s="10">
        <f t="shared" si="25"/>
        <v>0.17711058301599036</v>
      </c>
      <c r="H133" s="11">
        <f t="shared" si="3"/>
        <v>0.16404868603036732</v>
      </c>
      <c r="I133" s="12">
        <f t="shared" si="4"/>
        <v>0</v>
      </c>
      <c r="J133" s="28">
        <f t="shared" si="5"/>
        <v>0</v>
      </c>
      <c r="K133" s="30">
        <f t="shared" si="18"/>
        <v>0</v>
      </c>
      <c r="L133" s="5"/>
      <c r="M133" s="30">
        <f t="shared" si="19"/>
        <v>0</v>
      </c>
      <c r="N133" s="42">
        <f t="shared" si="20"/>
        <v>0</v>
      </c>
      <c r="O133" s="43">
        <f t="shared" si="21"/>
        <v>0</v>
      </c>
      <c r="P133" s="43">
        <f t="shared" si="22"/>
        <v>-0.34013437099999999</v>
      </c>
      <c r="Q133" s="43">
        <f t="shared" si="23"/>
        <v>-0.34013437099999999</v>
      </c>
      <c r="R133" s="43">
        <f t="shared" si="24"/>
        <v>0.11569139033556564</v>
      </c>
    </row>
    <row r="134" spans="1:18" ht="14.4" x14ac:dyDescent="0.3">
      <c r="A134" s="47">
        <v>38116</v>
      </c>
      <c r="B134" s="48">
        <v>0</v>
      </c>
      <c r="C134" s="49">
        <v>0</v>
      </c>
      <c r="D134" s="10">
        <f t="shared" ref="D134:D197" si="26">B134-$C$375</f>
        <v>-0.38980777739764078</v>
      </c>
      <c r="E134" s="10">
        <f t="shared" ref="E134:E197" si="27">C134-$D$375</f>
        <v>-0.42084508196721315</v>
      </c>
      <c r="F134" s="10">
        <f t="shared" si="25"/>
        <v>0.15195010331968867</v>
      </c>
      <c r="G134" s="10">
        <f t="shared" si="25"/>
        <v>0.17711058301599036</v>
      </c>
      <c r="H134" s="11">
        <f t="shared" si="3"/>
        <v>0.16404868603036732</v>
      </c>
      <c r="I134" s="12">
        <f t="shared" si="4"/>
        <v>0</v>
      </c>
      <c r="J134" s="28">
        <f t="shared" si="5"/>
        <v>0</v>
      </c>
      <c r="K134" s="30">
        <f t="shared" ref="K134:K197" si="28">C134-B134</f>
        <v>0</v>
      </c>
      <c r="L134" s="5"/>
      <c r="M134" s="30">
        <f t="shared" ref="M134:M197" si="29">B134-C134</f>
        <v>0</v>
      </c>
      <c r="N134" s="42">
        <f t="shared" ref="N134:N197" si="30">B134-C134</f>
        <v>0</v>
      </c>
      <c r="O134" s="43">
        <f t="shared" ref="O134:O197" si="31">M134*N134</f>
        <v>0</v>
      </c>
      <c r="P134" s="43">
        <f t="shared" ref="P134:P197" si="32">B134-0.340134371</f>
        <v>-0.34013437099999999</v>
      </c>
      <c r="Q134" s="43">
        <f t="shared" ref="Q134:Q197" si="33">B134-0.340134371</f>
        <v>-0.34013437099999999</v>
      </c>
      <c r="R134" s="43">
        <f t="shared" ref="R134:R197" si="34">P134*Q134</f>
        <v>0.11569139033556564</v>
      </c>
    </row>
    <row r="135" spans="1:18" ht="14.4" x14ac:dyDescent="0.3">
      <c r="A135" s="47">
        <v>38117</v>
      </c>
      <c r="B135" s="48">
        <v>0</v>
      </c>
      <c r="C135" s="49">
        <v>0</v>
      </c>
      <c r="D135" s="10">
        <f t="shared" si="26"/>
        <v>-0.38980777739764078</v>
      </c>
      <c r="E135" s="10">
        <f t="shared" si="27"/>
        <v>-0.42084508196721315</v>
      </c>
      <c r="F135" s="10">
        <f t="shared" si="25"/>
        <v>0.15195010331968867</v>
      </c>
      <c r="G135" s="10">
        <f t="shared" si="25"/>
        <v>0.17711058301599036</v>
      </c>
      <c r="H135" s="11">
        <f t="shared" si="3"/>
        <v>0.16404868603036732</v>
      </c>
      <c r="I135" s="12">
        <f t="shared" si="4"/>
        <v>0</v>
      </c>
      <c r="J135" s="28">
        <f t="shared" si="5"/>
        <v>0</v>
      </c>
      <c r="K135" s="30">
        <f t="shared" si="28"/>
        <v>0</v>
      </c>
      <c r="L135" s="5"/>
      <c r="M135" s="30">
        <f t="shared" si="29"/>
        <v>0</v>
      </c>
      <c r="N135" s="42">
        <f t="shared" si="30"/>
        <v>0</v>
      </c>
      <c r="O135" s="43">
        <f t="shared" si="31"/>
        <v>0</v>
      </c>
      <c r="P135" s="43">
        <f t="shared" si="32"/>
        <v>-0.34013437099999999</v>
      </c>
      <c r="Q135" s="43">
        <f t="shared" si="33"/>
        <v>-0.34013437099999999</v>
      </c>
      <c r="R135" s="43">
        <f t="shared" si="34"/>
        <v>0.11569139033556564</v>
      </c>
    </row>
    <row r="136" spans="1:18" ht="14.4" x14ac:dyDescent="0.3">
      <c r="A136" s="47">
        <v>38118</v>
      </c>
      <c r="B136" s="48">
        <v>0</v>
      </c>
      <c r="C136" s="49">
        <v>0</v>
      </c>
      <c r="D136" s="10">
        <f t="shared" si="26"/>
        <v>-0.38980777739764078</v>
      </c>
      <c r="E136" s="10">
        <f t="shared" si="27"/>
        <v>-0.42084508196721315</v>
      </c>
      <c r="F136" s="10">
        <f t="shared" si="25"/>
        <v>0.15195010331968867</v>
      </c>
      <c r="G136" s="10">
        <f t="shared" si="25"/>
        <v>0.17711058301599036</v>
      </c>
      <c r="H136" s="11">
        <f t="shared" si="3"/>
        <v>0.16404868603036732</v>
      </c>
      <c r="I136" s="12">
        <f t="shared" si="4"/>
        <v>0</v>
      </c>
      <c r="J136" s="28">
        <f t="shared" si="5"/>
        <v>0</v>
      </c>
      <c r="K136" s="30">
        <f t="shared" si="28"/>
        <v>0</v>
      </c>
      <c r="L136" s="5"/>
      <c r="M136" s="30">
        <f t="shared" si="29"/>
        <v>0</v>
      </c>
      <c r="N136" s="42">
        <f t="shared" si="30"/>
        <v>0</v>
      </c>
      <c r="O136" s="43">
        <f t="shared" si="31"/>
        <v>0</v>
      </c>
      <c r="P136" s="43">
        <f t="shared" si="32"/>
        <v>-0.34013437099999999</v>
      </c>
      <c r="Q136" s="43">
        <f t="shared" si="33"/>
        <v>-0.34013437099999999</v>
      </c>
      <c r="R136" s="43">
        <f t="shared" si="34"/>
        <v>0.11569139033556564</v>
      </c>
    </row>
    <row r="137" spans="1:18" ht="14.4" x14ac:dyDescent="0.3">
      <c r="A137" s="47">
        <v>38119</v>
      </c>
      <c r="B137" s="48">
        <v>0</v>
      </c>
      <c r="C137" s="49">
        <v>0</v>
      </c>
      <c r="D137" s="10">
        <f t="shared" si="26"/>
        <v>-0.38980777739764078</v>
      </c>
      <c r="E137" s="10">
        <f t="shared" si="27"/>
        <v>-0.42084508196721315</v>
      </c>
      <c r="F137" s="10">
        <f t="shared" si="25"/>
        <v>0.15195010331968867</v>
      </c>
      <c r="G137" s="10">
        <f t="shared" si="25"/>
        <v>0.17711058301599036</v>
      </c>
      <c r="H137" s="11">
        <f t="shared" si="3"/>
        <v>0.16404868603036732</v>
      </c>
      <c r="I137" s="12">
        <f t="shared" si="4"/>
        <v>0</v>
      </c>
      <c r="J137" s="28">
        <f t="shared" si="5"/>
        <v>0</v>
      </c>
      <c r="K137" s="30">
        <f t="shared" si="28"/>
        <v>0</v>
      </c>
      <c r="L137" s="5"/>
      <c r="M137" s="30">
        <f t="shared" si="29"/>
        <v>0</v>
      </c>
      <c r="N137" s="42">
        <f t="shared" si="30"/>
        <v>0</v>
      </c>
      <c r="O137" s="43">
        <f t="shared" si="31"/>
        <v>0</v>
      </c>
      <c r="P137" s="43">
        <f t="shared" si="32"/>
        <v>-0.34013437099999999</v>
      </c>
      <c r="Q137" s="43">
        <f t="shared" si="33"/>
        <v>-0.34013437099999999</v>
      </c>
      <c r="R137" s="43">
        <f t="shared" si="34"/>
        <v>0.11569139033556564</v>
      </c>
    </row>
    <row r="138" spans="1:18" ht="14.4" x14ac:dyDescent="0.3">
      <c r="A138" s="47">
        <v>38120</v>
      </c>
      <c r="B138" s="48">
        <v>0</v>
      </c>
      <c r="C138" s="49">
        <v>0</v>
      </c>
      <c r="D138" s="10">
        <f t="shared" si="26"/>
        <v>-0.38980777739764078</v>
      </c>
      <c r="E138" s="10">
        <f t="shared" si="27"/>
        <v>-0.42084508196721315</v>
      </c>
      <c r="F138" s="10">
        <f t="shared" si="25"/>
        <v>0.15195010331968867</v>
      </c>
      <c r="G138" s="10">
        <f t="shared" si="25"/>
        <v>0.17711058301599036</v>
      </c>
      <c r="H138" s="11">
        <f t="shared" si="3"/>
        <v>0.16404868603036732</v>
      </c>
      <c r="I138" s="12">
        <f t="shared" si="4"/>
        <v>0</v>
      </c>
      <c r="J138" s="28">
        <f t="shared" si="5"/>
        <v>0</v>
      </c>
      <c r="K138" s="30">
        <f t="shared" si="28"/>
        <v>0</v>
      </c>
      <c r="L138" s="5"/>
      <c r="M138" s="30">
        <f t="shared" si="29"/>
        <v>0</v>
      </c>
      <c r="N138" s="42">
        <f t="shared" si="30"/>
        <v>0</v>
      </c>
      <c r="O138" s="43">
        <f t="shared" si="31"/>
        <v>0</v>
      </c>
      <c r="P138" s="43">
        <f t="shared" si="32"/>
        <v>-0.34013437099999999</v>
      </c>
      <c r="Q138" s="43">
        <f t="shared" si="33"/>
        <v>-0.34013437099999999</v>
      </c>
      <c r="R138" s="43">
        <f t="shared" si="34"/>
        <v>0.11569139033556564</v>
      </c>
    </row>
    <row r="139" spans="1:18" ht="14.4" x14ac:dyDescent="0.3">
      <c r="A139" s="47">
        <v>38121</v>
      </c>
      <c r="B139" s="48">
        <v>0</v>
      </c>
      <c r="C139" s="49">
        <v>0</v>
      </c>
      <c r="D139" s="10">
        <f t="shared" si="26"/>
        <v>-0.38980777739764078</v>
      </c>
      <c r="E139" s="10">
        <f t="shared" si="27"/>
        <v>-0.42084508196721315</v>
      </c>
      <c r="F139" s="10">
        <f t="shared" si="25"/>
        <v>0.15195010331968867</v>
      </c>
      <c r="G139" s="10">
        <f t="shared" si="25"/>
        <v>0.17711058301599036</v>
      </c>
      <c r="H139" s="11">
        <f t="shared" si="3"/>
        <v>0.16404868603036732</v>
      </c>
      <c r="I139" s="12">
        <f t="shared" si="4"/>
        <v>0</v>
      </c>
      <c r="J139" s="28">
        <f t="shared" si="5"/>
        <v>0</v>
      </c>
      <c r="K139" s="30">
        <f t="shared" si="28"/>
        <v>0</v>
      </c>
      <c r="L139" s="5"/>
      <c r="M139" s="30">
        <f t="shared" si="29"/>
        <v>0</v>
      </c>
      <c r="N139" s="42">
        <f t="shared" si="30"/>
        <v>0</v>
      </c>
      <c r="O139" s="43">
        <f t="shared" si="31"/>
        <v>0</v>
      </c>
      <c r="P139" s="43">
        <f t="shared" si="32"/>
        <v>-0.34013437099999999</v>
      </c>
      <c r="Q139" s="43">
        <f t="shared" si="33"/>
        <v>-0.34013437099999999</v>
      </c>
      <c r="R139" s="43">
        <f t="shared" si="34"/>
        <v>0.11569139033556564</v>
      </c>
    </row>
    <row r="140" spans="1:18" ht="14.4" x14ac:dyDescent="0.3">
      <c r="A140" s="47">
        <v>38122</v>
      </c>
      <c r="B140" s="48">
        <v>0</v>
      </c>
      <c r="C140" s="49">
        <v>0</v>
      </c>
      <c r="D140" s="10">
        <f t="shared" si="26"/>
        <v>-0.38980777739764078</v>
      </c>
      <c r="E140" s="10">
        <f t="shared" si="27"/>
        <v>-0.42084508196721315</v>
      </c>
      <c r="F140" s="10">
        <f t="shared" si="25"/>
        <v>0.15195010331968867</v>
      </c>
      <c r="G140" s="10">
        <f t="shared" si="25"/>
        <v>0.17711058301599036</v>
      </c>
      <c r="H140" s="11">
        <f t="shared" si="3"/>
        <v>0.16404868603036732</v>
      </c>
      <c r="I140" s="12">
        <f t="shared" si="4"/>
        <v>0</v>
      </c>
      <c r="J140" s="28">
        <f t="shared" si="5"/>
        <v>0</v>
      </c>
      <c r="K140" s="30">
        <f t="shared" si="28"/>
        <v>0</v>
      </c>
      <c r="L140" s="5"/>
      <c r="M140" s="30">
        <f t="shared" si="29"/>
        <v>0</v>
      </c>
      <c r="N140" s="42">
        <f t="shared" si="30"/>
        <v>0</v>
      </c>
      <c r="O140" s="43">
        <f t="shared" si="31"/>
        <v>0</v>
      </c>
      <c r="P140" s="43">
        <f t="shared" si="32"/>
        <v>-0.34013437099999999</v>
      </c>
      <c r="Q140" s="43">
        <f t="shared" si="33"/>
        <v>-0.34013437099999999</v>
      </c>
      <c r="R140" s="43">
        <f t="shared" si="34"/>
        <v>0.11569139033556564</v>
      </c>
    </row>
    <row r="141" spans="1:18" ht="14.4" x14ac:dyDescent="0.3">
      <c r="A141" s="47">
        <v>38123</v>
      </c>
      <c r="B141" s="48">
        <v>0</v>
      </c>
      <c r="C141" s="49">
        <v>0</v>
      </c>
      <c r="D141" s="10">
        <f t="shared" si="26"/>
        <v>-0.38980777739764078</v>
      </c>
      <c r="E141" s="10">
        <f t="shared" si="27"/>
        <v>-0.42084508196721315</v>
      </c>
      <c r="F141" s="10">
        <f t="shared" si="25"/>
        <v>0.15195010331968867</v>
      </c>
      <c r="G141" s="10">
        <f t="shared" si="25"/>
        <v>0.17711058301599036</v>
      </c>
      <c r="H141" s="11">
        <f t="shared" si="3"/>
        <v>0.16404868603036732</v>
      </c>
      <c r="I141" s="12">
        <f t="shared" si="4"/>
        <v>0</v>
      </c>
      <c r="J141" s="28">
        <f t="shared" si="5"/>
        <v>0</v>
      </c>
      <c r="K141" s="30">
        <f t="shared" si="28"/>
        <v>0</v>
      </c>
      <c r="L141" s="5"/>
      <c r="M141" s="30">
        <f t="shared" si="29"/>
        <v>0</v>
      </c>
      <c r="N141" s="42">
        <f t="shared" si="30"/>
        <v>0</v>
      </c>
      <c r="O141" s="43">
        <f t="shared" si="31"/>
        <v>0</v>
      </c>
      <c r="P141" s="43">
        <f t="shared" si="32"/>
        <v>-0.34013437099999999</v>
      </c>
      <c r="Q141" s="43">
        <f t="shared" si="33"/>
        <v>-0.34013437099999999</v>
      </c>
      <c r="R141" s="43">
        <f t="shared" si="34"/>
        <v>0.11569139033556564</v>
      </c>
    </row>
    <row r="142" spans="1:18" ht="14.4" x14ac:dyDescent="0.3">
      <c r="A142" s="47">
        <v>38124</v>
      </c>
      <c r="B142" s="48">
        <v>0.23632176220417023</v>
      </c>
      <c r="C142" s="49">
        <v>0</v>
      </c>
      <c r="D142" s="10">
        <f t="shared" si="26"/>
        <v>-0.15348601519347055</v>
      </c>
      <c r="E142" s="10">
        <f t="shared" si="27"/>
        <v>-0.42084508196721315</v>
      </c>
      <c r="F142" s="10">
        <f t="shared" si="25"/>
        <v>2.3557956859970273E-2</v>
      </c>
      <c r="G142" s="10">
        <f t="shared" si="25"/>
        <v>0.17711058301599036</v>
      </c>
      <c r="H142" s="11">
        <f t="shared" si="3"/>
        <v>6.4593834644917039E-2</v>
      </c>
      <c r="I142" s="12">
        <f t="shared" si="4"/>
        <v>0.23632176220417023</v>
      </c>
      <c r="J142" s="28">
        <f t="shared" si="5"/>
        <v>5.584797529128438E-2</v>
      </c>
      <c r="K142" s="30">
        <f t="shared" si="28"/>
        <v>-0.23632176220417023</v>
      </c>
      <c r="L142" s="5"/>
      <c r="M142" s="30">
        <f t="shared" si="29"/>
        <v>0.23632176220417023</v>
      </c>
      <c r="N142" s="42">
        <f t="shared" si="30"/>
        <v>0.23632176220417023</v>
      </c>
      <c r="O142" s="43">
        <f t="shared" si="31"/>
        <v>5.584797529128438E-2</v>
      </c>
      <c r="P142" s="43">
        <f t="shared" si="32"/>
        <v>-0.10381260879582976</v>
      </c>
      <c r="Q142" s="43">
        <f t="shared" si="33"/>
        <v>-0.10381260879582976</v>
      </c>
      <c r="R142" s="43">
        <f t="shared" si="34"/>
        <v>1.0777057744995992E-2</v>
      </c>
    </row>
    <row r="143" spans="1:18" ht="14.4" x14ac:dyDescent="0.3">
      <c r="A143" s="47">
        <v>38125</v>
      </c>
      <c r="B143" s="48">
        <v>1.0617351531982422</v>
      </c>
      <c r="C143" s="49">
        <v>0</v>
      </c>
      <c r="D143" s="10">
        <f t="shared" si="26"/>
        <v>0.67192737580060147</v>
      </c>
      <c r="E143" s="10">
        <f t="shared" si="27"/>
        <v>-0.42084508196721315</v>
      </c>
      <c r="F143" s="10">
        <f t="shared" si="25"/>
        <v>0.4514863983502827</v>
      </c>
      <c r="G143" s="10">
        <f t="shared" si="25"/>
        <v>0.17711058301599036</v>
      </c>
      <c r="H143" s="11">
        <f t="shared" si="3"/>
        <v>-0.28277733154481854</v>
      </c>
      <c r="I143" s="12">
        <f t="shared" si="4"/>
        <v>1.0617351531982422</v>
      </c>
      <c r="J143" s="28">
        <f t="shared" si="5"/>
        <v>1.1272815355368948</v>
      </c>
      <c r="K143" s="30">
        <f t="shared" si="28"/>
        <v>-1.0617351531982422</v>
      </c>
      <c r="L143" s="5"/>
      <c r="M143" s="30">
        <f t="shared" si="29"/>
        <v>1.0617351531982422</v>
      </c>
      <c r="N143" s="42">
        <f t="shared" si="30"/>
        <v>1.0617351531982422</v>
      </c>
      <c r="O143" s="43">
        <f t="shared" si="31"/>
        <v>1.1272815355368948</v>
      </c>
      <c r="P143" s="43">
        <f t="shared" si="32"/>
        <v>0.7216007821982422</v>
      </c>
      <c r="Q143" s="43">
        <f t="shared" si="33"/>
        <v>0.7216007821982422</v>
      </c>
      <c r="R143" s="43">
        <f t="shared" si="34"/>
        <v>0.520707688869115</v>
      </c>
    </row>
    <row r="144" spans="1:18" ht="14.4" x14ac:dyDescent="0.3">
      <c r="A144" s="47">
        <v>38126</v>
      </c>
      <c r="B144" s="48">
        <v>0.33342942595481873</v>
      </c>
      <c r="C144" s="49">
        <v>0</v>
      </c>
      <c r="D144" s="10">
        <f t="shared" si="26"/>
        <v>-5.637835144282205E-2</v>
      </c>
      <c r="E144" s="10">
        <f t="shared" si="27"/>
        <v>-0.42084508196721315</v>
      </c>
      <c r="F144" s="10">
        <f t="shared" si="25"/>
        <v>3.178518511410355E-3</v>
      </c>
      <c r="G144" s="10">
        <f t="shared" si="25"/>
        <v>0.17711058301599036</v>
      </c>
      <c r="H144" s="11">
        <f t="shared" si="3"/>
        <v>2.3726551934130796E-2</v>
      </c>
      <c r="I144" s="12">
        <f t="shared" si="4"/>
        <v>0.33342942595481873</v>
      </c>
      <c r="J144" s="28">
        <f t="shared" si="5"/>
        <v>0.11117518209255994</v>
      </c>
      <c r="K144" s="30">
        <f t="shared" si="28"/>
        <v>-0.33342942595481873</v>
      </c>
      <c r="L144" s="5"/>
      <c r="M144" s="30">
        <f t="shared" si="29"/>
        <v>0.33342942595481873</v>
      </c>
      <c r="N144" s="42">
        <f t="shared" si="30"/>
        <v>0.33342942595481873</v>
      </c>
      <c r="O144" s="43">
        <f t="shared" si="31"/>
        <v>0.11117518209255994</v>
      </c>
      <c r="P144" s="43">
        <f t="shared" si="32"/>
        <v>-6.7049450451812653E-3</v>
      </c>
      <c r="Q144" s="43">
        <f t="shared" si="33"/>
        <v>-6.7049450451812653E-3</v>
      </c>
      <c r="R144" s="43">
        <f t="shared" si="34"/>
        <v>4.4956288058900803E-5</v>
      </c>
    </row>
    <row r="145" spans="1:18" ht="14.4" x14ac:dyDescent="0.3">
      <c r="A145" s="47">
        <v>38127</v>
      </c>
      <c r="B145" s="48">
        <v>0</v>
      </c>
      <c r="C145" s="49">
        <v>0</v>
      </c>
      <c r="D145" s="10">
        <f t="shared" si="26"/>
        <v>-0.38980777739764078</v>
      </c>
      <c r="E145" s="10">
        <f t="shared" si="27"/>
        <v>-0.42084508196721315</v>
      </c>
      <c r="F145" s="10">
        <f t="shared" si="25"/>
        <v>0.15195010331968867</v>
      </c>
      <c r="G145" s="10">
        <f t="shared" si="25"/>
        <v>0.17711058301599036</v>
      </c>
      <c r="H145" s="11">
        <f t="shared" si="3"/>
        <v>0.16404868603036732</v>
      </c>
      <c r="I145" s="12">
        <f t="shared" si="4"/>
        <v>0</v>
      </c>
      <c r="J145" s="28">
        <f t="shared" si="5"/>
        <v>0</v>
      </c>
      <c r="K145" s="30">
        <f t="shared" si="28"/>
        <v>0</v>
      </c>
      <c r="L145" s="5"/>
      <c r="M145" s="30">
        <f t="shared" si="29"/>
        <v>0</v>
      </c>
      <c r="N145" s="42">
        <f t="shared" si="30"/>
        <v>0</v>
      </c>
      <c r="O145" s="43">
        <f t="shared" si="31"/>
        <v>0</v>
      </c>
      <c r="P145" s="43">
        <f t="shared" si="32"/>
        <v>-0.34013437099999999</v>
      </c>
      <c r="Q145" s="43">
        <f t="shared" si="33"/>
        <v>-0.34013437099999999</v>
      </c>
      <c r="R145" s="43">
        <f t="shared" si="34"/>
        <v>0.11569139033556564</v>
      </c>
    </row>
    <row r="146" spans="1:18" ht="14.4" x14ac:dyDescent="0.3">
      <c r="A146" s="47">
        <v>38128</v>
      </c>
      <c r="B146" s="48">
        <v>0</v>
      </c>
      <c r="C146" s="49">
        <v>0</v>
      </c>
      <c r="D146" s="10">
        <f t="shared" si="26"/>
        <v>-0.38980777739764078</v>
      </c>
      <c r="E146" s="10">
        <f t="shared" si="27"/>
        <v>-0.42084508196721315</v>
      </c>
      <c r="F146" s="10">
        <f t="shared" si="25"/>
        <v>0.15195010331968867</v>
      </c>
      <c r="G146" s="10">
        <f t="shared" si="25"/>
        <v>0.17711058301599036</v>
      </c>
      <c r="H146" s="11">
        <f t="shared" si="3"/>
        <v>0.16404868603036732</v>
      </c>
      <c r="I146" s="12">
        <f t="shared" si="4"/>
        <v>0</v>
      </c>
      <c r="J146" s="28">
        <f t="shared" si="5"/>
        <v>0</v>
      </c>
      <c r="K146" s="30">
        <f t="shared" si="28"/>
        <v>0</v>
      </c>
      <c r="L146" s="5"/>
      <c r="M146" s="30">
        <f t="shared" si="29"/>
        <v>0</v>
      </c>
      <c r="N146" s="42">
        <f t="shared" si="30"/>
        <v>0</v>
      </c>
      <c r="O146" s="43">
        <f t="shared" si="31"/>
        <v>0</v>
      </c>
      <c r="P146" s="43">
        <f t="shared" si="32"/>
        <v>-0.34013437099999999</v>
      </c>
      <c r="Q146" s="43">
        <f t="shared" si="33"/>
        <v>-0.34013437099999999</v>
      </c>
      <c r="R146" s="43">
        <f t="shared" si="34"/>
        <v>0.11569139033556564</v>
      </c>
    </row>
    <row r="147" spans="1:18" ht="14.4" x14ac:dyDescent="0.3">
      <c r="A147" s="47">
        <v>38129</v>
      </c>
      <c r="B147" s="48">
        <v>0</v>
      </c>
      <c r="C147" s="49">
        <v>0</v>
      </c>
      <c r="D147" s="10">
        <f t="shared" si="26"/>
        <v>-0.38980777739764078</v>
      </c>
      <c r="E147" s="10">
        <f t="shared" si="27"/>
        <v>-0.42084508196721315</v>
      </c>
      <c r="F147" s="10">
        <f t="shared" si="25"/>
        <v>0.15195010331968867</v>
      </c>
      <c r="G147" s="10">
        <f t="shared" si="25"/>
        <v>0.17711058301599036</v>
      </c>
      <c r="H147" s="11">
        <f t="shared" si="3"/>
        <v>0.16404868603036732</v>
      </c>
      <c r="I147" s="12">
        <f t="shared" si="4"/>
        <v>0</v>
      </c>
      <c r="J147" s="28">
        <f t="shared" si="5"/>
        <v>0</v>
      </c>
      <c r="K147" s="30">
        <f t="shared" si="28"/>
        <v>0</v>
      </c>
      <c r="L147" s="5"/>
      <c r="M147" s="30">
        <f t="shared" si="29"/>
        <v>0</v>
      </c>
      <c r="N147" s="42">
        <f t="shared" si="30"/>
        <v>0</v>
      </c>
      <c r="O147" s="43">
        <f t="shared" si="31"/>
        <v>0</v>
      </c>
      <c r="P147" s="43">
        <f t="shared" si="32"/>
        <v>-0.34013437099999999</v>
      </c>
      <c r="Q147" s="43">
        <f t="shared" si="33"/>
        <v>-0.34013437099999999</v>
      </c>
      <c r="R147" s="43">
        <f t="shared" si="34"/>
        <v>0.11569139033556564</v>
      </c>
    </row>
    <row r="148" spans="1:18" ht="14.4" x14ac:dyDescent="0.3">
      <c r="A148" s="47">
        <v>38130</v>
      </c>
      <c r="B148" s="48">
        <v>0</v>
      </c>
      <c r="C148" s="49">
        <v>0</v>
      </c>
      <c r="D148" s="10">
        <f t="shared" si="26"/>
        <v>-0.38980777739764078</v>
      </c>
      <c r="E148" s="10">
        <f t="shared" si="27"/>
        <v>-0.42084508196721315</v>
      </c>
      <c r="F148" s="10">
        <f t="shared" si="25"/>
        <v>0.15195010331968867</v>
      </c>
      <c r="G148" s="10">
        <f t="shared" si="25"/>
        <v>0.17711058301599036</v>
      </c>
      <c r="H148" s="11">
        <f t="shared" si="3"/>
        <v>0.16404868603036732</v>
      </c>
      <c r="I148" s="12">
        <f t="shared" si="4"/>
        <v>0</v>
      </c>
      <c r="J148" s="28">
        <f t="shared" si="5"/>
        <v>0</v>
      </c>
      <c r="K148" s="30">
        <f t="shared" si="28"/>
        <v>0</v>
      </c>
      <c r="L148" s="5"/>
      <c r="M148" s="30">
        <f t="shared" si="29"/>
        <v>0</v>
      </c>
      <c r="N148" s="42">
        <f t="shared" si="30"/>
        <v>0</v>
      </c>
      <c r="O148" s="43">
        <f t="shared" si="31"/>
        <v>0</v>
      </c>
      <c r="P148" s="43">
        <f t="shared" si="32"/>
        <v>-0.34013437099999999</v>
      </c>
      <c r="Q148" s="43">
        <f t="shared" si="33"/>
        <v>-0.34013437099999999</v>
      </c>
      <c r="R148" s="43">
        <f t="shared" si="34"/>
        <v>0.11569139033556564</v>
      </c>
    </row>
    <row r="149" spans="1:18" ht="14.4" x14ac:dyDescent="0.3">
      <c r="A149" s="47">
        <v>38131</v>
      </c>
      <c r="B149" s="48">
        <v>0</v>
      </c>
      <c r="C149" s="49">
        <v>0</v>
      </c>
      <c r="D149" s="10">
        <f t="shared" si="26"/>
        <v>-0.38980777739764078</v>
      </c>
      <c r="E149" s="10">
        <f t="shared" si="27"/>
        <v>-0.42084508196721315</v>
      </c>
      <c r="F149" s="10">
        <f t="shared" ref="F149:G212" si="35">D149^2</f>
        <v>0.15195010331968867</v>
      </c>
      <c r="G149" s="10">
        <f t="shared" si="35"/>
        <v>0.17711058301599036</v>
      </c>
      <c r="H149" s="11">
        <f t="shared" si="3"/>
        <v>0.16404868603036732</v>
      </c>
      <c r="I149" s="12">
        <f t="shared" si="4"/>
        <v>0</v>
      </c>
      <c r="J149" s="28">
        <f t="shared" si="5"/>
        <v>0</v>
      </c>
      <c r="K149" s="30">
        <f t="shared" si="28"/>
        <v>0</v>
      </c>
      <c r="L149" s="5"/>
      <c r="M149" s="30">
        <f t="shared" si="29"/>
        <v>0</v>
      </c>
      <c r="N149" s="42">
        <f t="shared" si="30"/>
        <v>0</v>
      </c>
      <c r="O149" s="43">
        <f t="shared" si="31"/>
        <v>0</v>
      </c>
      <c r="P149" s="43">
        <f t="shared" si="32"/>
        <v>-0.34013437099999999</v>
      </c>
      <c r="Q149" s="43">
        <f t="shared" si="33"/>
        <v>-0.34013437099999999</v>
      </c>
      <c r="R149" s="43">
        <f t="shared" si="34"/>
        <v>0.11569139033556564</v>
      </c>
    </row>
    <row r="150" spans="1:18" ht="14.4" x14ac:dyDescent="0.3">
      <c r="A150" s="47">
        <v>38132</v>
      </c>
      <c r="B150" s="48">
        <v>0</v>
      </c>
      <c r="C150" s="49">
        <v>0</v>
      </c>
      <c r="D150" s="10">
        <f t="shared" si="26"/>
        <v>-0.38980777739764078</v>
      </c>
      <c r="E150" s="10">
        <f t="shared" si="27"/>
        <v>-0.42084508196721315</v>
      </c>
      <c r="F150" s="10">
        <f t="shared" si="35"/>
        <v>0.15195010331968867</v>
      </c>
      <c r="G150" s="10">
        <f t="shared" si="35"/>
        <v>0.17711058301599036</v>
      </c>
      <c r="H150" s="11">
        <f t="shared" si="3"/>
        <v>0.16404868603036732</v>
      </c>
      <c r="I150" s="12">
        <f t="shared" si="4"/>
        <v>0</v>
      </c>
      <c r="J150" s="28">
        <f t="shared" si="5"/>
        <v>0</v>
      </c>
      <c r="K150" s="30">
        <f t="shared" si="28"/>
        <v>0</v>
      </c>
      <c r="L150" s="5"/>
      <c r="M150" s="30">
        <f t="shared" si="29"/>
        <v>0</v>
      </c>
      <c r="N150" s="42">
        <f t="shared" si="30"/>
        <v>0</v>
      </c>
      <c r="O150" s="43">
        <f t="shared" si="31"/>
        <v>0</v>
      </c>
      <c r="P150" s="43">
        <f t="shared" si="32"/>
        <v>-0.34013437099999999</v>
      </c>
      <c r="Q150" s="43">
        <f t="shared" si="33"/>
        <v>-0.34013437099999999</v>
      </c>
      <c r="R150" s="43">
        <f t="shared" si="34"/>
        <v>0.11569139033556564</v>
      </c>
    </row>
    <row r="151" spans="1:18" ht="14.4" x14ac:dyDescent="0.3">
      <c r="A151" s="47">
        <v>38133</v>
      </c>
      <c r="B151" s="48">
        <v>0</v>
      </c>
      <c r="C151" s="49">
        <v>0</v>
      </c>
      <c r="D151" s="10">
        <f t="shared" si="26"/>
        <v>-0.38980777739764078</v>
      </c>
      <c r="E151" s="10">
        <f t="shared" si="27"/>
        <v>-0.42084508196721315</v>
      </c>
      <c r="F151" s="10">
        <f t="shared" si="35"/>
        <v>0.15195010331968867</v>
      </c>
      <c r="G151" s="10">
        <f t="shared" si="35"/>
        <v>0.17711058301599036</v>
      </c>
      <c r="H151" s="11">
        <f t="shared" si="3"/>
        <v>0.16404868603036732</v>
      </c>
      <c r="I151" s="12">
        <f t="shared" si="4"/>
        <v>0</v>
      </c>
      <c r="J151" s="28">
        <f t="shared" si="5"/>
        <v>0</v>
      </c>
      <c r="K151" s="30">
        <f t="shared" si="28"/>
        <v>0</v>
      </c>
      <c r="L151" s="5"/>
      <c r="M151" s="30">
        <f t="shared" si="29"/>
        <v>0</v>
      </c>
      <c r="N151" s="42">
        <f t="shared" si="30"/>
        <v>0</v>
      </c>
      <c r="O151" s="43">
        <f t="shared" si="31"/>
        <v>0</v>
      </c>
      <c r="P151" s="43">
        <f t="shared" si="32"/>
        <v>-0.34013437099999999</v>
      </c>
      <c r="Q151" s="43">
        <f t="shared" si="33"/>
        <v>-0.34013437099999999</v>
      </c>
      <c r="R151" s="43">
        <f t="shared" si="34"/>
        <v>0.11569139033556564</v>
      </c>
    </row>
    <row r="152" spans="1:18" ht="14.4" x14ac:dyDescent="0.3">
      <c r="A152" s="47">
        <v>38134</v>
      </c>
      <c r="B152" s="48">
        <v>0</v>
      </c>
      <c r="C152" s="49">
        <v>0</v>
      </c>
      <c r="D152" s="10">
        <f t="shared" si="26"/>
        <v>-0.38980777739764078</v>
      </c>
      <c r="E152" s="10">
        <f t="shared" si="27"/>
        <v>-0.42084508196721315</v>
      </c>
      <c r="F152" s="10">
        <f t="shared" si="35"/>
        <v>0.15195010331968867</v>
      </c>
      <c r="G152" s="10">
        <f t="shared" si="35"/>
        <v>0.17711058301599036</v>
      </c>
      <c r="H152" s="11">
        <f t="shared" si="3"/>
        <v>0.16404868603036732</v>
      </c>
      <c r="I152" s="12">
        <f t="shared" si="4"/>
        <v>0</v>
      </c>
      <c r="J152" s="28">
        <f t="shared" si="5"/>
        <v>0</v>
      </c>
      <c r="K152" s="30">
        <f t="shared" si="28"/>
        <v>0</v>
      </c>
      <c r="L152" s="5"/>
      <c r="M152" s="30">
        <f t="shared" si="29"/>
        <v>0</v>
      </c>
      <c r="N152" s="42">
        <f t="shared" si="30"/>
        <v>0</v>
      </c>
      <c r="O152" s="43">
        <f t="shared" si="31"/>
        <v>0</v>
      </c>
      <c r="P152" s="43">
        <f t="shared" si="32"/>
        <v>-0.34013437099999999</v>
      </c>
      <c r="Q152" s="43">
        <f t="shared" si="33"/>
        <v>-0.34013437099999999</v>
      </c>
      <c r="R152" s="43">
        <f t="shared" si="34"/>
        <v>0.11569139033556564</v>
      </c>
    </row>
    <row r="153" spans="1:18" ht="14.4" x14ac:dyDescent="0.3">
      <c r="A153" s="47">
        <v>38135</v>
      </c>
      <c r="B153" s="48">
        <v>0</v>
      </c>
      <c r="C153" s="49">
        <v>0</v>
      </c>
      <c r="D153" s="10">
        <f t="shared" si="26"/>
        <v>-0.38980777739764078</v>
      </c>
      <c r="E153" s="10">
        <f t="shared" si="27"/>
        <v>-0.42084508196721315</v>
      </c>
      <c r="F153" s="10">
        <f t="shared" si="35"/>
        <v>0.15195010331968867</v>
      </c>
      <c r="G153" s="10">
        <f t="shared" si="35"/>
        <v>0.17711058301599036</v>
      </c>
      <c r="H153" s="11">
        <f t="shared" si="3"/>
        <v>0.16404868603036732</v>
      </c>
      <c r="I153" s="12">
        <f t="shared" si="4"/>
        <v>0</v>
      </c>
      <c r="J153" s="28">
        <f t="shared" si="5"/>
        <v>0</v>
      </c>
      <c r="K153" s="30">
        <f t="shared" si="28"/>
        <v>0</v>
      </c>
      <c r="L153" s="5"/>
      <c r="M153" s="30">
        <f t="shared" si="29"/>
        <v>0</v>
      </c>
      <c r="N153" s="42">
        <f t="shared" si="30"/>
        <v>0</v>
      </c>
      <c r="O153" s="43">
        <f t="shared" si="31"/>
        <v>0</v>
      </c>
      <c r="P153" s="43">
        <f t="shared" si="32"/>
        <v>-0.34013437099999999</v>
      </c>
      <c r="Q153" s="43">
        <f t="shared" si="33"/>
        <v>-0.34013437099999999</v>
      </c>
      <c r="R153" s="43">
        <f t="shared" si="34"/>
        <v>0.11569139033556564</v>
      </c>
    </row>
    <row r="154" spans="1:18" ht="14.4" x14ac:dyDescent="0.3">
      <c r="A154" s="47">
        <v>38136</v>
      </c>
      <c r="B154" s="48">
        <v>0</v>
      </c>
      <c r="C154" s="49">
        <v>0</v>
      </c>
      <c r="D154" s="10">
        <f t="shared" si="26"/>
        <v>-0.38980777739764078</v>
      </c>
      <c r="E154" s="10">
        <f t="shared" si="27"/>
        <v>-0.42084508196721315</v>
      </c>
      <c r="F154" s="10">
        <f t="shared" si="35"/>
        <v>0.15195010331968867</v>
      </c>
      <c r="G154" s="10">
        <f t="shared" si="35"/>
        <v>0.17711058301599036</v>
      </c>
      <c r="H154" s="11">
        <f t="shared" si="3"/>
        <v>0.16404868603036732</v>
      </c>
      <c r="I154" s="12">
        <f t="shared" si="4"/>
        <v>0</v>
      </c>
      <c r="J154" s="28">
        <f t="shared" si="5"/>
        <v>0</v>
      </c>
      <c r="K154" s="30">
        <f t="shared" si="28"/>
        <v>0</v>
      </c>
      <c r="L154" s="5"/>
      <c r="M154" s="30">
        <f t="shared" si="29"/>
        <v>0</v>
      </c>
      <c r="N154" s="42">
        <f t="shared" si="30"/>
        <v>0</v>
      </c>
      <c r="O154" s="43">
        <f t="shared" si="31"/>
        <v>0</v>
      </c>
      <c r="P154" s="43">
        <f t="shared" si="32"/>
        <v>-0.34013437099999999</v>
      </c>
      <c r="Q154" s="43">
        <f t="shared" si="33"/>
        <v>-0.34013437099999999</v>
      </c>
      <c r="R154" s="43">
        <f t="shared" si="34"/>
        <v>0.11569139033556564</v>
      </c>
    </row>
    <row r="155" spans="1:18" ht="14.4" x14ac:dyDescent="0.3">
      <c r="A155" s="47">
        <v>38137</v>
      </c>
      <c r="B155" s="48">
        <v>0</v>
      </c>
      <c r="C155" s="49">
        <v>0</v>
      </c>
      <c r="D155" s="10">
        <f t="shared" si="26"/>
        <v>-0.38980777739764078</v>
      </c>
      <c r="E155" s="10">
        <f t="shared" si="27"/>
        <v>-0.42084508196721315</v>
      </c>
      <c r="F155" s="10">
        <f t="shared" si="35"/>
        <v>0.15195010331968867</v>
      </c>
      <c r="G155" s="10">
        <f t="shared" si="35"/>
        <v>0.17711058301599036</v>
      </c>
      <c r="H155" s="11">
        <f t="shared" si="3"/>
        <v>0.16404868603036732</v>
      </c>
      <c r="I155" s="12">
        <f t="shared" si="4"/>
        <v>0</v>
      </c>
      <c r="J155" s="28">
        <f t="shared" si="5"/>
        <v>0</v>
      </c>
      <c r="K155" s="30">
        <f t="shared" si="28"/>
        <v>0</v>
      </c>
      <c r="L155" s="5"/>
      <c r="M155" s="30">
        <f t="shared" si="29"/>
        <v>0</v>
      </c>
      <c r="N155" s="42">
        <f t="shared" si="30"/>
        <v>0</v>
      </c>
      <c r="O155" s="43">
        <f t="shared" si="31"/>
        <v>0</v>
      </c>
      <c r="P155" s="43">
        <f t="shared" si="32"/>
        <v>-0.34013437099999999</v>
      </c>
      <c r="Q155" s="43">
        <f t="shared" si="33"/>
        <v>-0.34013437099999999</v>
      </c>
      <c r="R155" s="43">
        <f t="shared" si="34"/>
        <v>0.11569139033556564</v>
      </c>
    </row>
    <row r="156" spans="1:18" ht="14.4" x14ac:dyDescent="0.3">
      <c r="A156" s="47">
        <v>38138</v>
      </c>
      <c r="B156" s="48">
        <v>0</v>
      </c>
      <c r="C156" s="49">
        <v>0</v>
      </c>
      <c r="D156" s="10">
        <f t="shared" si="26"/>
        <v>-0.38980777739764078</v>
      </c>
      <c r="E156" s="10">
        <f t="shared" si="27"/>
        <v>-0.42084508196721315</v>
      </c>
      <c r="F156" s="10">
        <f t="shared" si="35"/>
        <v>0.15195010331968867</v>
      </c>
      <c r="G156" s="10">
        <f t="shared" si="35"/>
        <v>0.17711058301599036</v>
      </c>
      <c r="H156" s="11">
        <f t="shared" si="3"/>
        <v>0.16404868603036732</v>
      </c>
      <c r="I156" s="12">
        <f t="shared" si="4"/>
        <v>0</v>
      </c>
      <c r="J156" s="28">
        <f t="shared" si="5"/>
        <v>0</v>
      </c>
      <c r="K156" s="30">
        <f t="shared" si="28"/>
        <v>0</v>
      </c>
      <c r="L156" s="5"/>
      <c r="M156" s="30">
        <f t="shared" si="29"/>
        <v>0</v>
      </c>
      <c r="N156" s="42">
        <f t="shared" si="30"/>
        <v>0</v>
      </c>
      <c r="O156" s="43">
        <f t="shared" si="31"/>
        <v>0</v>
      </c>
      <c r="P156" s="43">
        <f t="shared" si="32"/>
        <v>-0.34013437099999999</v>
      </c>
      <c r="Q156" s="43">
        <f t="shared" si="33"/>
        <v>-0.34013437099999999</v>
      </c>
      <c r="R156" s="43">
        <f t="shared" si="34"/>
        <v>0.11569139033556564</v>
      </c>
    </row>
    <row r="157" spans="1:18" ht="14.4" x14ac:dyDescent="0.3">
      <c r="A157" s="47">
        <v>38139</v>
      </c>
      <c r="B157" s="48">
        <v>0</v>
      </c>
      <c r="C157" s="49">
        <v>0</v>
      </c>
      <c r="D157" s="10">
        <f t="shared" si="26"/>
        <v>-0.38980777739764078</v>
      </c>
      <c r="E157" s="10">
        <f t="shared" si="27"/>
        <v>-0.42084508196721315</v>
      </c>
      <c r="F157" s="10">
        <f t="shared" si="35"/>
        <v>0.15195010331968867</v>
      </c>
      <c r="G157" s="10">
        <f t="shared" si="35"/>
        <v>0.17711058301599036</v>
      </c>
      <c r="H157" s="11">
        <f t="shared" si="3"/>
        <v>0.16404868603036732</v>
      </c>
      <c r="I157" s="12">
        <f t="shared" si="4"/>
        <v>0</v>
      </c>
      <c r="J157" s="28">
        <f t="shared" si="5"/>
        <v>0</v>
      </c>
      <c r="K157" s="30">
        <f t="shared" si="28"/>
        <v>0</v>
      </c>
      <c r="L157" s="5"/>
      <c r="M157" s="30">
        <f t="shared" si="29"/>
        <v>0</v>
      </c>
      <c r="N157" s="42">
        <f t="shared" si="30"/>
        <v>0</v>
      </c>
      <c r="O157" s="43">
        <f t="shared" si="31"/>
        <v>0</v>
      </c>
      <c r="P157" s="43">
        <f t="shared" si="32"/>
        <v>-0.34013437099999999</v>
      </c>
      <c r="Q157" s="43">
        <f t="shared" si="33"/>
        <v>-0.34013437099999999</v>
      </c>
      <c r="R157" s="43">
        <f t="shared" si="34"/>
        <v>0.11569139033556564</v>
      </c>
    </row>
    <row r="158" spans="1:18" ht="14.4" x14ac:dyDescent="0.3">
      <c r="A158" s="47">
        <v>38140</v>
      </c>
      <c r="B158" s="48">
        <v>0</v>
      </c>
      <c r="C158" s="49">
        <v>0</v>
      </c>
      <c r="D158" s="10">
        <f t="shared" si="26"/>
        <v>-0.38980777739764078</v>
      </c>
      <c r="E158" s="10">
        <f t="shared" si="27"/>
        <v>-0.42084508196721315</v>
      </c>
      <c r="F158" s="10">
        <f t="shared" si="35"/>
        <v>0.15195010331968867</v>
      </c>
      <c r="G158" s="10">
        <f t="shared" si="35"/>
        <v>0.17711058301599036</v>
      </c>
      <c r="H158" s="11">
        <f t="shared" si="3"/>
        <v>0.16404868603036732</v>
      </c>
      <c r="I158" s="12">
        <f t="shared" si="4"/>
        <v>0</v>
      </c>
      <c r="J158" s="28">
        <f t="shared" si="5"/>
        <v>0</v>
      </c>
      <c r="K158" s="30">
        <f t="shared" si="28"/>
        <v>0</v>
      </c>
      <c r="L158" s="5"/>
      <c r="M158" s="30">
        <f t="shared" si="29"/>
        <v>0</v>
      </c>
      <c r="N158" s="42">
        <f t="shared" si="30"/>
        <v>0</v>
      </c>
      <c r="O158" s="43">
        <f t="shared" si="31"/>
        <v>0</v>
      </c>
      <c r="P158" s="43">
        <f t="shared" si="32"/>
        <v>-0.34013437099999999</v>
      </c>
      <c r="Q158" s="43">
        <f t="shared" si="33"/>
        <v>-0.34013437099999999</v>
      </c>
      <c r="R158" s="43">
        <f t="shared" si="34"/>
        <v>0.11569139033556564</v>
      </c>
    </row>
    <row r="159" spans="1:18" ht="14.4" x14ac:dyDescent="0.3">
      <c r="A159" s="47">
        <v>38141</v>
      </c>
      <c r="B159" s="48">
        <v>0</v>
      </c>
      <c r="C159" s="49">
        <v>0</v>
      </c>
      <c r="D159" s="10">
        <f t="shared" si="26"/>
        <v>-0.38980777739764078</v>
      </c>
      <c r="E159" s="10">
        <f t="shared" si="27"/>
        <v>-0.42084508196721315</v>
      </c>
      <c r="F159" s="10">
        <f t="shared" si="35"/>
        <v>0.15195010331968867</v>
      </c>
      <c r="G159" s="10">
        <f t="shared" si="35"/>
        <v>0.17711058301599036</v>
      </c>
      <c r="H159" s="11">
        <f t="shared" si="3"/>
        <v>0.16404868603036732</v>
      </c>
      <c r="I159" s="12">
        <f t="shared" si="4"/>
        <v>0</v>
      </c>
      <c r="J159" s="28">
        <f t="shared" si="5"/>
        <v>0</v>
      </c>
      <c r="K159" s="30">
        <f t="shared" si="28"/>
        <v>0</v>
      </c>
      <c r="L159" s="5"/>
      <c r="M159" s="30">
        <f t="shared" si="29"/>
        <v>0</v>
      </c>
      <c r="N159" s="42">
        <f t="shared" si="30"/>
        <v>0</v>
      </c>
      <c r="O159" s="43">
        <f t="shared" si="31"/>
        <v>0</v>
      </c>
      <c r="P159" s="43">
        <f t="shared" si="32"/>
        <v>-0.34013437099999999</v>
      </c>
      <c r="Q159" s="43">
        <f t="shared" si="33"/>
        <v>-0.34013437099999999</v>
      </c>
      <c r="R159" s="43">
        <f t="shared" si="34"/>
        <v>0.11569139033556564</v>
      </c>
    </row>
    <row r="160" spans="1:18" ht="14.4" x14ac:dyDescent="0.3">
      <c r="A160" s="47">
        <v>38142</v>
      </c>
      <c r="B160" s="48">
        <v>0</v>
      </c>
      <c r="C160" s="49">
        <v>0</v>
      </c>
      <c r="D160" s="10">
        <f t="shared" si="26"/>
        <v>-0.38980777739764078</v>
      </c>
      <c r="E160" s="10">
        <f t="shared" si="27"/>
        <v>-0.42084508196721315</v>
      </c>
      <c r="F160" s="10">
        <f t="shared" si="35"/>
        <v>0.15195010331968867</v>
      </c>
      <c r="G160" s="10">
        <f t="shared" si="35"/>
        <v>0.17711058301599036</v>
      </c>
      <c r="H160" s="11">
        <f t="shared" si="3"/>
        <v>0.16404868603036732</v>
      </c>
      <c r="I160" s="12">
        <f t="shared" si="4"/>
        <v>0</v>
      </c>
      <c r="J160" s="28">
        <f t="shared" si="5"/>
        <v>0</v>
      </c>
      <c r="K160" s="30">
        <f t="shared" si="28"/>
        <v>0</v>
      </c>
      <c r="L160" s="5"/>
      <c r="M160" s="30">
        <f t="shared" si="29"/>
        <v>0</v>
      </c>
      <c r="N160" s="42">
        <f t="shared" si="30"/>
        <v>0</v>
      </c>
      <c r="O160" s="43">
        <f t="shared" si="31"/>
        <v>0</v>
      </c>
      <c r="P160" s="43">
        <f t="shared" si="32"/>
        <v>-0.34013437099999999</v>
      </c>
      <c r="Q160" s="43">
        <f t="shared" si="33"/>
        <v>-0.34013437099999999</v>
      </c>
      <c r="R160" s="43">
        <f t="shared" si="34"/>
        <v>0.11569139033556564</v>
      </c>
    </row>
    <row r="161" spans="1:18" ht="14.4" x14ac:dyDescent="0.3">
      <c r="A161" s="47">
        <v>38143</v>
      </c>
      <c r="B161" s="48">
        <v>0</v>
      </c>
      <c r="C161" s="49">
        <v>0</v>
      </c>
      <c r="D161" s="10">
        <f t="shared" si="26"/>
        <v>-0.38980777739764078</v>
      </c>
      <c r="E161" s="10">
        <f t="shared" si="27"/>
        <v>-0.42084508196721315</v>
      </c>
      <c r="F161" s="10">
        <f t="shared" si="35"/>
        <v>0.15195010331968867</v>
      </c>
      <c r="G161" s="10">
        <f t="shared" si="35"/>
        <v>0.17711058301599036</v>
      </c>
      <c r="H161" s="11">
        <f t="shared" si="3"/>
        <v>0.16404868603036732</v>
      </c>
      <c r="I161" s="12">
        <f t="shared" si="4"/>
        <v>0</v>
      </c>
      <c r="J161" s="28">
        <f t="shared" si="5"/>
        <v>0</v>
      </c>
      <c r="K161" s="30">
        <f t="shared" si="28"/>
        <v>0</v>
      </c>
      <c r="L161" s="5"/>
      <c r="M161" s="30">
        <f t="shared" si="29"/>
        <v>0</v>
      </c>
      <c r="N161" s="42">
        <f t="shared" si="30"/>
        <v>0</v>
      </c>
      <c r="O161" s="43">
        <f t="shared" si="31"/>
        <v>0</v>
      </c>
      <c r="P161" s="43">
        <f t="shared" si="32"/>
        <v>-0.34013437099999999</v>
      </c>
      <c r="Q161" s="43">
        <f t="shared" si="33"/>
        <v>-0.34013437099999999</v>
      </c>
      <c r="R161" s="43">
        <f t="shared" si="34"/>
        <v>0.11569139033556564</v>
      </c>
    </row>
    <row r="162" spans="1:18" ht="14.4" x14ac:dyDescent="0.3">
      <c r="A162" s="47">
        <v>38144</v>
      </c>
      <c r="B162" s="48">
        <v>0</v>
      </c>
      <c r="C162" s="49">
        <v>0</v>
      </c>
      <c r="D162" s="10">
        <f t="shared" si="26"/>
        <v>-0.38980777739764078</v>
      </c>
      <c r="E162" s="10">
        <f t="shared" si="27"/>
        <v>-0.42084508196721315</v>
      </c>
      <c r="F162" s="10">
        <f t="shared" si="35"/>
        <v>0.15195010331968867</v>
      </c>
      <c r="G162" s="10">
        <f t="shared" si="35"/>
        <v>0.17711058301599036</v>
      </c>
      <c r="H162" s="11">
        <f t="shared" si="3"/>
        <v>0.16404868603036732</v>
      </c>
      <c r="I162" s="12">
        <f t="shared" si="4"/>
        <v>0</v>
      </c>
      <c r="J162" s="28">
        <f t="shared" si="5"/>
        <v>0</v>
      </c>
      <c r="K162" s="30">
        <f t="shared" si="28"/>
        <v>0</v>
      </c>
      <c r="L162" s="5"/>
      <c r="M162" s="30">
        <f t="shared" si="29"/>
        <v>0</v>
      </c>
      <c r="N162" s="42">
        <f t="shared" si="30"/>
        <v>0</v>
      </c>
      <c r="O162" s="43">
        <f t="shared" si="31"/>
        <v>0</v>
      </c>
      <c r="P162" s="43">
        <f t="shared" si="32"/>
        <v>-0.34013437099999999</v>
      </c>
      <c r="Q162" s="43">
        <f t="shared" si="33"/>
        <v>-0.34013437099999999</v>
      </c>
      <c r="R162" s="43">
        <f t="shared" si="34"/>
        <v>0.11569139033556564</v>
      </c>
    </row>
    <row r="163" spans="1:18" ht="14.4" x14ac:dyDescent="0.3">
      <c r="A163" s="47">
        <v>38145</v>
      </c>
      <c r="B163" s="48">
        <v>0</v>
      </c>
      <c r="C163" s="49">
        <v>0</v>
      </c>
      <c r="D163" s="10">
        <f t="shared" si="26"/>
        <v>-0.38980777739764078</v>
      </c>
      <c r="E163" s="10">
        <f t="shared" si="27"/>
        <v>-0.42084508196721315</v>
      </c>
      <c r="F163" s="10">
        <f t="shared" si="35"/>
        <v>0.15195010331968867</v>
      </c>
      <c r="G163" s="10">
        <f t="shared" si="35"/>
        <v>0.17711058301599036</v>
      </c>
      <c r="H163" s="11">
        <f t="shared" si="3"/>
        <v>0.16404868603036732</v>
      </c>
      <c r="I163" s="12">
        <f t="shared" si="4"/>
        <v>0</v>
      </c>
      <c r="J163" s="28">
        <f t="shared" si="5"/>
        <v>0</v>
      </c>
      <c r="K163" s="30">
        <f t="shared" si="28"/>
        <v>0</v>
      </c>
      <c r="L163" s="5"/>
      <c r="M163" s="30">
        <f t="shared" si="29"/>
        <v>0</v>
      </c>
      <c r="N163" s="42">
        <f t="shared" si="30"/>
        <v>0</v>
      </c>
      <c r="O163" s="43">
        <f t="shared" si="31"/>
        <v>0</v>
      </c>
      <c r="P163" s="43">
        <f t="shared" si="32"/>
        <v>-0.34013437099999999</v>
      </c>
      <c r="Q163" s="43">
        <f t="shared" si="33"/>
        <v>-0.34013437099999999</v>
      </c>
      <c r="R163" s="43">
        <f t="shared" si="34"/>
        <v>0.11569139033556564</v>
      </c>
    </row>
    <row r="164" spans="1:18" ht="14.4" x14ac:dyDescent="0.3">
      <c r="A164" s="47">
        <v>38146</v>
      </c>
      <c r="B164" s="48">
        <v>0</v>
      </c>
      <c r="C164" s="49">
        <v>0</v>
      </c>
      <c r="D164" s="10">
        <f t="shared" si="26"/>
        <v>-0.38980777739764078</v>
      </c>
      <c r="E164" s="10">
        <f t="shared" si="27"/>
        <v>-0.42084508196721315</v>
      </c>
      <c r="F164" s="10">
        <f t="shared" si="35"/>
        <v>0.15195010331968867</v>
      </c>
      <c r="G164" s="10">
        <f t="shared" si="35"/>
        <v>0.17711058301599036</v>
      </c>
      <c r="H164" s="11">
        <f t="shared" si="3"/>
        <v>0.16404868603036732</v>
      </c>
      <c r="I164" s="12">
        <f t="shared" si="4"/>
        <v>0</v>
      </c>
      <c r="J164" s="28">
        <f t="shared" si="5"/>
        <v>0</v>
      </c>
      <c r="K164" s="30">
        <f t="shared" si="28"/>
        <v>0</v>
      </c>
      <c r="L164" s="5"/>
      <c r="M164" s="30">
        <f t="shared" si="29"/>
        <v>0</v>
      </c>
      <c r="N164" s="42">
        <f t="shared" si="30"/>
        <v>0</v>
      </c>
      <c r="O164" s="43">
        <f t="shared" si="31"/>
        <v>0</v>
      </c>
      <c r="P164" s="43">
        <f t="shared" si="32"/>
        <v>-0.34013437099999999</v>
      </c>
      <c r="Q164" s="43">
        <f t="shared" si="33"/>
        <v>-0.34013437099999999</v>
      </c>
      <c r="R164" s="43">
        <f t="shared" si="34"/>
        <v>0.11569139033556564</v>
      </c>
    </row>
    <row r="165" spans="1:18" ht="14.4" x14ac:dyDescent="0.3">
      <c r="A165" s="47">
        <v>38147</v>
      </c>
      <c r="B165" s="48">
        <v>0</v>
      </c>
      <c r="C165" s="49">
        <v>0</v>
      </c>
      <c r="D165" s="10">
        <f t="shared" si="26"/>
        <v>-0.38980777739764078</v>
      </c>
      <c r="E165" s="10">
        <f t="shared" si="27"/>
        <v>-0.42084508196721315</v>
      </c>
      <c r="F165" s="10">
        <f t="shared" si="35"/>
        <v>0.15195010331968867</v>
      </c>
      <c r="G165" s="10">
        <f t="shared" si="35"/>
        <v>0.17711058301599036</v>
      </c>
      <c r="H165" s="11">
        <f t="shared" si="3"/>
        <v>0.16404868603036732</v>
      </c>
      <c r="I165" s="12">
        <f t="shared" si="4"/>
        <v>0</v>
      </c>
      <c r="J165" s="28">
        <f t="shared" si="5"/>
        <v>0</v>
      </c>
      <c r="K165" s="30">
        <f t="shared" si="28"/>
        <v>0</v>
      </c>
      <c r="L165" s="5"/>
      <c r="M165" s="30">
        <f t="shared" si="29"/>
        <v>0</v>
      </c>
      <c r="N165" s="42">
        <f t="shared" si="30"/>
        <v>0</v>
      </c>
      <c r="O165" s="43">
        <f t="shared" si="31"/>
        <v>0</v>
      </c>
      <c r="P165" s="43">
        <f t="shared" si="32"/>
        <v>-0.34013437099999999</v>
      </c>
      <c r="Q165" s="43">
        <f t="shared" si="33"/>
        <v>-0.34013437099999999</v>
      </c>
      <c r="R165" s="43">
        <f t="shared" si="34"/>
        <v>0.11569139033556564</v>
      </c>
    </row>
    <row r="166" spans="1:18" ht="14.4" x14ac:dyDescent="0.3">
      <c r="A166" s="47">
        <v>38148</v>
      </c>
      <c r="B166" s="48">
        <v>0</v>
      </c>
      <c r="C166" s="49">
        <v>0</v>
      </c>
      <c r="D166" s="10">
        <f t="shared" si="26"/>
        <v>-0.38980777739764078</v>
      </c>
      <c r="E166" s="10">
        <f t="shared" si="27"/>
        <v>-0.42084508196721315</v>
      </c>
      <c r="F166" s="10">
        <f t="shared" si="35"/>
        <v>0.15195010331968867</v>
      </c>
      <c r="G166" s="10">
        <f t="shared" si="35"/>
        <v>0.17711058301599036</v>
      </c>
      <c r="H166" s="11">
        <f t="shared" si="3"/>
        <v>0.16404868603036732</v>
      </c>
      <c r="I166" s="12">
        <f t="shared" si="4"/>
        <v>0</v>
      </c>
      <c r="J166" s="28">
        <f t="shared" si="5"/>
        <v>0</v>
      </c>
      <c r="K166" s="30">
        <f t="shared" si="28"/>
        <v>0</v>
      </c>
      <c r="L166" s="5"/>
      <c r="M166" s="30">
        <f t="shared" si="29"/>
        <v>0</v>
      </c>
      <c r="N166" s="42">
        <f t="shared" si="30"/>
        <v>0</v>
      </c>
      <c r="O166" s="43">
        <f t="shared" si="31"/>
        <v>0</v>
      </c>
      <c r="P166" s="43">
        <f t="shared" si="32"/>
        <v>-0.34013437099999999</v>
      </c>
      <c r="Q166" s="43">
        <f t="shared" si="33"/>
        <v>-0.34013437099999999</v>
      </c>
      <c r="R166" s="43">
        <f t="shared" si="34"/>
        <v>0.11569139033556564</v>
      </c>
    </row>
    <row r="167" spans="1:18" ht="14.4" x14ac:dyDescent="0.3">
      <c r="A167" s="47">
        <v>38149</v>
      </c>
      <c r="B167" s="48">
        <v>0</v>
      </c>
      <c r="C167" s="49">
        <v>0</v>
      </c>
      <c r="D167" s="10">
        <f t="shared" si="26"/>
        <v>-0.38980777739764078</v>
      </c>
      <c r="E167" s="10">
        <f t="shared" si="27"/>
        <v>-0.42084508196721315</v>
      </c>
      <c r="F167" s="10">
        <f t="shared" si="35"/>
        <v>0.15195010331968867</v>
      </c>
      <c r="G167" s="10">
        <f t="shared" si="35"/>
        <v>0.17711058301599036</v>
      </c>
      <c r="H167" s="11">
        <f t="shared" si="3"/>
        <v>0.16404868603036732</v>
      </c>
      <c r="I167" s="12">
        <f t="shared" si="4"/>
        <v>0</v>
      </c>
      <c r="J167" s="28">
        <f t="shared" si="5"/>
        <v>0</v>
      </c>
      <c r="K167" s="30">
        <f t="shared" si="28"/>
        <v>0</v>
      </c>
      <c r="L167" s="5"/>
      <c r="M167" s="30">
        <f t="shared" si="29"/>
        <v>0</v>
      </c>
      <c r="N167" s="42">
        <f t="shared" si="30"/>
        <v>0</v>
      </c>
      <c r="O167" s="43">
        <f t="shared" si="31"/>
        <v>0</v>
      </c>
      <c r="P167" s="43">
        <f t="shared" si="32"/>
        <v>-0.34013437099999999</v>
      </c>
      <c r="Q167" s="43">
        <f t="shared" si="33"/>
        <v>-0.34013437099999999</v>
      </c>
      <c r="R167" s="43">
        <f t="shared" si="34"/>
        <v>0.11569139033556564</v>
      </c>
    </row>
    <row r="168" spans="1:18" ht="14.4" x14ac:dyDescent="0.3">
      <c r="A168" s="47">
        <v>38150</v>
      </c>
      <c r="B168" s="48">
        <v>0</v>
      </c>
      <c r="C168" s="49">
        <v>0</v>
      </c>
      <c r="D168" s="10">
        <f t="shared" si="26"/>
        <v>-0.38980777739764078</v>
      </c>
      <c r="E168" s="10">
        <f t="shared" si="27"/>
        <v>-0.42084508196721315</v>
      </c>
      <c r="F168" s="10">
        <f t="shared" si="35"/>
        <v>0.15195010331968867</v>
      </c>
      <c r="G168" s="10">
        <f t="shared" si="35"/>
        <v>0.17711058301599036</v>
      </c>
      <c r="H168" s="11">
        <f t="shared" si="3"/>
        <v>0.16404868603036732</v>
      </c>
      <c r="I168" s="12">
        <f t="shared" si="4"/>
        <v>0</v>
      </c>
      <c r="J168" s="28">
        <f t="shared" si="5"/>
        <v>0</v>
      </c>
      <c r="K168" s="30">
        <f t="shared" si="28"/>
        <v>0</v>
      </c>
      <c r="L168" s="5"/>
      <c r="M168" s="30">
        <f t="shared" si="29"/>
        <v>0</v>
      </c>
      <c r="N168" s="42">
        <f t="shared" si="30"/>
        <v>0</v>
      </c>
      <c r="O168" s="43">
        <f t="shared" si="31"/>
        <v>0</v>
      </c>
      <c r="P168" s="43">
        <f t="shared" si="32"/>
        <v>-0.34013437099999999</v>
      </c>
      <c r="Q168" s="43">
        <f t="shared" si="33"/>
        <v>-0.34013437099999999</v>
      </c>
      <c r="R168" s="43">
        <f t="shared" si="34"/>
        <v>0.11569139033556564</v>
      </c>
    </row>
    <row r="169" spans="1:18" ht="14.4" x14ac:dyDescent="0.3">
      <c r="A169" s="47">
        <v>38151</v>
      </c>
      <c r="B169" s="48">
        <v>0</v>
      </c>
      <c r="C169" s="49">
        <v>0</v>
      </c>
      <c r="D169" s="10">
        <f t="shared" si="26"/>
        <v>-0.38980777739764078</v>
      </c>
      <c r="E169" s="10">
        <f t="shared" si="27"/>
        <v>-0.42084508196721315</v>
      </c>
      <c r="F169" s="10">
        <f t="shared" si="35"/>
        <v>0.15195010331968867</v>
      </c>
      <c r="G169" s="10">
        <f t="shared" si="35"/>
        <v>0.17711058301599036</v>
      </c>
      <c r="H169" s="11">
        <f t="shared" si="3"/>
        <v>0.16404868603036732</v>
      </c>
      <c r="I169" s="12">
        <f t="shared" si="4"/>
        <v>0</v>
      </c>
      <c r="J169" s="28">
        <f t="shared" si="5"/>
        <v>0</v>
      </c>
      <c r="K169" s="30">
        <f t="shared" si="28"/>
        <v>0</v>
      </c>
      <c r="L169" s="5"/>
      <c r="M169" s="30">
        <f t="shared" si="29"/>
        <v>0</v>
      </c>
      <c r="N169" s="42">
        <f t="shared" si="30"/>
        <v>0</v>
      </c>
      <c r="O169" s="43">
        <f t="shared" si="31"/>
        <v>0</v>
      </c>
      <c r="P169" s="43">
        <f t="shared" si="32"/>
        <v>-0.34013437099999999</v>
      </c>
      <c r="Q169" s="43">
        <f t="shared" si="33"/>
        <v>-0.34013437099999999</v>
      </c>
      <c r="R169" s="43">
        <f t="shared" si="34"/>
        <v>0.11569139033556564</v>
      </c>
    </row>
    <row r="170" spans="1:18" ht="14.4" x14ac:dyDescent="0.3">
      <c r="A170" s="47">
        <v>38152</v>
      </c>
      <c r="B170" s="48">
        <v>0</v>
      </c>
      <c r="C170" s="49">
        <v>0</v>
      </c>
      <c r="D170" s="10">
        <f t="shared" si="26"/>
        <v>-0.38980777739764078</v>
      </c>
      <c r="E170" s="10">
        <f t="shared" si="27"/>
        <v>-0.42084508196721315</v>
      </c>
      <c r="F170" s="10">
        <f t="shared" si="35"/>
        <v>0.15195010331968867</v>
      </c>
      <c r="G170" s="10">
        <f t="shared" si="35"/>
        <v>0.17711058301599036</v>
      </c>
      <c r="H170" s="11">
        <f t="shared" si="3"/>
        <v>0.16404868603036732</v>
      </c>
      <c r="I170" s="12">
        <f t="shared" si="4"/>
        <v>0</v>
      </c>
      <c r="J170" s="28">
        <f t="shared" si="5"/>
        <v>0</v>
      </c>
      <c r="K170" s="30">
        <f t="shared" si="28"/>
        <v>0</v>
      </c>
      <c r="L170" s="5"/>
      <c r="M170" s="30">
        <f t="shared" si="29"/>
        <v>0</v>
      </c>
      <c r="N170" s="42">
        <f t="shared" si="30"/>
        <v>0</v>
      </c>
      <c r="O170" s="43">
        <f t="shared" si="31"/>
        <v>0</v>
      </c>
      <c r="P170" s="43">
        <f t="shared" si="32"/>
        <v>-0.34013437099999999</v>
      </c>
      <c r="Q170" s="43">
        <f t="shared" si="33"/>
        <v>-0.34013437099999999</v>
      </c>
      <c r="R170" s="43">
        <f t="shared" si="34"/>
        <v>0.11569139033556564</v>
      </c>
    </row>
    <row r="171" spans="1:18" ht="14.4" x14ac:dyDescent="0.3">
      <c r="A171" s="47">
        <v>38153</v>
      </c>
      <c r="B171" s="48">
        <v>0</v>
      </c>
      <c r="C171" s="49">
        <v>0</v>
      </c>
      <c r="D171" s="10">
        <f t="shared" si="26"/>
        <v>-0.38980777739764078</v>
      </c>
      <c r="E171" s="10">
        <f t="shared" si="27"/>
        <v>-0.42084508196721315</v>
      </c>
      <c r="F171" s="10">
        <f t="shared" si="35"/>
        <v>0.15195010331968867</v>
      </c>
      <c r="G171" s="10">
        <f t="shared" si="35"/>
        <v>0.17711058301599036</v>
      </c>
      <c r="H171" s="11">
        <f t="shared" si="3"/>
        <v>0.16404868603036732</v>
      </c>
      <c r="I171" s="12">
        <f t="shared" si="4"/>
        <v>0</v>
      </c>
      <c r="J171" s="28">
        <f t="shared" si="5"/>
        <v>0</v>
      </c>
      <c r="K171" s="30">
        <f t="shared" si="28"/>
        <v>0</v>
      </c>
      <c r="L171" s="5"/>
      <c r="M171" s="30">
        <f t="shared" si="29"/>
        <v>0</v>
      </c>
      <c r="N171" s="42">
        <f t="shared" si="30"/>
        <v>0</v>
      </c>
      <c r="O171" s="43">
        <f t="shared" si="31"/>
        <v>0</v>
      </c>
      <c r="P171" s="43">
        <f t="shared" si="32"/>
        <v>-0.34013437099999999</v>
      </c>
      <c r="Q171" s="43">
        <f t="shared" si="33"/>
        <v>-0.34013437099999999</v>
      </c>
      <c r="R171" s="43">
        <f t="shared" si="34"/>
        <v>0.11569139033556564</v>
      </c>
    </row>
    <row r="172" spans="1:18" ht="14.4" x14ac:dyDescent="0.3">
      <c r="A172" s="47">
        <v>38154</v>
      </c>
      <c r="B172" s="48">
        <v>0</v>
      </c>
      <c r="C172" s="49">
        <v>0</v>
      </c>
      <c r="D172" s="10">
        <f t="shared" si="26"/>
        <v>-0.38980777739764078</v>
      </c>
      <c r="E172" s="10">
        <f t="shared" si="27"/>
        <v>-0.42084508196721315</v>
      </c>
      <c r="F172" s="10">
        <f t="shared" si="35"/>
        <v>0.15195010331968867</v>
      </c>
      <c r="G172" s="10">
        <f t="shared" si="35"/>
        <v>0.17711058301599036</v>
      </c>
      <c r="H172" s="11">
        <f t="shared" si="3"/>
        <v>0.16404868603036732</v>
      </c>
      <c r="I172" s="12">
        <f t="shared" si="4"/>
        <v>0</v>
      </c>
      <c r="J172" s="28">
        <f t="shared" si="5"/>
        <v>0</v>
      </c>
      <c r="K172" s="30">
        <f t="shared" si="28"/>
        <v>0</v>
      </c>
      <c r="L172" s="5"/>
      <c r="M172" s="30">
        <f t="shared" si="29"/>
        <v>0</v>
      </c>
      <c r="N172" s="42">
        <f t="shared" si="30"/>
        <v>0</v>
      </c>
      <c r="O172" s="43">
        <f t="shared" si="31"/>
        <v>0</v>
      </c>
      <c r="P172" s="43">
        <f t="shared" si="32"/>
        <v>-0.34013437099999999</v>
      </c>
      <c r="Q172" s="43">
        <f t="shared" si="33"/>
        <v>-0.34013437099999999</v>
      </c>
      <c r="R172" s="43">
        <f t="shared" si="34"/>
        <v>0.11569139033556564</v>
      </c>
    </row>
    <row r="173" spans="1:18" ht="14.4" x14ac:dyDescent="0.3">
      <c r="A173" s="47">
        <v>38155</v>
      </c>
      <c r="B173" s="48">
        <v>0</v>
      </c>
      <c r="C173" s="49">
        <v>0</v>
      </c>
      <c r="D173" s="10">
        <f t="shared" si="26"/>
        <v>-0.38980777739764078</v>
      </c>
      <c r="E173" s="10">
        <f t="shared" si="27"/>
        <v>-0.42084508196721315</v>
      </c>
      <c r="F173" s="10">
        <f t="shared" si="35"/>
        <v>0.15195010331968867</v>
      </c>
      <c r="G173" s="10">
        <f t="shared" si="35"/>
        <v>0.17711058301599036</v>
      </c>
      <c r="H173" s="11">
        <f t="shared" si="3"/>
        <v>0.16404868603036732</v>
      </c>
      <c r="I173" s="12">
        <f t="shared" si="4"/>
        <v>0</v>
      </c>
      <c r="J173" s="28">
        <f t="shared" si="5"/>
        <v>0</v>
      </c>
      <c r="K173" s="30">
        <f t="shared" si="28"/>
        <v>0</v>
      </c>
      <c r="L173" s="5"/>
      <c r="M173" s="30">
        <f t="shared" si="29"/>
        <v>0</v>
      </c>
      <c r="N173" s="42">
        <f t="shared" si="30"/>
        <v>0</v>
      </c>
      <c r="O173" s="43">
        <f t="shared" si="31"/>
        <v>0</v>
      </c>
      <c r="P173" s="43">
        <f t="shared" si="32"/>
        <v>-0.34013437099999999</v>
      </c>
      <c r="Q173" s="43">
        <f t="shared" si="33"/>
        <v>-0.34013437099999999</v>
      </c>
      <c r="R173" s="43">
        <f t="shared" si="34"/>
        <v>0.11569139033556564</v>
      </c>
    </row>
    <row r="174" spans="1:18" ht="14.4" x14ac:dyDescent="0.3">
      <c r="A174" s="47">
        <v>38156</v>
      </c>
      <c r="B174" s="48">
        <v>0</v>
      </c>
      <c r="C174" s="49">
        <v>0</v>
      </c>
      <c r="D174" s="10">
        <f t="shared" si="26"/>
        <v>-0.38980777739764078</v>
      </c>
      <c r="E174" s="10">
        <f t="shared" si="27"/>
        <v>-0.42084508196721315</v>
      </c>
      <c r="F174" s="10">
        <f t="shared" si="35"/>
        <v>0.15195010331968867</v>
      </c>
      <c r="G174" s="10">
        <f t="shared" si="35"/>
        <v>0.17711058301599036</v>
      </c>
      <c r="H174" s="11">
        <f t="shared" si="3"/>
        <v>0.16404868603036732</v>
      </c>
      <c r="I174" s="12">
        <f t="shared" si="4"/>
        <v>0</v>
      </c>
      <c r="J174" s="28">
        <f t="shared" si="5"/>
        <v>0</v>
      </c>
      <c r="K174" s="30">
        <f t="shared" si="28"/>
        <v>0</v>
      </c>
      <c r="L174" s="5"/>
      <c r="M174" s="30">
        <f t="shared" si="29"/>
        <v>0</v>
      </c>
      <c r="N174" s="42">
        <f t="shared" si="30"/>
        <v>0</v>
      </c>
      <c r="O174" s="43">
        <f t="shared" si="31"/>
        <v>0</v>
      </c>
      <c r="P174" s="43">
        <f t="shared" si="32"/>
        <v>-0.34013437099999999</v>
      </c>
      <c r="Q174" s="43">
        <f t="shared" si="33"/>
        <v>-0.34013437099999999</v>
      </c>
      <c r="R174" s="43">
        <f t="shared" si="34"/>
        <v>0.11569139033556564</v>
      </c>
    </row>
    <row r="175" spans="1:18" ht="14.4" x14ac:dyDescent="0.3">
      <c r="A175" s="47">
        <v>38157</v>
      </c>
      <c r="B175" s="48">
        <v>0</v>
      </c>
      <c r="C175" s="49">
        <v>1.3515999999999999</v>
      </c>
      <c r="D175" s="10">
        <f t="shared" si="26"/>
        <v>-0.38980777739764078</v>
      </c>
      <c r="E175" s="10">
        <f t="shared" si="27"/>
        <v>0.93075491803278676</v>
      </c>
      <c r="F175" s="10">
        <f t="shared" si="35"/>
        <v>0.15195010331968867</v>
      </c>
      <c r="G175" s="10">
        <f t="shared" si="35"/>
        <v>0.8663047174422196</v>
      </c>
      <c r="H175" s="11">
        <f t="shared" si="3"/>
        <v>-0.36281550590028394</v>
      </c>
      <c r="I175" s="12">
        <f t="shared" si="4"/>
        <v>1.3515999999999999</v>
      </c>
      <c r="J175" s="28">
        <f t="shared" si="5"/>
        <v>1.8268225599999999</v>
      </c>
      <c r="K175" s="30">
        <f t="shared" si="28"/>
        <v>1.3515999999999999</v>
      </c>
      <c r="L175" s="5"/>
      <c r="M175" s="30">
        <f t="shared" si="29"/>
        <v>-1.3515999999999999</v>
      </c>
      <c r="N175" s="42">
        <f t="shared" si="30"/>
        <v>-1.3515999999999999</v>
      </c>
      <c r="O175" s="43">
        <f t="shared" si="31"/>
        <v>1.8268225599999999</v>
      </c>
      <c r="P175" s="43">
        <f t="shared" si="32"/>
        <v>-0.34013437099999999</v>
      </c>
      <c r="Q175" s="43">
        <f t="shared" si="33"/>
        <v>-0.34013437099999999</v>
      </c>
      <c r="R175" s="43">
        <f t="shared" si="34"/>
        <v>0.11569139033556564</v>
      </c>
    </row>
    <row r="176" spans="1:18" ht="14.4" x14ac:dyDescent="0.3">
      <c r="A176" s="47">
        <v>38158</v>
      </c>
      <c r="B176" s="48">
        <v>0</v>
      </c>
      <c r="C176" s="49">
        <v>0</v>
      </c>
      <c r="D176" s="10">
        <f t="shared" si="26"/>
        <v>-0.38980777739764078</v>
      </c>
      <c r="E176" s="10">
        <f t="shared" si="27"/>
        <v>-0.42084508196721315</v>
      </c>
      <c r="F176" s="10">
        <f t="shared" si="35"/>
        <v>0.15195010331968867</v>
      </c>
      <c r="G176" s="10">
        <f t="shared" si="35"/>
        <v>0.17711058301599036</v>
      </c>
      <c r="H176" s="11">
        <f t="shared" si="3"/>
        <v>0.16404868603036732</v>
      </c>
      <c r="I176" s="12">
        <f t="shared" si="4"/>
        <v>0</v>
      </c>
      <c r="J176" s="28">
        <f t="shared" si="5"/>
        <v>0</v>
      </c>
      <c r="K176" s="30">
        <f t="shared" si="28"/>
        <v>0</v>
      </c>
      <c r="L176" s="5"/>
      <c r="M176" s="30">
        <f t="shared" si="29"/>
        <v>0</v>
      </c>
      <c r="N176" s="42">
        <f t="shared" si="30"/>
        <v>0</v>
      </c>
      <c r="O176" s="43">
        <f t="shared" si="31"/>
        <v>0</v>
      </c>
      <c r="P176" s="43">
        <f t="shared" si="32"/>
        <v>-0.34013437099999999</v>
      </c>
      <c r="Q176" s="43">
        <f t="shared" si="33"/>
        <v>-0.34013437099999999</v>
      </c>
      <c r="R176" s="43">
        <f t="shared" si="34"/>
        <v>0.11569139033556564</v>
      </c>
    </row>
    <row r="177" spans="1:18" ht="14.4" x14ac:dyDescent="0.3">
      <c r="A177" s="47">
        <v>38159</v>
      </c>
      <c r="B177" s="48">
        <v>0</v>
      </c>
      <c r="C177" s="49">
        <v>0</v>
      </c>
      <c r="D177" s="10">
        <f t="shared" si="26"/>
        <v>-0.38980777739764078</v>
      </c>
      <c r="E177" s="10">
        <f t="shared" si="27"/>
        <v>-0.42084508196721315</v>
      </c>
      <c r="F177" s="10">
        <f t="shared" si="35"/>
        <v>0.15195010331968867</v>
      </c>
      <c r="G177" s="10">
        <f t="shared" si="35"/>
        <v>0.17711058301599036</v>
      </c>
      <c r="H177" s="11">
        <f t="shared" si="3"/>
        <v>0.16404868603036732</v>
      </c>
      <c r="I177" s="12">
        <f t="shared" si="4"/>
        <v>0</v>
      </c>
      <c r="J177" s="28">
        <f t="shared" si="5"/>
        <v>0</v>
      </c>
      <c r="K177" s="30">
        <f t="shared" si="28"/>
        <v>0</v>
      </c>
      <c r="L177" s="5"/>
      <c r="M177" s="30">
        <f t="shared" si="29"/>
        <v>0</v>
      </c>
      <c r="N177" s="42">
        <f t="shared" si="30"/>
        <v>0</v>
      </c>
      <c r="O177" s="43">
        <f t="shared" si="31"/>
        <v>0</v>
      </c>
      <c r="P177" s="43">
        <f t="shared" si="32"/>
        <v>-0.34013437099999999</v>
      </c>
      <c r="Q177" s="43">
        <f t="shared" si="33"/>
        <v>-0.34013437099999999</v>
      </c>
      <c r="R177" s="43">
        <f t="shared" si="34"/>
        <v>0.11569139033556564</v>
      </c>
    </row>
    <row r="178" spans="1:18" ht="14.4" x14ac:dyDescent="0.3">
      <c r="A178" s="47">
        <v>38160</v>
      </c>
      <c r="B178" s="48">
        <v>0</v>
      </c>
      <c r="C178" s="49">
        <v>0</v>
      </c>
      <c r="D178" s="10">
        <f t="shared" si="26"/>
        <v>-0.38980777739764078</v>
      </c>
      <c r="E178" s="10">
        <f t="shared" si="27"/>
        <v>-0.42084508196721315</v>
      </c>
      <c r="F178" s="10">
        <f t="shared" si="35"/>
        <v>0.15195010331968867</v>
      </c>
      <c r="G178" s="10">
        <f t="shared" si="35"/>
        <v>0.17711058301599036</v>
      </c>
      <c r="H178" s="11">
        <f t="shared" si="3"/>
        <v>0.16404868603036732</v>
      </c>
      <c r="I178" s="12">
        <f t="shared" si="4"/>
        <v>0</v>
      </c>
      <c r="J178" s="28">
        <f t="shared" si="5"/>
        <v>0</v>
      </c>
      <c r="K178" s="30">
        <f t="shared" si="28"/>
        <v>0</v>
      </c>
      <c r="L178" s="5"/>
      <c r="M178" s="30">
        <f t="shared" si="29"/>
        <v>0</v>
      </c>
      <c r="N178" s="42">
        <f t="shared" si="30"/>
        <v>0</v>
      </c>
      <c r="O178" s="43">
        <f t="shared" si="31"/>
        <v>0</v>
      </c>
      <c r="P178" s="43">
        <f t="shared" si="32"/>
        <v>-0.34013437099999999</v>
      </c>
      <c r="Q178" s="43">
        <f t="shared" si="33"/>
        <v>-0.34013437099999999</v>
      </c>
      <c r="R178" s="43">
        <f t="shared" si="34"/>
        <v>0.11569139033556564</v>
      </c>
    </row>
    <row r="179" spans="1:18" ht="14.4" x14ac:dyDescent="0.3">
      <c r="A179" s="47">
        <v>38161</v>
      </c>
      <c r="B179" s="48">
        <v>0</v>
      </c>
      <c r="C179" s="49">
        <v>0</v>
      </c>
      <c r="D179" s="10">
        <f t="shared" si="26"/>
        <v>-0.38980777739764078</v>
      </c>
      <c r="E179" s="10">
        <f t="shared" si="27"/>
        <v>-0.42084508196721315</v>
      </c>
      <c r="F179" s="10">
        <f t="shared" si="35"/>
        <v>0.15195010331968867</v>
      </c>
      <c r="G179" s="10">
        <f t="shared" si="35"/>
        <v>0.17711058301599036</v>
      </c>
      <c r="H179" s="11">
        <f t="shared" si="3"/>
        <v>0.16404868603036732</v>
      </c>
      <c r="I179" s="12">
        <f t="shared" si="4"/>
        <v>0</v>
      </c>
      <c r="J179" s="28">
        <f t="shared" si="5"/>
        <v>0</v>
      </c>
      <c r="K179" s="30">
        <f t="shared" si="28"/>
        <v>0</v>
      </c>
      <c r="L179" s="5"/>
      <c r="M179" s="30">
        <f t="shared" si="29"/>
        <v>0</v>
      </c>
      <c r="N179" s="42">
        <f t="shared" si="30"/>
        <v>0</v>
      </c>
      <c r="O179" s="43">
        <f t="shared" si="31"/>
        <v>0</v>
      </c>
      <c r="P179" s="43">
        <f t="shared" si="32"/>
        <v>-0.34013437099999999</v>
      </c>
      <c r="Q179" s="43">
        <f t="shared" si="33"/>
        <v>-0.34013437099999999</v>
      </c>
      <c r="R179" s="43">
        <f t="shared" si="34"/>
        <v>0.11569139033556564</v>
      </c>
    </row>
    <row r="180" spans="1:18" ht="14.4" x14ac:dyDescent="0.3">
      <c r="A180" s="47">
        <v>38162</v>
      </c>
      <c r="B180" s="48">
        <v>0</v>
      </c>
      <c r="C180" s="49">
        <v>0</v>
      </c>
      <c r="D180" s="10">
        <f t="shared" si="26"/>
        <v>-0.38980777739764078</v>
      </c>
      <c r="E180" s="10">
        <f t="shared" si="27"/>
        <v>-0.42084508196721315</v>
      </c>
      <c r="F180" s="10">
        <f t="shared" si="35"/>
        <v>0.15195010331968867</v>
      </c>
      <c r="G180" s="10">
        <f t="shared" si="35"/>
        <v>0.17711058301599036</v>
      </c>
      <c r="H180" s="11">
        <f t="shared" si="3"/>
        <v>0.16404868603036732</v>
      </c>
      <c r="I180" s="12">
        <f t="shared" si="4"/>
        <v>0</v>
      </c>
      <c r="J180" s="28">
        <f t="shared" si="5"/>
        <v>0</v>
      </c>
      <c r="K180" s="30">
        <f t="shared" si="28"/>
        <v>0</v>
      </c>
      <c r="L180" s="5"/>
      <c r="M180" s="30">
        <f t="shared" si="29"/>
        <v>0</v>
      </c>
      <c r="N180" s="42">
        <f t="shared" si="30"/>
        <v>0</v>
      </c>
      <c r="O180" s="43">
        <f t="shared" si="31"/>
        <v>0</v>
      </c>
      <c r="P180" s="43">
        <f t="shared" si="32"/>
        <v>-0.34013437099999999</v>
      </c>
      <c r="Q180" s="43">
        <f t="shared" si="33"/>
        <v>-0.34013437099999999</v>
      </c>
      <c r="R180" s="43">
        <f t="shared" si="34"/>
        <v>0.11569139033556564</v>
      </c>
    </row>
    <row r="181" spans="1:18" ht="14.4" x14ac:dyDescent="0.3">
      <c r="A181" s="47">
        <v>38163</v>
      </c>
      <c r="B181" s="48">
        <v>0</v>
      </c>
      <c r="C181" s="49">
        <v>0</v>
      </c>
      <c r="D181" s="10">
        <f t="shared" si="26"/>
        <v>-0.38980777739764078</v>
      </c>
      <c r="E181" s="10">
        <f t="shared" si="27"/>
        <v>-0.42084508196721315</v>
      </c>
      <c r="F181" s="10">
        <f t="shared" si="35"/>
        <v>0.15195010331968867</v>
      </c>
      <c r="G181" s="10">
        <f t="shared" si="35"/>
        <v>0.17711058301599036</v>
      </c>
      <c r="H181" s="11">
        <f t="shared" si="3"/>
        <v>0.16404868603036732</v>
      </c>
      <c r="I181" s="12">
        <f t="shared" si="4"/>
        <v>0</v>
      </c>
      <c r="J181" s="28">
        <f t="shared" si="5"/>
        <v>0</v>
      </c>
      <c r="K181" s="30">
        <f t="shared" si="28"/>
        <v>0</v>
      </c>
      <c r="L181" s="5"/>
      <c r="M181" s="30">
        <f t="shared" si="29"/>
        <v>0</v>
      </c>
      <c r="N181" s="42">
        <f t="shared" si="30"/>
        <v>0</v>
      </c>
      <c r="O181" s="43">
        <f t="shared" si="31"/>
        <v>0</v>
      </c>
      <c r="P181" s="43">
        <f t="shared" si="32"/>
        <v>-0.34013437099999999</v>
      </c>
      <c r="Q181" s="43">
        <f t="shared" si="33"/>
        <v>-0.34013437099999999</v>
      </c>
      <c r="R181" s="43">
        <f t="shared" si="34"/>
        <v>0.11569139033556564</v>
      </c>
    </row>
    <row r="182" spans="1:18" ht="14.4" x14ac:dyDescent="0.3">
      <c r="A182" s="47">
        <v>38164</v>
      </c>
      <c r="B182" s="48">
        <v>0</v>
      </c>
      <c r="C182" s="49">
        <v>0</v>
      </c>
      <c r="D182" s="10">
        <f t="shared" si="26"/>
        <v>-0.38980777739764078</v>
      </c>
      <c r="E182" s="10">
        <f t="shared" si="27"/>
        <v>-0.42084508196721315</v>
      </c>
      <c r="F182" s="10">
        <f t="shared" si="35"/>
        <v>0.15195010331968867</v>
      </c>
      <c r="G182" s="10">
        <f t="shared" si="35"/>
        <v>0.17711058301599036</v>
      </c>
      <c r="H182" s="11">
        <f t="shared" si="3"/>
        <v>0.16404868603036732</v>
      </c>
      <c r="I182" s="12">
        <f t="shared" si="4"/>
        <v>0</v>
      </c>
      <c r="J182" s="28">
        <f t="shared" si="5"/>
        <v>0</v>
      </c>
      <c r="K182" s="30">
        <f t="shared" si="28"/>
        <v>0</v>
      </c>
      <c r="L182" s="5"/>
      <c r="M182" s="30">
        <f t="shared" si="29"/>
        <v>0</v>
      </c>
      <c r="N182" s="42">
        <f t="shared" si="30"/>
        <v>0</v>
      </c>
      <c r="O182" s="43">
        <f t="shared" si="31"/>
        <v>0</v>
      </c>
      <c r="P182" s="43">
        <f t="shared" si="32"/>
        <v>-0.34013437099999999</v>
      </c>
      <c r="Q182" s="43">
        <f t="shared" si="33"/>
        <v>-0.34013437099999999</v>
      </c>
      <c r="R182" s="43">
        <f t="shared" si="34"/>
        <v>0.11569139033556564</v>
      </c>
    </row>
    <row r="183" spans="1:18" ht="14.4" x14ac:dyDescent="0.3">
      <c r="A183" s="47">
        <v>38165</v>
      </c>
      <c r="B183" s="48">
        <v>0</v>
      </c>
      <c r="C183" s="49">
        <v>0</v>
      </c>
      <c r="D183" s="10">
        <f t="shared" si="26"/>
        <v>-0.38980777739764078</v>
      </c>
      <c r="E183" s="10">
        <f t="shared" si="27"/>
        <v>-0.42084508196721315</v>
      </c>
      <c r="F183" s="10">
        <f t="shared" si="35"/>
        <v>0.15195010331968867</v>
      </c>
      <c r="G183" s="10">
        <f t="shared" si="35"/>
        <v>0.17711058301599036</v>
      </c>
      <c r="H183" s="11">
        <f t="shared" si="3"/>
        <v>0.16404868603036732</v>
      </c>
      <c r="I183" s="12">
        <f t="shared" si="4"/>
        <v>0</v>
      </c>
      <c r="J183" s="28">
        <f t="shared" si="5"/>
        <v>0</v>
      </c>
      <c r="K183" s="30">
        <f t="shared" si="28"/>
        <v>0</v>
      </c>
      <c r="L183" s="5"/>
      <c r="M183" s="30">
        <f t="shared" si="29"/>
        <v>0</v>
      </c>
      <c r="N183" s="42">
        <f t="shared" si="30"/>
        <v>0</v>
      </c>
      <c r="O183" s="43">
        <f t="shared" si="31"/>
        <v>0</v>
      </c>
      <c r="P183" s="43">
        <f t="shared" si="32"/>
        <v>-0.34013437099999999</v>
      </c>
      <c r="Q183" s="43">
        <f t="shared" si="33"/>
        <v>-0.34013437099999999</v>
      </c>
      <c r="R183" s="43">
        <f t="shared" si="34"/>
        <v>0.11569139033556564</v>
      </c>
    </row>
    <row r="184" spans="1:18" ht="14.4" x14ac:dyDescent="0.3">
      <c r="A184" s="47">
        <v>38166</v>
      </c>
      <c r="B184" s="48">
        <v>0</v>
      </c>
      <c r="C184" s="49">
        <v>0</v>
      </c>
      <c r="D184" s="10">
        <f t="shared" si="26"/>
        <v>-0.38980777739764078</v>
      </c>
      <c r="E184" s="10">
        <f t="shared" si="27"/>
        <v>-0.42084508196721315</v>
      </c>
      <c r="F184" s="10">
        <f t="shared" si="35"/>
        <v>0.15195010331968867</v>
      </c>
      <c r="G184" s="10">
        <f t="shared" si="35"/>
        <v>0.17711058301599036</v>
      </c>
      <c r="H184" s="11">
        <f t="shared" si="3"/>
        <v>0.16404868603036732</v>
      </c>
      <c r="I184" s="12">
        <f t="shared" si="4"/>
        <v>0</v>
      </c>
      <c r="J184" s="28">
        <f t="shared" si="5"/>
        <v>0</v>
      </c>
      <c r="K184" s="30">
        <f t="shared" si="28"/>
        <v>0</v>
      </c>
      <c r="L184" s="5"/>
      <c r="M184" s="30">
        <f t="shared" si="29"/>
        <v>0</v>
      </c>
      <c r="N184" s="42">
        <f t="shared" si="30"/>
        <v>0</v>
      </c>
      <c r="O184" s="43">
        <f t="shared" si="31"/>
        <v>0</v>
      </c>
      <c r="P184" s="43">
        <f t="shared" si="32"/>
        <v>-0.34013437099999999</v>
      </c>
      <c r="Q184" s="43">
        <f t="shared" si="33"/>
        <v>-0.34013437099999999</v>
      </c>
      <c r="R184" s="43">
        <f t="shared" si="34"/>
        <v>0.11569139033556564</v>
      </c>
    </row>
    <row r="185" spans="1:18" ht="14.4" x14ac:dyDescent="0.3">
      <c r="A185" s="47">
        <v>38167</v>
      </c>
      <c r="B185" s="48">
        <v>0</v>
      </c>
      <c r="C185" s="49">
        <v>0</v>
      </c>
      <c r="D185" s="10">
        <f t="shared" si="26"/>
        <v>-0.38980777739764078</v>
      </c>
      <c r="E185" s="10">
        <f t="shared" si="27"/>
        <v>-0.42084508196721315</v>
      </c>
      <c r="F185" s="10">
        <f t="shared" si="35"/>
        <v>0.15195010331968867</v>
      </c>
      <c r="G185" s="10">
        <f t="shared" si="35"/>
        <v>0.17711058301599036</v>
      </c>
      <c r="H185" s="11">
        <f t="shared" si="3"/>
        <v>0.16404868603036732</v>
      </c>
      <c r="I185" s="12">
        <f t="shared" si="4"/>
        <v>0</v>
      </c>
      <c r="J185" s="28">
        <f t="shared" si="5"/>
        <v>0</v>
      </c>
      <c r="K185" s="30">
        <f t="shared" si="28"/>
        <v>0</v>
      </c>
      <c r="L185" s="5"/>
      <c r="M185" s="30">
        <f t="shared" si="29"/>
        <v>0</v>
      </c>
      <c r="N185" s="42">
        <f t="shared" si="30"/>
        <v>0</v>
      </c>
      <c r="O185" s="43">
        <f t="shared" si="31"/>
        <v>0</v>
      </c>
      <c r="P185" s="43">
        <f t="shared" si="32"/>
        <v>-0.34013437099999999</v>
      </c>
      <c r="Q185" s="43">
        <f t="shared" si="33"/>
        <v>-0.34013437099999999</v>
      </c>
      <c r="R185" s="43">
        <f t="shared" si="34"/>
        <v>0.11569139033556564</v>
      </c>
    </row>
    <row r="186" spans="1:18" ht="14.4" x14ac:dyDescent="0.3">
      <c r="A186" s="47">
        <v>38168</v>
      </c>
      <c r="B186" s="48">
        <v>0</v>
      </c>
      <c r="C186" s="49">
        <v>0</v>
      </c>
      <c r="D186" s="10">
        <f t="shared" si="26"/>
        <v>-0.38980777739764078</v>
      </c>
      <c r="E186" s="10">
        <f t="shared" si="27"/>
        <v>-0.42084508196721315</v>
      </c>
      <c r="F186" s="10">
        <f t="shared" si="35"/>
        <v>0.15195010331968867</v>
      </c>
      <c r="G186" s="10">
        <f t="shared" si="35"/>
        <v>0.17711058301599036</v>
      </c>
      <c r="H186" s="11">
        <f t="shared" si="3"/>
        <v>0.16404868603036732</v>
      </c>
      <c r="I186" s="12">
        <f t="shared" si="4"/>
        <v>0</v>
      </c>
      <c r="J186" s="28">
        <f t="shared" si="5"/>
        <v>0</v>
      </c>
      <c r="K186" s="30">
        <f t="shared" si="28"/>
        <v>0</v>
      </c>
      <c r="L186" s="5"/>
      <c r="M186" s="30">
        <f t="shared" si="29"/>
        <v>0</v>
      </c>
      <c r="N186" s="42">
        <f t="shared" si="30"/>
        <v>0</v>
      </c>
      <c r="O186" s="43">
        <f t="shared" si="31"/>
        <v>0</v>
      </c>
      <c r="P186" s="43">
        <f t="shared" si="32"/>
        <v>-0.34013437099999999</v>
      </c>
      <c r="Q186" s="43">
        <f t="shared" si="33"/>
        <v>-0.34013437099999999</v>
      </c>
      <c r="R186" s="43">
        <f t="shared" si="34"/>
        <v>0.11569139033556564</v>
      </c>
    </row>
    <row r="187" spans="1:18" ht="14.4" x14ac:dyDescent="0.3">
      <c r="A187" s="47">
        <v>38169</v>
      </c>
      <c r="B187" s="48">
        <v>0</v>
      </c>
      <c r="C187" s="49">
        <v>0</v>
      </c>
      <c r="D187" s="10">
        <f t="shared" si="26"/>
        <v>-0.38980777739764078</v>
      </c>
      <c r="E187" s="10">
        <f t="shared" si="27"/>
        <v>-0.42084508196721315</v>
      </c>
      <c r="F187" s="10">
        <f t="shared" si="35"/>
        <v>0.15195010331968867</v>
      </c>
      <c r="G187" s="10">
        <f t="shared" si="35"/>
        <v>0.17711058301599036</v>
      </c>
      <c r="H187" s="11">
        <f t="shared" si="3"/>
        <v>0.16404868603036732</v>
      </c>
      <c r="I187" s="12">
        <f t="shared" si="4"/>
        <v>0</v>
      </c>
      <c r="J187" s="28">
        <f t="shared" si="5"/>
        <v>0</v>
      </c>
      <c r="K187" s="30">
        <f t="shared" si="28"/>
        <v>0</v>
      </c>
      <c r="L187" s="5"/>
      <c r="M187" s="30">
        <f t="shared" si="29"/>
        <v>0</v>
      </c>
      <c r="N187" s="42">
        <f t="shared" si="30"/>
        <v>0</v>
      </c>
      <c r="O187" s="43">
        <f t="shared" si="31"/>
        <v>0</v>
      </c>
      <c r="P187" s="43">
        <f t="shared" si="32"/>
        <v>-0.34013437099999999</v>
      </c>
      <c r="Q187" s="43">
        <f t="shared" si="33"/>
        <v>-0.34013437099999999</v>
      </c>
      <c r="R187" s="43">
        <f t="shared" si="34"/>
        <v>0.11569139033556564</v>
      </c>
    </row>
    <row r="188" spans="1:18" ht="14.4" x14ac:dyDescent="0.3">
      <c r="A188" s="47">
        <v>38170</v>
      </c>
      <c r="B188" s="48">
        <v>0</v>
      </c>
      <c r="C188" s="49">
        <v>0</v>
      </c>
      <c r="D188" s="10">
        <f t="shared" si="26"/>
        <v>-0.38980777739764078</v>
      </c>
      <c r="E188" s="10">
        <f t="shared" si="27"/>
        <v>-0.42084508196721315</v>
      </c>
      <c r="F188" s="10">
        <f t="shared" si="35"/>
        <v>0.15195010331968867</v>
      </c>
      <c r="G188" s="10">
        <f t="shared" si="35"/>
        <v>0.17711058301599036</v>
      </c>
      <c r="H188" s="11">
        <f t="shared" si="3"/>
        <v>0.16404868603036732</v>
      </c>
      <c r="I188" s="12">
        <f t="shared" si="4"/>
        <v>0</v>
      </c>
      <c r="J188" s="28">
        <f t="shared" si="5"/>
        <v>0</v>
      </c>
      <c r="K188" s="30">
        <f t="shared" si="28"/>
        <v>0</v>
      </c>
      <c r="L188" s="5"/>
      <c r="M188" s="30">
        <f t="shared" si="29"/>
        <v>0</v>
      </c>
      <c r="N188" s="42">
        <f t="shared" si="30"/>
        <v>0</v>
      </c>
      <c r="O188" s="43">
        <f t="shared" si="31"/>
        <v>0</v>
      </c>
      <c r="P188" s="43">
        <f t="shared" si="32"/>
        <v>-0.34013437099999999</v>
      </c>
      <c r="Q188" s="43">
        <f t="shared" si="33"/>
        <v>-0.34013437099999999</v>
      </c>
      <c r="R188" s="43">
        <f t="shared" si="34"/>
        <v>0.11569139033556564</v>
      </c>
    </row>
    <row r="189" spans="1:18" ht="14.4" x14ac:dyDescent="0.3">
      <c r="A189" s="47">
        <v>38171</v>
      </c>
      <c r="B189" s="48">
        <v>0</v>
      </c>
      <c r="C189" s="49">
        <v>0</v>
      </c>
      <c r="D189" s="10">
        <f t="shared" si="26"/>
        <v>-0.38980777739764078</v>
      </c>
      <c r="E189" s="10">
        <f t="shared" si="27"/>
        <v>-0.42084508196721315</v>
      </c>
      <c r="F189" s="10">
        <f t="shared" si="35"/>
        <v>0.15195010331968867</v>
      </c>
      <c r="G189" s="10">
        <f t="shared" si="35"/>
        <v>0.17711058301599036</v>
      </c>
      <c r="H189" s="11">
        <f t="shared" si="3"/>
        <v>0.16404868603036732</v>
      </c>
      <c r="I189" s="12">
        <f t="shared" si="4"/>
        <v>0</v>
      </c>
      <c r="J189" s="28">
        <f t="shared" si="5"/>
        <v>0</v>
      </c>
      <c r="K189" s="30">
        <f t="shared" si="28"/>
        <v>0</v>
      </c>
      <c r="L189" s="5"/>
      <c r="M189" s="30">
        <f t="shared" si="29"/>
        <v>0</v>
      </c>
      <c r="N189" s="42">
        <f t="shared" si="30"/>
        <v>0</v>
      </c>
      <c r="O189" s="43">
        <f t="shared" si="31"/>
        <v>0</v>
      </c>
      <c r="P189" s="43">
        <f t="shared" si="32"/>
        <v>-0.34013437099999999</v>
      </c>
      <c r="Q189" s="43">
        <f t="shared" si="33"/>
        <v>-0.34013437099999999</v>
      </c>
      <c r="R189" s="43">
        <f t="shared" si="34"/>
        <v>0.11569139033556564</v>
      </c>
    </row>
    <row r="190" spans="1:18" ht="14.4" x14ac:dyDescent="0.3">
      <c r="A190" s="47">
        <v>38172</v>
      </c>
      <c r="B190" s="48">
        <v>0</v>
      </c>
      <c r="C190" s="49">
        <v>0</v>
      </c>
      <c r="D190" s="10">
        <f t="shared" si="26"/>
        <v>-0.38980777739764078</v>
      </c>
      <c r="E190" s="10">
        <f t="shared" si="27"/>
        <v>-0.42084508196721315</v>
      </c>
      <c r="F190" s="10">
        <f t="shared" si="35"/>
        <v>0.15195010331968867</v>
      </c>
      <c r="G190" s="10">
        <f t="shared" si="35"/>
        <v>0.17711058301599036</v>
      </c>
      <c r="H190" s="11">
        <f t="shared" si="3"/>
        <v>0.16404868603036732</v>
      </c>
      <c r="I190" s="12">
        <f t="shared" si="4"/>
        <v>0</v>
      </c>
      <c r="J190" s="28">
        <f t="shared" si="5"/>
        <v>0</v>
      </c>
      <c r="K190" s="30">
        <f t="shared" si="28"/>
        <v>0</v>
      </c>
      <c r="L190" s="5"/>
      <c r="M190" s="30">
        <f t="shared" si="29"/>
        <v>0</v>
      </c>
      <c r="N190" s="42">
        <f t="shared" si="30"/>
        <v>0</v>
      </c>
      <c r="O190" s="43">
        <f t="shared" si="31"/>
        <v>0</v>
      </c>
      <c r="P190" s="43">
        <f t="shared" si="32"/>
        <v>-0.34013437099999999</v>
      </c>
      <c r="Q190" s="43">
        <f t="shared" si="33"/>
        <v>-0.34013437099999999</v>
      </c>
      <c r="R190" s="43">
        <f t="shared" si="34"/>
        <v>0.11569139033556564</v>
      </c>
    </row>
    <row r="191" spans="1:18" ht="14.4" x14ac:dyDescent="0.3">
      <c r="A191" s="47">
        <v>38173</v>
      </c>
      <c r="B191" s="48">
        <v>0</v>
      </c>
      <c r="C191" s="49">
        <v>0</v>
      </c>
      <c r="D191" s="10">
        <f t="shared" si="26"/>
        <v>-0.38980777739764078</v>
      </c>
      <c r="E191" s="10">
        <f t="shared" si="27"/>
        <v>-0.42084508196721315</v>
      </c>
      <c r="F191" s="10">
        <f t="shared" si="35"/>
        <v>0.15195010331968867</v>
      </c>
      <c r="G191" s="10">
        <f t="shared" si="35"/>
        <v>0.17711058301599036</v>
      </c>
      <c r="H191" s="11">
        <f t="shared" si="3"/>
        <v>0.16404868603036732</v>
      </c>
      <c r="I191" s="12">
        <f t="shared" si="4"/>
        <v>0</v>
      </c>
      <c r="J191" s="28">
        <f t="shared" si="5"/>
        <v>0</v>
      </c>
      <c r="K191" s="30">
        <f t="shared" si="28"/>
        <v>0</v>
      </c>
      <c r="L191" s="5"/>
      <c r="M191" s="30">
        <f t="shared" si="29"/>
        <v>0</v>
      </c>
      <c r="N191" s="42">
        <f t="shared" si="30"/>
        <v>0</v>
      </c>
      <c r="O191" s="43">
        <f t="shared" si="31"/>
        <v>0</v>
      </c>
      <c r="P191" s="43">
        <f t="shared" si="32"/>
        <v>-0.34013437099999999</v>
      </c>
      <c r="Q191" s="43">
        <f t="shared" si="33"/>
        <v>-0.34013437099999999</v>
      </c>
      <c r="R191" s="43">
        <f t="shared" si="34"/>
        <v>0.11569139033556564</v>
      </c>
    </row>
    <row r="192" spans="1:18" ht="14.4" x14ac:dyDescent="0.3">
      <c r="A192" s="47">
        <v>38174</v>
      </c>
      <c r="B192" s="48">
        <v>0</v>
      </c>
      <c r="C192" s="49">
        <v>0</v>
      </c>
      <c r="D192" s="10">
        <f t="shared" si="26"/>
        <v>-0.38980777739764078</v>
      </c>
      <c r="E192" s="10">
        <f t="shared" si="27"/>
        <v>-0.42084508196721315</v>
      </c>
      <c r="F192" s="10">
        <f t="shared" si="35"/>
        <v>0.15195010331968867</v>
      </c>
      <c r="G192" s="10">
        <f t="shared" si="35"/>
        <v>0.17711058301599036</v>
      </c>
      <c r="H192" s="11">
        <f t="shared" si="3"/>
        <v>0.16404868603036732</v>
      </c>
      <c r="I192" s="12">
        <f t="shared" si="4"/>
        <v>0</v>
      </c>
      <c r="J192" s="28">
        <f t="shared" si="5"/>
        <v>0</v>
      </c>
      <c r="K192" s="30">
        <f t="shared" si="28"/>
        <v>0</v>
      </c>
      <c r="L192" s="5"/>
      <c r="M192" s="30">
        <f t="shared" si="29"/>
        <v>0</v>
      </c>
      <c r="N192" s="42">
        <f t="shared" si="30"/>
        <v>0</v>
      </c>
      <c r="O192" s="43">
        <f t="shared" si="31"/>
        <v>0</v>
      </c>
      <c r="P192" s="43">
        <f t="shared" si="32"/>
        <v>-0.34013437099999999</v>
      </c>
      <c r="Q192" s="43">
        <f t="shared" si="33"/>
        <v>-0.34013437099999999</v>
      </c>
      <c r="R192" s="43">
        <f t="shared" si="34"/>
        <v>0.11569139033556564</v>
      </c>
    </row>
    <row r="193" spans="1:18" ht="14.4" x14ac:dyDescent="0.3">
      <c r="A193" s="47">
        <v>38175</v>
      </c>
      <c r="B193" s="48">
        <v>0</v>
      </c>
      <c r="C193" s="49">
        <v>0</v>
      </c>
      <c r="D193" s="10">
        <f t="shared" si="26"/>
        <v>-0.38980777739764078</v>
      </c>
      <c r="E193" s="10">
        <f t="shared" si="27"/>
        <v>-0.42084508196721315</v>
      </c>
      <c r="F193" s="10">
        <f t="shared" si="35"/>
        <v>0.15195010331968867</v>
      </c>
      <c r="G193" s="10">
        <f t="shared" si="35"/>
        <v>0.17711058301599036</v>
      </c>
      <c r="H193" s="11">
        <f t="shared" si="3"/>
        <v>0.16404868603036732</v>
      </c>
      <c r="I193" s="12">
        <f t="shared" si="4"/>
        <v>0</v>
      </c>
      <c r="J193" s="28">
        <f t="shared" si="5"/>
        <v>0</v>
      </c>
      <c r="K193" s="30">
        <f t="shared" si="28"/>
        <v>0</v>
      </c>
      <c r="L193" s="5"/>
      <c r="M193" s="30">
        <f t="shared" si="29"/>
        <v>0</v>
      </c>
      <c r="N193" s="42">
        <f t="shared" si="30"/>
        <v>0</v>
      </c>
      <c r="O193" s="43">
        <f t="shared" si="31"/>
        <v>0</v>
      </c>
      <c r="P193" s="43">
        <f t="shared" si="32"/>
        <v>-0.34013437099999999</v>
      </c>
      <c r="Q193" s="43">
        <f t="shared" si="33"/>
        <v>-0.34013437099999999</v>
      </c>
      <c r="R193" s="43">
        <f t="shared" si="34"/>
        <v>0.11569139033556564</v>
      </c>
    </row>
    <row r="194" spans="1:18" ht="14.4" x14ac:dyDescent="0.3">
      <c r="A194" s="47">
        <v>38176</v>
      </c>
      <c r="B194" s="48">
        <v>0</v>
      </c>
      <c r="C194" s="49">
        <v>0</v>
      </c>
      <c r="D194" s="10">
        <f t="shared" si="26"/>
        <v>-0.38980777739764078</v>
      </c>
      <c r="E194" s="10">
        <f t="shared" si="27"/>
        <v>-0.42084508196721315</v>
      </c>
      <c r="F194" s="10">
        <f t="shared" si="35"/>
        <v>0.15195010331968867</v>
      </c>
      <c r="G194" s="10">
        <f t="shared" si="35"/>
        <v>0.17711058301599036</v>
      </c>
      <c r="H194" s="11">
        <f t="shared" si="3"/>
        <v>0.16404868603036732</v>
      </c>
      <c r="I194" s="12">
        <f t="shared" si="4"/>
        <v>0</v>
      </c>
      <c r="J194" s="28">
        <f t="shared" si="5"/>
        <v>0</v>
      </c>
      <c r="K194" s="30">
        <f t="shared" si="28"/>
        <v>0</v>
      </c>
      <c r="L194" s="5"/>
      <c r="M194" s="30">
        <f t="shared" si="29"/>
        <v>0</v>
      </c>
      <c r="N194" s="42">
        <f t="shared" si="30"/>
        <v>0</v>
      </c>
      <c r="O194" s="43">
        <f t="shared" si="31"/>
        <v>0</v>
      </c>
      <c r="P194" s="43">
        <f t="shared" si="32"/>
        <v>-0.34013437099999999</v>
      </c>
      <c r="Q194" s="43">
        <f t="shared" si="33"/>
        <v>-0.34013437099999999</v>
      </c>
      <c r="R194" s="43">
        <f t="shared" si="34"/>
        <v>0.11569139033556564</v>
      </c>
    </row>
    <row r="195" spans="1:18" ht="14.4" x14ac:dyDescent="0.3">
      <c r="A195" s="47">
        <v>38177</v>
      </c>
      <c r="B195" s="48">
        <v>0</v>
      </c>
      <c r="C195" s="49">
        <v>0</v>
      </c>
      <c r="D195" s="10">
        <f t="shared" si="26"/>
        <v>-0.38980777739764078</v>
      </c>
      <c r="E195" s="10">
        <f t="shared" si="27"/>
        <v>-0.42084508196721315</v>
      </c>
      <c r="F195" s="10">
        <f t="shared" si="35"/>
        <v>0.15195010331968867</v>
      </c>
      <c r="G195" s="10">
        <f t="shared" si="35"/>
        <v>0.17711058301599036</v>
      </c>
      <c r="H195" s="11">
        <f t="shared" si="3"/>
        <v>0.16404868603036732</v>
      </c>
      <c r="I195" s="12">
        <f t="shared" si="4"/>
        <v>0</v>
      </c>
      <c r="J195" s="28">
        <f t="shared" si="5"/>
        <v>0</v>
      </c>
      <c r="K195" s="30">
        <f t="shared" si="28"/>
        <v>0</v>
      </c>
      <c r="L195" s="5"/>
      <c r="M195" s="30">
        <f t="shared" si="29"/>
        <v>0</v>
      </c>
      <c r="N195" s="42">
        <f t="shared" si="30"/>
        <v>0</v>
      </c>
      <c r="O195" s="43">
        <f t="shared" si="31"/>
        <v>0</v>
      </c>
      <c r="P195" s="43">
        <f t="shared" si="32"/>
        <v>-0.34013437099999999</v>
      </c>
      <c r="Q195" s="43">
        <f t="shared" si="33"/>
        <v>-0.34013437099999999</v>
      </c>
      <c r="R195" s="43">
        <f t="shared" si="34"/>
        <v>0.11569139033556564</v>
      </c>
    </row>
    <row r="196" spans="1:18" ht="14.4" x14ac:dyDescent="0.3">
      <c r="A196" s="47">
        <v>38178</v>
      </c>
      <c r="B196" s="48">
        <v>0</v>
      </c>
      <c r="C196" s="49">
        <v>0</v>
      </c>
      <c r="D196" s="10">
        <f t="shared" si="26"/>
        <v>-0.38980777739764078</v>
      </c>
      <c r="E196" s="10">
        <f t="shared" si="27"/>
        <v>-0.42084508196721315</v>
      </c>
      <c r="F196" s="10">
        <f t="shared" si="35"/>
        <v>0.15195010331968867</v>
      </c>
      <c r="G196" s="10">
        <f t="shared" si="35"/>
        <v>0.17711058301599036</v>
      </c>
      <c r="H196" s="11">
        <f t="shared" si="3"/>
        <v>0.16404868603036732</v>
      </c>
      <c r="I196" s="12">
        <f t="shared" si="4"/>
        <v>0</v>
      </c>
      <c r="J196" s="28">
        <f t="shared" si="5"/>
        <v>0</v>
      </c>
      <c r="K196" s="30">
        <f t="shared" si="28"/>
        <v>0</v>
      </c>
      <c r="L196" s="5"/>
      <c r="M196" s="30">
        <f t="shared" si="29"/>
        <v>0</v>
      </c>
      <c r="N196" s="42">
        <f t="shared" si="30"/>
        <v>0</v>
      </c>
      <c r="O196" s="43">
        <f t="shared" si="31"/>
        <v>0</v>
      </c>
      <c r="P196" s="43">
        <f t="shared" si="32"/>
        <v>-0.34013437099999999</v>
      </c>
      <c r="Q196" s="43">
        <f t="shared" si="33"/>
        <v>-0.34013437099999999</v>
      </c>
      <c r="R196" s="43">
        <f t="shared" si="34"/>
        <v>0.11569139033556564</v>
      </c>
    </row>
    <row r="197" spans="1:18" ht="14.4" x14ac:dyDescent="0.3">
      <c r="A197" s="47">
        <v>38179</v>
      </c>
      <c r="B197" s="48">
        <v>0</v>
      </c>
      <c r="C197" s="49">
        <v>0</v>
      </c>
      <c r="D197" s="10">
        <f t="shared" si="26"/>
        <v>-0.38980777739764078</v>
      </c>
      <c r="E197" s="10">
        <f t="shared" si="27"/>
        <v>-0.42084508196721315</v>
      </c>
      <c r="F197" s="10">
        <f t="shared" si="35"/>
        <v>0.15195010331968867</v>
      </c>
      <c r="G197" s="10">
        <f t="shared" si="35"/>
        <v>0.17711058301599036</v>
      </c>
      <c r="H197" s="11">
        <f t="shared" si="3"/>
        <v>0.16404868603036732</v>
      </c>
      <c r="I197" s="12">
        <f t="shared" si="4"/>
        <v>0</v>
      </c>
      <c r="J197" s="28">
        <f t="shared" si="5"/>
        <v>0</v>
      </c>
      <c r="K197" s="30">
        <f t="shared" si="28"/>
        <v>0</v>
      </c>
      <c r="L197" s="5"/>
      <c r="M197" s="30">
        <f t="shared" si="29"/>
        <v>0</v>
      </c>
      <c r="N197" s="42">
        <f t="shared" si="30"/>
        <v>0</v>
      </c>
      <c r="O197" s="43">
        <f t="shared" si="31"/>
        <v>0</v>
      </c>
      <c r="P197" s="43">
        <f t="shared" si="32"/>
        <v>-0.34013437099999999</v>
      </c>
      <c r="Q197" s="43">
        <f t="shared" si="33"/>
        <v>-0.34013437099999999</v>
      </c>
      <c r="R197" s="43">
        <f t="shared" si="34"/>
        <v>0.11569139033556564</v>
      </c>
    </row>
    <row r="198" spans="1:18" ht="14.4" x14ac:dyDescent="0.3">
      <c r="A198" s="47">
        <v>38180</v>
      </c>
      <c r="B198" s="48">
        <v>0</v>
      </c>
      <c r="C198" s="49">
        <v>0</v>
      </c>
      <c r="D198" s="10">
        <f t="shared" ref="D198:D261" si="36">B198-$C$375</f>
        <v>-0.38980777739764078</v>
      </c>
      <c r="E198" s="10">
        <f t="shared" ref="E198:E261" si="37">C198-$D$375</f>
        <v>-0.42084508196721315</v>
      </c>
      <c r="F198" s="10">
        <f t="shared" si="35"/>
        <v>0.15195010331968867</v>
      </c>
      <c r="G198" s="10">
        <f t="shared" si="35"/>
        <v>0.17711058301599036</v>
      </c>
      <c r="H198" s="11">
        <f t="shared" si="3"/>
        <v>0.16404868603036732</v>
      </c>
      <c r="I198" s="12">
        <f t="shared" si="4"/>
        <v>0</v>
      </c>
      <c r="J198" s="28">
        <f t="shared" si="5"/>
        <v>0</v>
      </c>
      <c r="K198" s="30">
        <f t="shared" ref="K198:K261" si="38">C198-B198</f>
        <v>0</v>
      </c>
      <c r="L198" s="5"/>
      <c r="M198" s="30">
        <f t="shared" ref="M198:M261" si="39">B198-C198</f>
        <v>0</v>
      </c>
      <c r="N198" s="42">
        <f t="shared" ref="N198:N261" si="40">B198-C198</f>
        <v>0</v>
      </c>
      <c r="O198" s="43">
        <f t="shared" ref="O198:O261" si="41">M198*N198</f>
        <v>0</v>
      </c>
      <c r="P198" s="43">
        <f t="shared" ref="P198:P261" si="42">B198-0.340134371</f>
        <v>-0.34013437099999999</v>
      </c>
      <c r="Q198" s="43">
        <f t="shared" ref="Q198:Q261" si="43">B198-0.340134371</f>
        <v>-0.34013437099999999</v>
      </c>
      <c r="R198" s="43">
        <f t="shared" ref="R198:R261" si="44">P198*Q198</f>
        <v>0.11569139033556564</v>
      </c>
    </row>
    <row r="199" spans="1:18" ht="14.4" x14ac:dyDescent="0.3">
      <c r="A199" s="47">
        <v>38181</v>
      </c>
      <c r="B199" s="48">
        <v>0</v>
      </c>
      <c r="C199" s="49">
        <v>0</v>
      </c>
      <c r="D199" s="10">
        <f t="shared" si="36"/>
        <v>-0.38980777739764078</v>
      </c>
      <c r="E199" s="10">
        <f t="shared" si="37"/>
        <v>-0.42084508196721315</v>
      </c>
      <c r="F199" s="10">
        <f t="shared" si="35"/>
        <v>0.15195010331968867</v>
      </c>
      <c r="G199" s="10">
        <f t="shared" si="35"/>
        <v>0.17711058301599036</v>
      </c>
      <c r="H199" s="11">
        <f t="shared" si="3"/>
        <v>0.16404868603036732</v>
      </c>
      <c r="I199" s="12">
        <f t="shared" si="4"/>
        <v>0</v>
      </c>
      <c r="J199" s="28">
        <f t="shared" si="5"/>
        <v>0</v>
      </c>
      <c r="K199" s="30">
        <f t="shared" si="38"/>
        <v>0</v>
      </c>
      <c r="L199" s="5"/>
      <c r="M199" s="30">
        <f t="shared" si="39"/>
        <v>0</v>
      </c>
      <c r="N199" s="42">
        <f t="shared" si="40"/>
        <v>0</v>
      </c>
      <c r="O199" s="43">
        <f t="shared" si="41"/>
        <v>0</v>
      </c>
      <c r="P199" s="43">
        <f t="shared" si="42"/>
        <v>-0.34013437099999999</v>
      </c>
      <c r="Q199" s="43">
        <f t="shared" si="43"/>
        <v>-0.34013437099999999</v>
      </c>
      <c r="R199" s="43">
        <f t="shared" si="44"/>
        <v>0.11569139033556564</v>
      </c>
    </row>
    <row r="200" spans="1:18" ht="14.4" x14ac:dyDescent="0.3">
      <c r="A200" s="47">
        <v>38182</v>
      </c>
      <c r="B200" s="48">
        <v>0</v>
      </c>
      <c r="C200" s="49">
        <v>0</v>
      </c>
      <c r="D200" s="10">
        <f t="shared" si="36"/>
        <v>-0.38980777739764078</v>
      </c>
      <c r="E200" s="10">
        <f t="shared" si="37"/>
        <v>-0.42084508196721315</v>
      </c>
      <c r="F200" s="10">
        <f t="shared" si="35"/>
        <v>0.15195010331968867</v>
      </c>
      <c r="G200" s="10">
        <f t="shared" si="35"/>
        <v>0.17711058301599036</v>
      </c>
      <c r="H200" s="11">
        <f t="shared" si="3"/>
        <v>0.16404868603036732</v>
      </c>
      <c r="I200" s="12">
        <f t="shared" si="4"/>
        <v>0</v>
      </c>
      <c r="J200" s="28">
        <f t="shared" si="5"/>
        <v>0</v>
      </c>
      <c r="K200" s="30">
        <f t="shared" si="38"/>
        <v>0</v>
      </c>
      <c r="L200" s="5"/>
      <c r="M200" s="30">
        <f t="shared" si="39"/>
        <v>0</v>
      </c>
      <c r="N200" s="42">
        <f t="shared" si="40"/>
        <v>0</v>
      </c>
      <c r="O200" s="43">
        <f t="shared" si="41"/>
        <v>0</v>
      </c>
      <c r="P200" s="43">
        <f t="shared" si="42"/>
        <v>-0.34013437099999999</v>
      </c>
      <c r="Q200" s="43">
        <f t="shared" si="43"/>
        <v>-0.34013437099999999</v>
      </c>
      <c r="R200" s="43">
        <f t="shared" si="44"/>
        <v>0.11569139033556564</v>
      </c>
    </row>
    <row r="201" spans="1:18" ht="14.4" x14ac:dyDescent="0.3">
      <c r="A201" s="47">
        <v>38183</v>
      </c>
      <c r="B201" s="48">
        <v>0</v>
      </c>
      <c r="C201" s="49">
        <v>0</v>
      </c>
      <c r="D201" s="10">
        <f t="shared" si="36"/>
        <v>-0.38980777739764078</v>
      </c>
      <c r="E201" s="10">
        <f t="shared" si="37"/>
        <v>-0.42084508196721315</v>
      </c>
      <c r="F201" s="10">
        <f t="shared" si="35"/>
        <v>0.15195010331968867</v>
      </c>
      <c r="G201" s="10">
        <f t="shared" si="35"/>
        <v>0.17711058301599036</v>
      </c>
      <c r="H201" s="11">
        <f t="shared" si="3"/>
        <v>0.16404868603036732</v>
      </c>
      <c r="I201" s="12">
        <f t="shared" si="4"/>
        <v>0</v>
      </c>
      <c r="J201" s="28">
        <f t="shared" si="5"/>
        <v>0</v>
      </c>
      <c r="K201" s="30">
        <f t="shared" si="38"/>
        <v>0</v>
      </c>
      <c r="L201" s="5"/>
      <c r="M201" s="30">
        <f t="shared" si="39"/>
        <v>0</v>
      </c>
      <c r="N201" s="42">
        <f t="shared" si="40"/>
        <v>0</v>
      </c>
      <c r="O201" s="43">
        <f t="shared" si="41"/>
        <v>0</v>
      </c>
      <c r="P201" s="43">
        <f t="shared" si="42"/>
        <v>-0.34013437099999999</v>
      </c>
      <c r="Q201" s="43">
        <f t="shared" si="43"/>
        <v>-0.34013437099999999</v>
      </c>
      <c r="R201" s="43">
        <f t="shared" si="44"/>
        <v>0.11569139033556564</v>
      </c>
    </row>
    <row r="202" spans="1:18" ht="14.4" x14ac:dyDescent="0.3">
      <c r="A202" s="47">
        <v>38184</v>
      </c>
      <c r="B202" s="48">
        <v>0</v>
      </c>
      <c r="C202" s="49">
        <v>0</v>
      </c>
      <c r="D202" s="10">
        <f t="shared" si="36"/>
        <v>-0.38980777739764078</v>
      </c>
      <c r="E202" s="10">
        <f t="shared" si="37"/>
        <v>-0.42084508196721315</v>
      </c>
      <c r="F202" s="10">
        <f t="shared" si="35"/>
        <v>0.15195010331968867</v>
      </c>
      <c r="G202" s="10">
        <f t="shared" si="35"/>
        <v>0.17711058301599036</v>
      </c>
      <c r="H202" s="11">
        <f t="shared" si="3"/>
        <v>0.16404868603036732</v>
      </c>
      <c r="I202" s="12">
        <f t="shared" si="4"/>
        <v>0</v>
      </c>
      <c r="J202" s="28">
        <f t="shared" si="5"/>
        <v>0</v>
      </c>
      <c r="K202" s="30">
        <f t="shared" si="38"/>
        <v>0</v>
      </c>
      <c r="L202" s="5"/>
      <c r="M202" s="30">
        <f t="shared" si="39"/>
        <v>0</v>
      </c>
      <c r="N202" s="42">
        <f t="shared" si="40"/>
        <v>0</v>
      </c>
      <c r="O202" s="43">
        <f t="shared" si="41"/>
        <v>0</v>
      </c>
      <c r="P202" s="43">
        <f t="shared" si="42"/>
        <v>-0.34013437099999999</v>
      </c>
      <c r="Q202" s="43">
        <f t="shared" si="43"/>
        <v>-0.34013437099999999</v>
      </c>
      <c r="R202" s="43">
        <f t="shared" si="44"/>
        <v>0.11569139033556564</v>
      </c>
    </row>
    <row r="203" spans="1:18" ht="14.4" x14ac:dyDescent="0.3">
      <c r="A203" s="47">
        <v>38185</v>
      </c>
      <c r="B203" s="48">
        <v>0</v>
      </c>
      <c r="C203" s="49">
        <v>0</v>
      </c>
      <c r="D203" s="10">
        <f t="shared" si="36"/>
        <v>-0.38980777739764078</v>
      </c>
      <c r="E203" s="10">
        <f t="shared" si="37"/>
        <v>-0.42084508196721315</v>
      </c>
      <c r="F203" s="10">
        <f t="shared" si="35"/>
        <v>0.15195010331968867</v>
      </c>
      <c r="G203" s="10">
        <f t="shared" si="35"/>
        <v>0.17711058301599036</v>
      </c>
      <c r="H203" s="11">
        <f t="shared" ref="H203:H266" si="45">D203*E203</f>
        <v>0.16404868603036732</v>
      </c>
      <c r="I203" s="12">
        <f t="shared" ref="I203:I266" si="46">ABS(C203-B203)</f>
        <v>0</v>
      </c>
      <c r="J203" s="28">
        <f t="shared" ref="J203:J266" si="47">I203^2</f>
        <v>0</v>
      </c>
      <c r="K203" s="30">
        <f t="shared" si="38"/>
        <v>0</v>
      </c>
      <c r="L203" s="5"/>
      <c r="M203" s="30">
        <f t="shared" si="39"/>
        <v>0</v>
      </c>
      <c r="N203" s="42">
        <f t="shared" si="40"/>
        <v>0</v>
      </c>
      <c r="O203" s="43">
        <f t="shared" si="41"/>
        <v>0</v>
      </c>
      <c r="P203" s="43">
        <f t="shared" si="42"/>
        <v>-0.34013437099999999</v>
      </c>
      <c r="Q203" s="43">
        <f t="shared" si="43"/>
        <v>-0.34013437099999999</v>
      </c>
      <c r="R203" s="43">
        <f t="shared" si="44"/>
        <v>0.11569139033556564</v>
      </c>
    </row>
    <row r="204" spans="1:18" ht="14.4" x14ac:dyDescent="0.3">
      <c r="A204" s="47">
        <v>38186</v>
      </c>
      <c r="B204" s="48">
        <v>0</v>
      </c>
      <c r="C204" s="49">
        <v>0</v>
      </c>
      <c r="D204" s="10">
        <f t="shared" si="36"/>
        <v>-0.38980777739764078</v>
      </c>
      <c r="E204" s="10">
        <f t="shared" si="37"/>
        <v>-0.42084508196721315</v>
      </c>
      <c r="F204" s="10">
        <f t="shared" si="35"/>
        <v>0.15195010331968867</v>
      </c>
      <c r="G204" s="10">
        <f t="shared" si="35"/>
        <v>0.17711058301599036</v>
      </c>
      <c r="H204" s="11">
        <f t="shared" si="45"/>
        <v>0.16404868603036732</v>
      </c>
      <c r="I204" s="12">
        <f t="shared" si="46"/>
        <v>0</v>
      </c>
      <c r="J204" s="28">
        <f t="shared" si="47"/>
        <v>0</v>
      </c>
      <c r="K204" s="30">
        <f t="shared" si="38"/>
        <v>0</v>
      </c>
      <c r="L204" s="5"/>
      <c r="M204" s="30">
        <f t="shared" si="39"/>
        <v>0</v>
      </c>
      <c r="N204" s="42">
        <f t="shared" si="40"/>
        <v>0</v>
      </c>
      <c r="O204" s="43">
        <f t="shared" si="41"/>
        <v>0</v>
      </c>
      <c r="P204" s="43">
        <f t="shared" si="42"/>
        <v>-0.34013437099999999</v>
      </c>
      <c r="Q204" s="43">
        <f t="shared" si="43"/>
        <v>-0.34013437099999999</v>
      </c>
      <c r="R204" s="43">
        <f t="shared" si="44"/>
        <v>0.11569139033556564</v>
      </c>
    </row>
    <row r="205" spans="1:18" ht="14.4" x14ac:dyDescent="0.3">
      <c r="A205" s="47">
        <v>38187</v>
      </c>
      <c r="B205" s="48">
        <v>0</v>
      </c>
      <c r="C205" s="49">
        <v>0</v>
      </c>
      <c r="D205" s="10">
        <f t="shared" si="36"/>
        <v>-0.38980777739764078</v>
      </c>
      <c r="E205" s="10">
        <f t="shared" si="37"/>
        <v>-0.42084508196721315</v>
      </c>
      <c r="F205" s="10">
        <f t="shared" si="35"/>
        <v>0.15195010331968867</v>
      </c>
      <c r="G205" s="10">
        <f t="shared" si="35"/>
        <v>0.17711058301599036</v>
      </c>
      <c r="H205" s="11">
        <f t="shared" si="45"/>
        <v>0.16404868603036732</v>
      </c>
      <c r="I205" s="12">
        <f t="shared" si="46"/>
        <v>0</v>
      </c>
      <c r="J205" s="28">
        <f t="shared" si="47"/>
        <v>0</v>
      </c>
      <c r="K205" s="30">
        <f t="shared" si="38"/>
        <v>0</v>
      </c>
      <c r="L205" s="5"/>
      <c r="M205" s="30">
        <f t="shared" si="39"/>
        <v>0</v>
      </c>
      <c r="N205" s="42">
        <f t="shared" si="40"/>
        <v>0</v>
      </c>
      <c r="O205" s="43">
        <f t="shared" si="41"/>
        <v>0</v>
      </c>
      <c r="P205" s="43">
        <f t="shared" si="42"/>
        <v>-0.34013437099999999</v>
      </c>
      <c r="Q205" s="43">
        <f t="shared" si="43"/>
        <v>-0.34013437099999999</v>
      </c>
      <c r="R205" s="43">
        <f t="shared" si="44"/>
        <v>0.11569139033556564</v>
      </c>
    </row>
    <row r="206" spans="1:18" ht="14.4" x14ac:dyDescent="0.3">
      <c r="A206" s="47">
        <v>38188</v>
      </c>
      <c r="B206" s="48">
        <v>0</v>
      </c>
      <c r="C206" s="49">
        <v>0</v>
      </c>
      <c r="D206" s="10">
        <f t="shared" si="36"/>
        <v>-0.38980777739764078</v>
      </c>
      <c r="E206" s="10">
        <f t="shared" si="37"/>
        <v>-0.42084508196721315</v>
      </c>
      <c r="F206" s="10">
        <f t="shared" si="35"/>
        <v>0.15195010331968867</v>
      </c>
      <c r="G206" s="10">
        <f t="shared" si="35"/>
        <v>0.17711058301599036</v>
      </c>
      <c r="H206" s="11">
        <f t="shared" si="45"/>
        <v>0.16404868603036732</v>
      </c>
      <c r="I206" s="12">
        <f t="shared" si="46"/>
        <v>0</v>
      </c>
      <c r="J206" s="28">
        <f t="shared" si="47"/>
        <v>0</v>
      </c>
      <c r="K206" s="30">
        <f t="shared" si="38"/>
        <v>0</v>
      </c>
      <c r="L206" s="5"/>
      <c r="M206" s="30">
        <f t="shared" si="39"/>
        <v>0</v>
      </c>
      <c r="N206" s="42">
        <f t="shared" si="40"/>
        <v>0</v>
      </c>
      <c r="O206" s="43">
        <f t="shared" si="41"/>
        <v>0</v>
      </c>
      <c r="P206" s="43">
        <f t="shared" si="42"/>
        <v>-0.34013437099999999</v>
      </c>
      <c r="Q206" s="43">
        <f t="shared" si="43"/>
        <v>-0.34013437099999999</v>
      </c>
      <c r="R206" s="43">
        <f t="shared" si="44"/>
        <v>0.11569139033556564</v>
      </c>
    </row>
    <row r="207" spans="1:18" ht="14.4" x14ac:dyDescent="0.3">
      <c r="A207" s="47">
        <v>38189</v>
      </c>
      <c r="B207" s="48">
        <v>0</v>
      </c>
      <c r="C207" s="49">
        <v>0</v>
      </c>
      <c r="D207" s="10">
        <f t="shared" si="36"/>
        <v>-0.38980777739764078</v>
      </c>
      <c r="E207" s="10">
        <f t="shared" si="37"/>
        <v>-0.42084508196721315</v>
      </c>
      <c r="F207" s="10">
        <f t="shared" si="35"/>
        <v>0.15195010331968867</v>
      </c>
      <c r="G207" s="10">
        <f t="shared" si="35"/>
        <v>0.17711058301599036</v>
      </c>
      <c r="H207" s="11">
        <f t="shared" si="45"/>
        <v>0.16404868603036732</v>
      </c>
      <c r="I207" s="12">
        <f t="shared" si="46"/>
        <v>0</v>
      </c>
      <c r="J207" s="28">
        <f t="shared" si="47"/>
        <v>0</v>
      </c>
      <c r="K207" s="30">
        <f t="shared" si="38"/>
        <v>0</v>
      </c>
      <c r="L207" s="5"/>
      <c r="M207" s="30">
        <f t="shared" si="39"/>
        <v>0</v>
      </c>
      <c r="N207" s="42">
        <f t="shared" si="40"/>
        <v>0</v>
      </c>
      <c r="O207" s="43">
        <f t="shared" si="41"/>
        <v>0</v>
      </c>
      <c r="P207" s="43">
        <f t="shared" si="42"/>
        <v>-0.34013437099999999</v>
      </c>
      <c r="Q207" s="43">
        <f t="shared" si="43"/>
        <v>-0.34013437099999999</v>
      </c>
      <c r="R207" s="43">
        <f t="shared" si="44"/>
        <v>0.11569139033556564</v>
      </c>
    </row>
    <row r="208" spans="1:18" ht="14.4" x14ac:dyDescent="0.3">
      <c r="A208" s="47">
        <v>38190</v>
      </c>
      <c r="B208" s="48">
        <v>0</v>
      </c>
      <c r="C208" s="49">
        <v>0</v>
      </c>
      <c r="D208" s="10">
        <f t="shared" si="36"/>
        <v>-0.38980777739764078</v>
      </c>
      <c r="E208" s="10">
        <f t="shared" si="37"/>
        <v>-0.42084508196721315</v>
      </c>
      <c r="F208" s="10">
        <f t="shared" si="35"/>
        <v>0.15195010331968867</v>
      </c>
      <c r="G208" s="10">
        <f t="shared" si="35"/>
        <v>0.17711058301599036</v>
      </c>
      <c r="H208" s="11">
        <f t="shared" si="45"/>
        <v>0.16404868603036732</v>
      </c>
      <c r="I208" s="12">
        <f t="shared" si="46"/>
        <v>0</v>
      </c>
      <c r="J208" s="28">
        <f t="shared" si="47"/>
        <v>0</v>
      </c>
      <c r="K208" s="30">
        <f t="shared" si="38"/>
        <v>0</v>
      </c>
      <c r="L208" s="5"/>
      <c r="M208" s="30">
        <f t="shared" si="39"/>
        <v>0</v>
      </c>
      <c r="N208" s="42">
        <f t="shared" si="40"/>
        <v>0</v>
      </c>
      <c r="O208" s="43">
        <f t="shared" si="41"/>
        <v>0</v>
      </c>
      <c r="P208" s="43">
        <f t="shared" si="42"/>
        <v>-0.34013437099999999</v>
      </c>
      <c r="Q208" s="43">
        <f t="shared" si="43"/>
        <v>-0.34013437099999999</v>
      </c>
      <c r="R208" s="43">
        <f t="shared" si="44"/>
        <v>0.11569139033556564</v>
      </c>
    </row>
    <row r="209" spans="1:18" ht="14.4" x14ac:dyDescent="0.3">
      <c r="A209" s="47">
        <v>38191</v>
      </c>
      <c r="B209" s="48">
        <v>0</v>
      </c>
      <c r="C209" s="49">
        <v>0</v>
      </c>
      <c r="D209" s="10">
        <f t="shared" si="36"/>
        <v>-0.38980777739764078</v>
      </c>
      <c r="E209" s="10">
        <f t="shared" si="37"/>
        <v>-0.42084508196721315</v>
      </c>
      <c r="F209" s="10">
        <f t="shared" si="35"/>
        <v>0.15195010331968867</v>
      </c>
      <c r="G209" s="10">
        <f t="shared" si="35"/>
        <v>0.17711058301599036</v>
      </c>
      <c r="H209" s="11">
        <f t="shared" si="45"/>
        <v>0.16404868603036732</v>
      </c>
      <c r="I209" s="12">
        <f t="shared" si="46"/>
        <v>0</v>
      </c>
      <c r="J209" s="28">
        <f t="shared" si="47"/>
        <v>0</v>
      </c>
      <c r="K209" s="30">
        <f t="shared" si="38"/>
        <v>0</v>
      </c>
      <c r="L209" s="5"/>
      <c r="M209" s="30">
        <f t="shared" si="39"/>
        <v>0</v>
      </c>
      <c r="N209" s="42">
        <f t="shared" si="40"/>
        <v>0</v>
      </c>
      <c r="O209" s="43">
        <f t="shared" si="41"/>
        <v>0</v>
      </c>
      <c r="P209" s="43">
        <f t="shared" si="42"/>
        <v>-0.34013437099999999</v>
      </c>
      <c r="Q209" s="43">
        <f t="shared" si="43"/>
        <v>-0.34013437099999999</v>
      </c>
      <c r="R209" s="43">
        <f t="shared" si="44"/>
        <v>0.11569139033556564</v>
      </c>
    </row>
    <row r="210" spans="1:18" ht="14.4" x14ac:dyDescent="0.3">
      <c r="A210" s="47">
        <v>38192</v>
      </c>
      <c r="B210" s="48">
        <v>0</v>
      </c>
      <c r="C210" s="49">
        <v>0</v>
      </c>
      <c r="D210" s="10">
        <f t="shared" si="36"/>
        <v>-0.38980777739764078</v>
      </c>
      <c r="E210" s="10">
        <f t="shared" si="37"/>
        <v>-0.42084508196721315</v>
      </c>
      <c r="F210" s="10">
        <f t="shared" si="35"/>
        <v>0.15195010331968867</v>
      </c>
      <c r="G210" s="10">
        <f t="shared" si="35"/>
        <v>0.17711058301599036</v>
      </c>
      <c r="H210" s="11">
        <f t="shared" si="45"/>
        <v>0.16404868603036732</v>
      </c>
      <c r="I210" s="12">
        <f t="shared" si="46"/>
        <v>0</v>
      </c>
      <c r="J210" s="28">
        <f t="shared" si="47"/>
        <v>0</v>
      </c>
      <c r="K210" s="30">
        <f t="shared" si="38"/>
        <v>0</v>
      </c>
      <c r="L210" s="5"/>
      <c r="M210" s="30">
        <f t="shared" si="39"/>
        <v>0</v>
      </c>
      <c r="N210" s="42">
        <f t="shared" si="40"/>
        <v>0</v>
      </c>
      <c r="O210" s="43">
        <f t="shared" si="41"/>
        <v>0</v>
      </c>
      <c r="P210" s="43">
        <f t="shared" si="42"/>
        <v>-0.34013437099999999</v>
      </c>
      <c r="Q210" s="43">
        <f t="shared" si="43"/>
        <v>-0.34013437099999999</v>
      </c>
      <c r="R210" s="43">
        <f t="shared" si="44"/>
        <v>0.11569139033556564</v>
      </c>
    </row>
    <row r="211" spans="1:18" ht="14.4" x14ac:dyDescent="0.3">
      <c r="A211" s="47">
        <v>38193</v>
      </c>
      <c r="B211" s="48">
        <v>0</v>
      </c>
      <c r="C211" s="49">
        <v>0</v>
      </c>
      <c r="D211" s="10">
        <f t="shared" si="36"/>
        <v>-0.38980777739764078</v>
      </c>
      <c r="E211" s="10">
        <f t="shared" si="37"/>
        <v>-0.42084508196721315</v>
      </c>
      <c r="F211" s="10">
        <f t="shared" si="35"/>
        <v>0.15195010331968867</v>
      </c>
      <c r="G211" s="10">
        <f t="shared" si="35"/>
        <v>0.17711058301599036</v>
      </c>
      <c r="H211" s="11">
        <f t="shared" si="45"/>
        <v>0.16404868603036732</v>
      </c>
      <c r="I211" s="12">
        <f t="shared" si="46"/>
        <v>0</v>
      </c>
      <c r="J211" s="28">
        <f t="shared" si="47"/>
        <v>0</v>
      </c>
      <c r="K211" s="30">
        <f t="shared" si="38"/>
        <v>0</v>
      </c>
      <c r="L211" s="5"/>
      <c r="M211" s="30">
        <f t="shared" si="39"/>
        <v>0</v>
      </c>
      <c r="N211" s="42">
        <f t="shared" si="40"/>
        <v>0</v>
      </c>
      <c r="O211" s="43">
        <f t="shared" si="41"/>
        <v>0</v>
      </c>
      <c r="P211" s="43">
        <f t="shared" si="42"/>
        <v>-0.34013437099999999</v>
      </c>
      <c r="Q211" s="43">
        <f t="shared" si="43"/>
        <v>-0.34013437099999999</v>
      </c>
      <c r="R211" s="43">
        <f t="shared" si="44"/>
        <v>0.11569139033556564</v>
      </c>
    </row>
    <row r="212" spans="1:18" ht="14.4" x14ac:dyDescent="0.3">
      <c r="A212" s="47">
        <v>38194</v>
      </c>
      <c r="B212" s="48">
        <v>0</v>
      </c>
      <c r="C212" s="49">
        <v>0</v>
      </c>
      <c r="D212" s="10">
        <f t="shared" si="36"/>
        <v>-0.38980777739764078</v>
      </c>
      <c r="E212" s="10">
        <f t="shared" si="37"/>
        <v>-0.42084508196721315</v>
      </c>
      <c r="F212" s="10">
        <f t="shared" si="35"/>
        <v>0.15195010331968867</v>
      </c>
      <c r="G212" s="10">
        <f t="shared" si="35"/>
        <v>0.17711058301599036</v>
      </c>
      <c r="H212" s="11">
        <f t="shared" si="45"/>
        <v>0.16404868603036732</v>
      </c>
      <c r="I212" s="12">
        <f t="shared" si="46"/>
        <v>0</v>
      </c>
      <c r="J212" s="28">
        <f t="shared" si="47"/>
        <v>0</v>
      </c>
      <c r="K212" s="30">
        <f t="shared" si="38"/>
        <v>0</v>
      </c>
      <c r="L212" s="5"/>
      <c r="M212" s="30">
        <f t="shared" si="39"/>
        <v>0</v>
      </c>
      <c r="N212" s="42">
        <f t="shared" si="40"/>
        <v>0</v>
      </c>
      <c r="O212" s="43">
        <f t="shared" si="41"/>
        <v>0</v>
      </c>
      <c r="P212" s="43">
        <f t="shared" si="42"/>
        <v>-0.34013437099999999</v>
      </c>
      <c r="Q212" s="43">
        <f t="shared" si="43"/>
        <v>-0.34013437099999999</v>
      </c>
      <c r="R212" s="43">
        <f t="shared" si="44"/>
        <v>0.11569139033556564</v>
      </c>
    </row>
    <row r="213" spans="1:18" ht="14.4" x14ac:dyDescent="0.3">
      <c r="A213" s="47">
        <v>38195</v>
      </c>
      <c r="B213" s="48">
        <v>0</v>
      </c>
      <c r="C213" s="49">
        <v>0</v>
      </c>
      <c r="D213" s="10">
        <f t="shared" si="36"/>
        <v>-0.38980777739764078</v>
      </c>
      <c r="E213" s="10">
        <f t="shared" si="37"/>
        <v>-0.42084508196721315</v>
      </c>
      <c r="F213" s="10">
        <f t="shared" ref="F213:G276" si="48">D213^2</f>
        <v>0.15195010331968867</v>
      </c>
      <c r="G213" s="10">
        <f t="shared" si="48"/>
        <v>0.17711058301599036</v>
      </c>
      <c r="H213" s="11">
        <f t="shared" si="45"/>
        <v>0.16404868603036732</v>
      </c>
      <c r="I213" s="12">
        <f t="shared" si="46"/>
        <v>0</v>
      </c>
      <c r="J213" s="28">
        <f t="shared" si="47"/>
        <v>0</v>
      </c>
      <c r="K213" s="30">
        <f t="shared" si="38"/>
        <v>0</v>
      </c>
      <c r="L213" s="5"/>
      <c r="M213" s="30">
        <f t="shared" si="39"/>
        <v>0</v>
      </c>
      <c r="N213" s="42">
        <f t="shared" si="40"/>
        <v>0</v>
      </c>
      <c r="O213" s="43">
        <f t="shared" si="41"/>
        <v>0</v>
      </c>
      <c r="P213" s="43">
        <f t="shared" si="42"/>
        <v>-0.34013437099999999</v>
      </c>
      <c r="Q213" s="43">
        <f t="shared" si="43"/>
        <v>-0.34013437099999999</v>
      </c>
      <c r="R213" s="43">
        <f t="shared" si="44"/>
        <v>0.11569139033556564</v>
      </c>
    </row>
    <row r="214" spans="1:18" ht="14.4" x14ac:dyDescent="0.3">
      <c r="A214" s="47">
        <v>38196</v>
      </c>
      <c r="B214" s="48">
        <v>0</v>
      </c>
      <c r="C214" s="49">
        <v>0</v>
      </c>
      <c r="D214" s="10">
        <f t="shared" si="36"/>
        <v>-0.38980777739764078</v>
      </c>
      <c r="E214" s="10">
        <f t="shared" si="37"/>
        <v>-0.42084508196721315</v>
      </c>
      <c r="F214" s="10">
        <f t="shared" si="48"/>
        <v>0.15195010331968867</v>
      </c>
      <c r="G214" s="10">
        <f t="shared" si="48"/>
        <v>0.17711058301599036</v>
      </c>
      <c r="H214" s="11">
        <f t="shared" si="45"/>
        <v>0.16404868603036732</v>
      </c>
      <c r="I214" s="12">
        <f t="shared" si="46"/>
        <v>0</v>
      </c>
      <c r="J214" s="28">
        <f t="shared" si="47"/>
        <v>0</v>
      </c>
      <c r="K214" s="30">
        <f t="shared" si="38"/>
        <v>0</v>
      </c>
      <c r="L214" s="5"/>
      <c r="M214" s="30">
        <f t="shared" si="39"/>
        <v>0</v>
      </c>
      <c r="N214" s="42">
        <f t="shared" si="40"/>
        <v>0</v>
      </c>
      <c r="O214" s="43">
        <f t="shared" si="41"/>
        <v>0</v>
      </c>
      <c r="P214" s="43">
        <f t="shared" si="42"/>
        <v>-0.34013437099999999</v>
      </c>
      <c r="Q214" s="43">
        <f t="shared" si="43"/>
        <v>-0.34013437099999999</v>
      </c>
      <c r="R214" s="43">
        <f t="shared" si="44"/>
        <v>0.11569139033556564</v>
      </c>
    </row>
    <row r="215" spans="1:18" ht="14.4" x14ac:dyDescent="0.3">
      <c r="A215" s="47">
        <v>38197</v>
      </c>
      <c r="B215" s="48">
        <v>0</v>
      </c>
      <c r="C215" s="49">
        <v>0</v>
      </c>
      <c r="D215" s="10">
        <f t="shared" si="36"/>
        <v>-0.38980777739764078</v>
      </c>
      <c r="E215" s="10">
        <f t="shared" si="37"/>
        <v>-0.42084508196721315</v>
      </c>
      <c r="F215" s="10">
        <f t="shared" si="48"/>
        <v>0.15195010331968867</v>
      </c>
      <c r="G215" s="10">
        <f t="shared" si="48"/>
        <v>0.17711058301599036</v>
      </c>
      <c r="H215" s="11">
        <f t="shared" si="45"/>
        <v>0.16404868603036732</v>
      </c>
      <c r="I215" s="12">
        <f t="shared" si="46"/>
        <v>0</v>
      </c>
      <c r="J215" s="28">
        <f t="shared" si="47"/>
        <v>0</v>
      </c>
      <c r="K215" s="30">
        <f t="shared" si="38"/>
        <v>0</v>
      </c>
      <c r="L215" s="5"/>
      <c r="M215" s="30">
        <f t="shared" si="39"/>
        <v>0</v>
      </c>
      <c r="N215" s="42">
        <f t="shared" si="40"/>
        <v>0</v>
      </c>
      <c r="O215" s="43">
        <f t="shared" si="41"/>
        <v>0</v>
      </c>
      <c r="P215" s="43">
        <f t="shared" si="42"/>
        <v>-0.34013437099999999</v>
      </c>
      <c r="Q215" s="43">
        <f t="shared" si="43"/>
        <v>-0.34013437099999999</v>
      </c>
      <c r="R215" s="43">
        <f t="shared" si="44"/>
        <v>0.11569139033556564</v>
      </c>
    </row>
    <row r="216" spans="1:18" ht="14.4" x14ac:dyDescent="0.3">
      <c r="A216" s="47">
        <v>38198</v>
      </c>
      <c r="B216" s="48">
        <v>0</v>
      </c>
      <c r="C216" s="49">
        <v>0</v>
      </c>
      <c r="D216" s="10">
        <f t="shared" si="36"/>
        <v>-0.38980777739764078</v>
      </c>
      <c r="E216" s="10">
        <f t="shared" si="37"/>
        <v>-0.42084508196721315</v>
      </c>
      <c r="F216" s="10">
        <f t="shared" si="48"/>
        <v>0.15195010331968867</v>
      </c>
      <c r="G216" s="10">
        <f t="shared" si="48"/>
        <v>0.17711058301599036</v>
      </c>
      <c r="H216" s="11">
        <f t="shared" si="45"/>
        <v>0.16404868603036732</v>
      </c>
      <c r="I216" s="12">
        <f t="shared" si="46"/>
        <v>0</v>
      </c>
      <c r="J216" s="28">
        <f t="shared" si="47"/>
        <v>0</v>
      </c>
      <c r="K216" s="30">
        <f t="shared" si="38"/>
        <v>0</v>
      </c>
      <c r="L216" s="5"/>
      <c r="M216" s="30">
        <f t="shared" si="39"/>
        <v>0</v>
      </c>
      <c r="N216" s="42">
        <f t="shared" si="40"/>
        <v>0</v>
      </c>
      <c r="O216" s="43">
        <f t="shared" si="41"/>
        <v>0</v>
      </c>
      <c r="P216" s="43">
        <f t="shared" si="42"/>
        <v>-0.34013437099999999</v>
      </c>
      <c r="Q216" s="43">
        <f t="shared" si="43"/>
        <v>-0.34013437099999999</v>
      </c>
      <c r="R216" s="43">
        <f t="shared" si="44"/>
        <v>0.11569139033556564</v>
      </c>
    </row>
    <row r="217" spans="1:18" ht="14.4" x14ac:dyDescent="0.3">
      <c r="A217" s="47">
        <v>38199</v>
      </c>
      <c r="B217" s="48">
        <v>0</v>
      </c>
      <c r="C217" s="49">
        <v>0</v>
      </c>
      <c r="D217" s="10">
        <f t="shared" si="36"/>
        <v>-0.38980777739764078</v>
      </c>
      <c r="E217" s="10">
        <f t="shared" si="37"/>
        <v>-0.42084508196721315</v>
      </c>
      <c r="F217" s="10">
        <f t="shared" si="48"/>
        <v>0.15195010331968867</v>
      </c>
      <c r="G217" s="10">
        <f t="shared" si="48"/>
        <v>0.17711058301599036</v>
      </c>
      <c r="H217" s="11">
        <f t="shared" si="45"/>
        <v>0.16404868603036732</v>
      </c>
      <c r="I217" s="12">
        <f t="shared" si="46"/>
        <v>0</v>
      </c>
      <c r="J217" s="28">
        <f t="shared" si="47"/>
        <v>0</v>
      </c>
      <c r="K217" s="30">
        <f t="shared" si="38"/>
        <v>0</v>
      </c>
      <c r="L217" s="5"/>
      <c r="M217" s="30">
        <f t="shared" si="39"/>
        <v>0</v>
      </c>
      <c r="N217" s="42">
        <f t="shared" si="40"/>
        <v>0</v>
      </c>
      <c r="O217" s="43">
        <f t="shared" si="41"/>
        <v>0</v>
      </c>
      <c r="P217" s="43">
        <f t="shared" si="42"/>
        <v>-0.34013437099999999</v>
      </c>
      <c r="Q217" s="43">
        <f t="shared" si="43"/>
        <v>-0.34013437099999999</v>
      </c>
      <c r="R217" s="43">
        <f t="shared" si="44"/>
        <v>0.11569139033556564</v>
      </c>
    </row>
    <row r="218" spans="1:18" ht="14.4" x14ac:dyDescent="0.3">
      <c r="A218" s="47">
        <v>38200</v>
      </c>
      <c r="B218" s="48">
        <v>0</v>
      </c>
      <c r="C218" s="49">
        <v>0</v>
      </c>
      <c r="D218" s="10">
        <f t="shared" si="36"/>
        <v>-0.38980777739764078</v>
      </c>
      <c r="E218" s="10">
        <f t="shared" si="37"/>
        <v>-0.42084508196721315</v>
      </c>
      <c r="F218" s="10">
        <f t="shared" si="48"/>
        <v>0.15195010331968867</v>
      </c>
      <c r="G218" s="10">
        <f t="shared" si="48"/>
        <v>0.17711058301599036</v>
      </c>
      <c r="H218" s="11">
        <f t="shared" si="45"/>
        <v>0.16404868603036732</v>
      </c>
      <c r="I218" s="12">
        <f t="shared" si="46"/>
        <v>0</v>
      </c>
      <c r="J218" s="28">
        <f t="shared" si="47"/>
        <v>0</v>
      </c>
      <c r="K218" s="30">
        <f t="shared" si="38"/>
        <v>0</v>
      </c>
      <c r="L218" s="5"/>
      <c r="M218" s="30">
        <f t="shared" si="39"/>
        <v>0</v>
      </c>
      <c r="N218" s="42">
        <f t="shared" si="40"/>
        <v>0</v>
      </c>
      <c r="O218" s="43">
        <f t="shared" si="41"/>
        <v>0</v>
      </c>
      <c r="P218" s="43">
        <f t="shared" si="42"/>
        <v>-0.34013437099999999</v>
      </c>
      <c r="Q218" s="43">
        <f t="shared" si="43"/>
        <v>-0.34013437099999999</v>
      </c>
      <c r="R218" s="43">
        <f t="shared" si="44"/>
        <v>0.11569139033556564</v>
      </c>
    </row>
    <row r="219" spans="1:18" ht="15.75" customHeight="1" x14ac:dyDescent="0.3">
      <c r="A219" s="47">
        <v>38201</v>
      </c>
      <c r="B219" s="48">
        <v>0</v>
      </c>
      <c r="C219" s="49">
        <v>0</v>
      </c>
      <c r="D219" s="10">
        <f t="shared" si="36"/>
        <v>-0.38980777739764078</v>
      </c>
      <c r="E219" s="10">
        <f t="shared" si="37"/>
        <v>-0.42084508196721315</v>
      </c>
      <c r="F219" s="10">
        <f t="shared" si="48"/>
        <v>0.15195010331968867</v>
      </c>
      <c r="G219" s="10">
        <f t="shared" si="48"/>
        <v>0.17711058301599036</v>
      </c>
      <c r="H219" s="11">
        <f t="shared" si="45"/>
        <v>0.16404868603036732</v>
      </c>
      <c r="I219" s="12">
        <f t="shared" si="46"/>
        <v>0</v>
      </c>
      <c r="J219" s="28">
        <f t="shared" si="47"/>
        <v>0</v>
      </c>
      <c r="K219" s="30">
        <f t="shared" si="38"/>
        <v>0</v>
      </c>
      <c r="L219" s="5"/>
      <c r="M219" s="30">
        <f t="shared" si="39"/>
        <v>0</v>
      </c>
      <c r="N219" s="42">
        <f t="shared" si="40"/>
        <v>0</v>
      </c>
      <c r="O219" s="43">
        <f t="shared" si="41"/>
        <v>0</v>
      </c>
      <c r="P219" s="43">
        <f t="shared" si="42"/>
        <v>-0.34013437099999999</v>
      </c>
      <c r="Q219" s="43">
        <f t="shared" si="43"/>
        <v>-0.34013437099999999</v>
      </c>
      <c r="R219" s="43">
        <f t="shared" si="44"/>
        <v>0.11569139033556564</v>
      </c>
    </row>
    <row r="220" spans="1:18" ht="15.75" customHeight="1" x14ac:dyDescent="0.3">
      <c r="A220" s="47">
        <v>38202</v>
      </c>
      <c r="B220" s="48">
        <v>0</v>
      </c>
      <c r="C220" s="49">
        <v>0</v>
      </c>
      <c r="D220" s="10">
        <f t="shared" si="36"/>
        <v>-0.38980777739764078</v>
      </c>
      <c r="E220" s="10">
        <f t="shared" si="37"/>
        <v>-0.42084508196721315</v>
      </c>
      <c r="F220" s="10">
        <f t="shared" si="48"/>
        <v>0.15195010331968867</v>
      </c>
      <c r="G220" s="10">
        <f t="shared" si="48"/>
        <v>0.17711058301599036</v>
      </c>
      <c r="H220" s="11">
        <f t="shared" si="45"/>
        <v>0.16404868603036732</v>
      </c>
      <c r="I220" s="12">
        <f t="shared" si="46"/>
        <v>0</v>
      </c>
      <c r="J220" s="28">
        <f t="shared" si="47"/>
        <v>0</v>
      </c>
      <c r="K220" s="30">
        <f t="shared" si="38"/>
        <v>0</v>
      </c>
      <c r="L220" s="5"/>
      <c r="M220" s="30">
        <f t="shared" si="39"/>
        <v>0</v>
      </c>
      <c r="N220" s="42">
        <f t="shared" si="40"/>
        <v>0</v>
      </c>
      <c r="O220" s="43">
        <f t="shared" si="41"/>
        <v>0</v>
      </c>
      <c r="P220" s="43">
        <f t="shared" si="42"/>
        <v>-0.34013437099999999</v>
      </c>
      <c r="Q220" s="43">
        <f t="shared" si="43"/>
        <v>-0.34013437099999999</v>
      </c>
      <c r="R220" s="43">
        <f t="shared" si="44"/>
        <v>0.11569139033556564</v>
      </c>
    </row>
    <row r="221" spans="1:18" ht="15.75" customHeight="1" x14ac:dyDescent="0.3">
      <c r="A221" s="47">
        <v>38203</v>
      </c>
      <c r="B221" s="48">
        <v>0</v>
      </c>
      <c r="C221" s="49">
        <v>0</v>
      </c>
      <c r="D221" s="10">
        <f t="shared" si="36"/>
        <v>-0.38980777739764078</v>
      </c>
      <c r="E221" s="10">
        <f t="shared" si="37"/>
        <v>-0.42084508196721315</v>
      </c>
      <c r="F221" s="10">
        <f t="shared" si="48"/>
        <v>0.15195010331968867</v>
      </c>
      <c r="G221" s="10">
        <f t="shared" si="48"/>
        <v>0.17711058301599036</v>
      </c>
      <c r="H221" s="11">
        <f t="shared" si="45"/>
        <v>0.16404868603036732</v>
      </c>
      <c r="I221" s="12">
        <f t="shared" si="46"/>
        <v>0</v>
      </c>
      <c r="J221" s="28">
        <f t="shared" si="47"/>
        <v>0</v>
      </c>
      <c r="K221" s="30">
        <f t="shared" si="38"/>
        <v>0</v>
      </c>
      <c r="L221" s="5"/>
      <c r="M221" s="30">
        <f t="shared" si="39"/>
        <v>0</v>
      </c>
      <c r="N221" s="42">
        <f t="shared" si="40"/>
        <v>0</v>
      </c>
      <c r="O221" s="43">
        <f t="shared" si="41"/>
        <v>0</v>
      </c>
      <c r="P221" s="43">
        <f t="shared" si="42"/>
        <v>-0.34013437099999999</v>
      </c>
      <c r="Q221" s="43">
        <f t="shared" si="43"/>
        <v>-0.34013437099999999</v>
      </c>
      <c r="R221" s="43">
        <f t="shared" si="44"/>
        <v>0.11569139033556564</v>
      </c>
    </row>
    <row r="222" spans="1:18" ht="15.75" customHeight="1" x14ac:dyDescent="0.3">
      <c r="A222" s="47">
        <v>38204</v>
      </c>
      <c r="B222" s="48">
        <v>0</v>
      </c>
      <c r="C222" s="49">
        <v>0</v>
      </c>
      <c r="D222" s="10">
        <f t="shared" si="36"/>
        <v>-0.38980777739764078</v>
      </c>
      <c r="E222" s="10">
        <f t="shared" si="37"/>
        <v>-0.42084508196721315</v>
      </c>
      <c r="F222" s="10">
        <f t="shared" si="48"/>
        <v>0.15195010331968867</v>
      </c>
      <c r="G222" s="10">
        <f t="shared" si="48"/>
        <v>0.17711058301599036</v>
      </c>
      <c r="H222" s="11">
        <f t="shared" si="45"/>
        <v>0.16404868603036732</v>
      </c>
      <c r="I222" s="12">
        <f t="shared" si="46"/>
        <v>0</v>
      </c>
      <c r="J222" s="28">
        <f t="shared" si="47"/>
        <v>0</v>
      </c>
      <c r="K222" s="30">
        <f t="shared" si="38"/>
        <v>0</v>
      </c>
      <c r="L222" s="5"/>
      <c r="M222" s="30">
        <f t="shared" si="39"/>
        <v>0</v>
      </c>
      <c r="N222" s="42">
        <f t="shared" si="40"/>
        <v>0</v>
      </c>
      <c r="O222" s="43">
        <f t="shared" si="41"/>
        <v>0</v>
      </c>
      <c r="P222" s="43">
        <f t="shared" si="42"/>
        <v>-0.34013437099999999</v>
      </c>
      <c r="Q222" s="43">
        <f t="shared" si="43"/>
        <v>-0.34013437099999999</v>
      </c>
      <c r="R222" s="43">
        <f t="shared" si="44"/>
        <v>0.11569139033556564</v>
      </c>
    </row>
    <row r="223" spans="1:18" ht="15.75" customHeight="1" x14ac:dyDescent="0.3">
      <c r="A223" s="47">
        <v>38205</v>
      </c>
      <c r="B223" s="48">
        <v>0</v>
      </c>
      <c r="C223" s="49">
        <v>0</v>
      </c>
      <c r="D223" s="10">
        <f t="shared" si="36"/>
        <v>-0.38980777739764078</v>
      </c>
      <c r="E223" s="10">
        <f t="shared" si="37"/>
        <v>-0.42084508196721315</v>
      </c>
      <c r="F223" s="10">
        <f t="shared" si="48"/>
        <v>0.15195010331968867</v>
      </c>
      <c r="G223" s="10">
        <f t="shared" si="48"/>
        <v>0.17711058301599036</v>
      </c>
      <c r="H223" s="11">
        <f t="shared" si="45"/>
        <v>0.16404868603036732</v>
      </c>
      <c r="I223" s="12">
        <f t="shared" si="46"/>
        <v>0</v>
      </c>
      <c r="J223" s="28">
        <f t="shared" si="47"/>
        <v>0</v>
      </c>
      <c r="K223" s="30">
        <f t="shared" si="38"/>
        <v>0</v>
      </c>
      <c r="L223" s="5"/>
      <c r="M223" s="30">
        <f t="shared" si="39"/>
        <v>0</v>
      </c>
      <c r="N223" s="42">
        <f t="shared" si="40"/>
        <v>0</v>
      </c>
      <c r="O223" s="43">
        <f t="shared" si="41"/>
        <v>0</v>
      </c>
      <c r="P223" s="43">
        <f t="shared" si="42"/>
        <v>-0.34013437099999999</v>
      </c>
      <c r="Q223" s="43">
        <f t="shared" si="43"/>
        <v>-0.34013437099999999</v>
      </c>
      <c r="R223" s="43">
        <f t="shared" si="44"/>
        <v>0.11569139033556564</v>
      </c>
    </row>
    <row r="224" spans="1:18" ht="15.75" customHeight="1" x14ac:dyDescent="0.3">
      <c r="A224" s="47">
        <v>38206</v>
      </c>
      <c r="B224" s="48">
        <v>0</v>
      </c>
      <c r="C224" s="49">
        <v>0</v>
      </c>
      <c r="D224" s="10">
        <f t="shared" si="36"/>
        <v>-0.38980777739764078</v>
      </c>
      <c r="E224" s="10">
        <f t="shared" si="37"/>
        <v>-0.42084508196721315</v>
      </c>
      <c r="F224" s="10">
        <f t="shared" si="48"/>
        <v>0.15195010331968867</v>
      </c>
      <c r="G224" s="10">
        <f t="shared" si="48"/>
        <v>0.17711058301599036</v>
      </c>
      <c r="H224" s="11">
        <f t="shared" si="45"/>
        <v>0.16404868603036732</v>
      </c>
      <c r="I224" s="12">
        <f t="shared" si="46"/>
        <v>0</v>
      </c>
      <c r="J224" s="28">
        <f t="shared" si="47"/>
        <v>0</v>
      </c>
      <c r="K224" s="30">
        <f t="shared" si="38"/>
        <v>0</v>
      </c>
      <c r="L224" s="5"/>
      <c r="M224" s="30">
        <f t="shared" si="39"/>
        <v>0</v>
      </c>
      <c r="N224" s="42">
        <f t="shared" si="40"/>
        <v>0</v>
      </c>
      <c r="O224" s="43">
        <f t="shared" si="41"/>
        <v>0</v>
      </c>
      <c r="P224" s="43">
        <f t="shared" si="42"/>
        <v>-0.34013437099999999</v>
      </c>
      <c r="Q224" s="43">
        <f t="shared" si="43"/>
        <v>-0.34013437099999999</v>
      </c>
      <c r="R224" s="43">
        <f t="shared" si="44"/>
        <v>0.11569139033556564</v>
      </c>
    </row>
    <row r="225" spans="1:18" ht="15.75" customHeight="1" x14ac:dyDescent="0.3">
      <c r="A225" s="47">
        <v>38207</v>
      </c>
      <c r="B225" s="48">
        <v>0</v>
      </c>
      <c r="C225" s="49">
        <v>0</v>
      </c>
      <c r="D225" s="10">
        <f t="shared" si="36"/>
        <v>-0.38980777739764078</v>
      </c>
      <c r="E225" s="10">
        <f t="shared" si="37"/>
        <v>-0.42084508196721315</v>
      </c>
      <c r="F225" s="10">
        <f t="shared" si="48"/>
        <v>0.15195010331968867</v>
      </c>
      <c r="G225" s="10">
        <f t="shared" si="48"/>
        <v>0.17711058301599036</v>
      </c>
      <c r="H225" s="11">
        <f t="shared" si="45"/>
        <v>0.16404868603036732</v>
      </c>
      <c r="I225" s="12">
        <f t="shared" si="46"/>
        <v>0</v>
      </c>
      <c r="J225" s="28">
        <f t="shared" si="47"/>
        <v>0</v>
      </c>
      <c r="K225" s="30">
        <f t="shared" si="38"/>
        <v>0</v>
      </c>
      <c r="L225" s="5"/>
      <c r="M225" s="30">
        <f t="shared" si="39"/>
        <v>0</v>
      </c>
      <c r="N225" s="42">
        <f t="shared" si="40"/>
        <v>0</v>
      </c>
      <c r="O225" s="43">
        <f t="shared" si="41"/>
        <v>0</v>
      </c>
      <c r="P225" s="43">
        <f t="shared" si="42"/>
        <v>-0.34013437099999999</v>
      </c>
      <c r="Q225" s="43">
        <f t="shared" si="43"/>
        <v>-0.34013437099999999</v>
      </c>
      <c r="R225" s="43">
        <f t="shared" si="44"/>
        <v>0.11569139033556564</v>
      </c>
    </row>
    <row r="226" spans="1:18" ht="15.75" customHeight="1" x14ac:dyDescent="0.3">
      <c r="A226" s="47">
        <v>38208</v>
      </c>
      <c r="B226" s="48">
        <v>0</v>
      </c>
      <c r="C226" s="49">
        <v>0</v>
      </c>
      <c r="D226" s="10">
        <f t="shared" si="36"/>
        <v>-0.38980777739764078</v>
      </c>
      <c r="E226" s="10">
        <f t="shared" si="37"/>
        <v>-0.42084508196721315</v>
      </c>
      <c r="F226" s="10">
        <f t="shared" si="48"/>
        <v>0.15195010331968867</v>
      </c>
      <c r="G226" s="10">
        <f t="shared" si="48"/>
        <v>0.17711058301599036</v>
      </c>
      <c r="H226" s="11">
        <f t="shared" si="45"/>
        <v>0.16404868603036732</v>
      </c>
      <c r="I226" s="12">
        <f t="shared" si="46"/>
        <v>0</v>
      </c>
      <c r="J226" s="28">
        <f t="shared" si="47"/>
        <v>0</v>
      </c>
      <c r="K226" s="30">
        <f t="shared" si="38"/>
        <v>0</v>
      </c>
      <c r="L226" s="5"/>
      <c r="M226" s="30">
        <f t="shared" si="39"/>
        <v>0</v>
      </c>
      <c r="N226" s="42">
        <f t="shared" si="40"/>
        <v>0</v>
      </c>
      <c r="O226" s="43">
        <f t="shared" si="41"/>
        <v>0</v>
      </c>
      <c r="P226" s="43">
        <f t="shared" si="42"/>
        <v>-0.34013437099999999</v>
      </c>
      <c r="Q226" s="43">
        <f t="shared" si="43"/>
        <v>-0.34013437099999999</v>
      </c>
      <c r="R226" s="43">
        <f t="shared" si="44"/>
        <v>0.11569139033556564</v>
      </c>
    </row>
    <row r="227" spans="1:18" ht="15.75" customHeight="1" x14ac:dyDescent="0.3">
      <c r="A227" s="47">
        <v>38209</v>
      </c>
      <c r="B227" s="48">
        <v>0</v>
      </c>
      <c r="C227" s="49">
        <v>0</v>
      </c>
      <c r="D227" s="10">
        <f t="shared" si="36"/>
        <v>-0.38980777739764078</v>
      </c>
      <c r="E227" s="10">
        <f t="shared" si="37"/>
        <v>-0.42084508196721315</v>
      </c>
      <c r="F227" s="10">
        <f t="shared" si="48"/>
        <v>0.15195010331968867</v>
      </c>
      <c r="G227" s="10">
        <f t="shared" si="48"/>
        <v>0.17711058301599036</v>
      </c>
      <c r="H227" s="11">
        <f t="shared" si="45"/>
        <v>0.16404868603036732</v>
      </c>
      <c r="I227" s="12">
        <f t="shared" si="46"/>
        <v>0</v>
      </c>
      <c r="J227" s="28">
        <f t="shared" si="47"/>
        <v>0</v>
      </c>
      <c r="K227" s="30">
        <f t="shared" si="38"/>
        <v>0</v>
      </c>
      <c r="L227" s="5"/>
      <c r="M227" s="30">
        <f t="shared" si="39"/>
        <v>0</v>
      </c>
      <c r="N227" s="42">
        <f t="shared" si="40"/>
        <v>0</v>
      </c>
      <c r="O227" s="43">
        <f t="shared" si="41"/>
        <v>0</v>
      </c>
      <c r="P227" s="43">
        <f t="shared" si="42"/>
        <v>-0.34013437099999999</v>
      </c>
      <c r="Q227" s="43">
        <f t="shared" si="43"/>
        <v>-0.34013437099999999</v>
      </c>
      <c r="R227" s="43">
        <f t="shared" si="44"/>
        <v>0.11569139033556564</v>
      </c>
    </row>
    <row r="228" spans="1:18" ht="15.75" customHeight="1" x14ac:dyDescent="0.3">
      <c r="A228" s="47">
        <v>38210</v>
      </c>
      <c r="B228" s="48">
        <v>0</v>
      </c>
      <c r="C228" s="49">
        <v>0</v>
      </c>
      <c r="D228" s="10">
        <f t="shared" si="36"/>
        <v>-0.38980777739764078</v>
      </c>
      <c r="E228" s="10">
        <f t="shared" si="37"/>
        <v>-0.42084508196721315</v>
      </c>
      <c r="F228" s="10">
        <f t="shared" si="48"/>
        <v>0.15195010331968867</v>
      </c>
      <c r="G228" s="10">
        <f t="shared" si="48"/>
        <v>0.17711058301599036</v>
      </c>
      <c r="H228" s="11">
        <f t="shared" si="45"/>
        <v>0.16404868603036732</v>
      </c>
      <c r="I228" s="12">
        <f t="shared" si="46"/>
        <v>0</v>
      </c>
      <c r="J228" s="28">
        <f t="shared" si="47"/>
        <v>0</v>
      </c>
      <c r="K228" s="30">
        <f t="shared" si="38"/>
        <v>0</v>
      </c>
      <c r="L228" s="5"/>
      <c r="M228" s="30">
        <f t="shared" si="39"/>
        <v>0</v>
      </c>
      <c r="N228" s="42">
        <f t="shared" si="40"/>
        <v>0</v>
      </c>
      <c r="O228" s="43">
        <f t="shared" si="41"/>
        <v>0</v>
      </c>
      <c r="P228" s="43">
        <f t="shared" si="42"/>
        <v>-0.34013437099999999</v>
      </c>
      <c r="Q228" s="43">
        <f t="shared" si="43"/>
        <v>-0.34013437099999999</v>
      </c>
      <c r="R228" s="43">
        <f t="shared" si="44"/>
        <v>0.11569139033556564</v>
      </c>
    </row>
    <row r="229" spans="1:18" ht="15.75" customHeight="1" x14ac:dyDescent="0.3">
      <c r="A229" s="47">
        <v>38211</v>
      </c>
      <c r="B229" s="48">
        <v>0</v>
      </c>
      <c r="C229" s="49">
        <v>0</v>
      </c>
      <c r="D229" s="10">
        <f t="shared" si="36"/>
        <v>-0.38980777739764078</v>
      </c>
      <c r="E229" s="10">
        <f t="shared" si="37"/>
        <v>-0.42084508196721315</v>
      </c>
      <c r="F229" s="10">
        <f t="shared" si="48"/>
        <v>0.15195010331968867</v>
      </c>
      <c r="G229" s="10">
        <f t="shared" si="48"/>
        <v>0.17711058301599036</v>
      </c>
      <c r="H229" s="11">
        <f t="shared" si="45"/>
        <v>0.16404868603036732</v>
      </c>
      <c r="I229" s="12">
        <f t="shared" si="46"/>
        <v>0</v>
      </c>
      <c r="J229" s="28">
        <f t="shared" si="47"/>
        <v>0</v>
      </c>
      <c r="K229" s="30">
        <f t="shared" si="38"/>
        <v>0</v>
      </c>
      <c r="L229" s="5"/>
      <c r="M229" s="30">
        <f t="shared" si="39"/>
        <v>0</v>
      </c>
      <c r="N229" s="42">
        <f t="shared" si="40"/>
        <v>0</v>
      </c>
      <c r="O229" s="43">
        <f t="shared" si="41"/>
        <v>0</v>
      </c>
      <c r="P229" s="43">
        <f t="shared" si="42"/>
        <v>-0.34013437099999999</v>
      </c>
      <c r="Q229" s="43">
        <f t="shared" si="43"/>
        <v>-0.34013437099999999</v>
      </c>
      <c r="R229" s="43">
        <f t="shared" si="44"/>
        <v>0.11569139033556564</v>
      </c>
    </row>
    <row r="230" spans="1:18" ht="15.75" customHeight="1" x14ac:dyDescent="0.3">
      <c r="A230" s="47">
        <v>38212</v>
      </c>
      <c r="B230" s="48">
        <v>0</v>
      </c>
      <c r="C230" s="49">
        <v>0</v>
      </c>
      <c r="D230" s="10">
        <f t="shared" si="36"/>
        <v>-0.38980777739764078</v>
      </c>
      <c r="E230" s="10">
        <f t="shared" si="37"/>
        <v>-0.42084508196721315</v>
      </c>
      <c r="F230" s="10">
        <f t="shared" si="48"/>
        <v>0.15195010331968867</v>
      </c>
      <c r="G230" s="10">
        <f t="shared" si="48"/>
        <v>0.17711058301599036</v>
      </c>
      <c r="H230" s="11">
        <f t="shared" si="45"/>
        <v>0.16404868603036732</v>
      </c>
      <c r="I230" s="12">
        <f t="shared" si="46"/>
        <v>0</v>
      </c>
      <c r="J230" s="28">
        <f t="shared" si="47"/>
        <v>0</v>
      </c>
      <c r="K230" s="30">
        <f t="shared" si="38"/>
        <v>0</v>
      </c>
      <c r="L230" s="5"/>
      <c r="M230" s="30">
        <f t="shared" si="39"/>
        <v>0</v>
      </c>
      <c r="N230" s="42">
        <f t="shared" si="40"/>
        <v>0</v>
      </c>
      <c r="O230" s="43">
        <f t="shared" si="41"/>
        <v>0</v>
      </c>
      <c r="P230" s="43">
        <f t="shared" si="42"/>
        <v>-0.34013437099999999</v>
      </c>
      <c r="Q230" s="43">
        <f t="shared" si="43"/>
        <v>-0.34013437099999999</v>
      </c>
      <c r="R230" s="43">
        <f t="shared" si="44"/>
        <v>0.11569139033556564</v>
      </c>
    </row>
    <row r="231" spans="1:18" ht="15.75" customHeight="1" x14ac:dyDescent="0.3">
      <c r="A231" s="47">
        <v>38213</v>
      </c>
      <c r="B231" s="48">
        <v>0</v>
      </c>
      <c r="C231" s="49">
        <v>0</v>
      </c>
      <c r="D231" s="10">
        <f t="shared" si="36"/>
        <v>-0.38980777739764078</v>
      </c>
      <c r="E231" s="10">
        <f t="shared" si="37"/>
        <v>-0.42084508196721315</v>
      </c>
      <c r="F231" s="10">
        <f t="shared" si="48"/>
        <v>0.15195010331968867</v>
      </c>
      <c r="G231" s="10">
        <f t="shared" si="48"/>
        <v>0.17711058301599036</v>
      </c>
      <c r="H231" s="11">
        <f t="shared" si="45"/>
        <v>0.16404868603036732</v>
      </c>
      <c r="I231" s="12">
        <f t="shared" si="46"/>
        <v>0</v>
      </c>
      <c r="J231" s="28">
        <f t="shared" si="47"/>
        <v>0</v>
      </c>
      <c r="K231" s="30">
        <f t="shared" si="38"/>
        <v>0</v>
      </c>
      <c r="L231" s="5"/>
      <c r="M231" s="30">
        <f t="shared" si="39"/>
        <v>0</v>
      </c>
      <c r="N231" s="42">
        <f t="shared" si="40"/>
        <v>0</v>
      </c>
      <c r="O231" s="43">
        <f t="shared" si="41"/>
        <v>0</v>
      </c>
      <c r="P231" s="43">
        <f t="shared" si="42"/>
        <v>-0.34013437099999999</v>
      </c>
      <c r="Q231" s="43">
        <f t="shared" si="43"/>
        <v>-0.34013437099999999</v>
      </c>
      <c r="R231" s="43">
        <f t="shared" si="44"/>
        <v>0.11569139033556564</v>
      </c>
    </row>
    <row r="232" spans="1:18" ht="15.75" customHeight="1" x14ac:dyDescent="0.3">
      <c r="A232" s="47">
        <v>38214</v>
      </c>
      <c r="B232" s="48">
        <v>0</v>
      </c>
      <c r="C232" s="49">
        <v>0</v>
      </c>
      <c r="D232" s="10">
        <f t="shared" si="36"/>
        <v>-0.38980777739764078</v>
      </c>
      <c r="E232" s="10">
        <f t="shared" si="37"/>
        <v>-0.42084508196721315</v>
      </c>
      <c r="F232" s="10">
        <f t="shared" si="48"/>
        <v>0.15195010331968867</v>
      </c>
      <c r="G232" s="10">
        <f t="shared" si="48"/>
        <v>0.17711058301599036</v>
      </c>
      <c r="H232" s="11">
        <f t="shared" si="45"/>
        <v>0.16404868603036732</v>
      </c>
      <c r="I232" s="12">
        <f t="shared" si="46"/>
        <v>0</v>
      </c>
      <c r="J232" s="28">
        <f t="shared" si="47"/>
        <v>0</v>
      </c>
      <c r="K232" s="30">
        <f t="shared" si="38"/>
        <v>0</v>
      </c>
      <c r="L232" s="5"/>
      <c r="M232" s="30">
        <f t="shared" si="39"/>
        <v>0</v>
      </c>
      <c r="N232" s="42">
        <f t="shared" si="40"/>
        <v>0</v>
      </c>
      <c r="O232" s="43">
        <f t="shared" si="41"/>
        <v>0</v>
      </c>
      <c r="P232" s="43">
        <f t="shared" si="42"/>
        <v>-0.34013437099999999</v>
      </c>
      <c r="Q232" s="43">
        <f t="shared" si="43"/>
        <v>-0.34013437099999999</v>
      </c>
      <c r="R232" s="43">
        <f t="shared" si="44"/>
        <v>0.11569139033556564</v>
      </c>
    </row>
    <row r="233" spans="1:18" ht="15.75" customHeight="1" x14ac:dyDescent="0.3">
      <c r="A233" s="47">
        <v>38215</v>
      </c>
      <c r="B233" s="48">
        <v>0</v>
      </c>
      <c r="C233" s="49">
        <v>0</v>
      </c>
      <c r="D233" s="10">
        <f t="shared" si="36"/>
        <v>-0.38980777739764078</v>
      </c>
      <c r="E233" s="10">
        <f t="shared" si="37"/>
        <v>-0.42084508196721315</v>
      </c>
      <c r="F233" s="10">
        <f t="shared" si="48"/>
        <v>0.15195010331968867</v>
      </c>
      <c r="G233" s="10">
        <f t="shared" si="48"/>
        <v>0.17711058301599036</v>
      </c>
      <c r="H233" s="11">
        <f t="shared" si="45"/>
        <v>0.16404868603036732</v>
      </c>
      <c r="I233" s="12">
        <f t="shared" si="46"/>
        <v>0</v>
      </c>
      <c r="J233" s="28">
        <f t="shared" si="47"/>
        <v>0</v>
      </c>
      <c r="K233" s="30">
        <f t="shared" si="38"/>
        <v>0</v>
      </c>
      <c r="L233" s="5"/>
      <c r="M233" s="30">
        <f t="shared" si="39"/>
        <v>0</v>
      </c>
      <c r="N233" s="42">
        <f t="shared" si="40"/>
        <v>0</v>
      </c>
      <c r="O233" s="43">
        <f t="shared" si="41"/>
        <v>0</v>
      </c>
      <c r="P233" s="43">
        <f t="shared" si="42"/>
        <v>-0.34013437099999999</v>
      </c>
      <c r="Q233" s="43">
        <f t="shared" si="43"/>
        <v>-0.34013437099999999</v>
      </c>
      <c r="R233" s="43">
        <f t="shared" si="44"/>
        <v>0.11569139033556564</v>
      </c>
    </row>
    <row r="234" spans="1:18" ht="15.75" customHeight="1" x14ac:dyDescent="0.3">
      <c r="A234" s="47">
        <v>38216</v>
      </c>
      <c r="B234" s="48">
        <v>0</v>
      </c>
      <c r="C234" s="49">
        <v>0</v>
      </c>
      <c r="D234" s="10">
        <f t="shared" si="36"/>
        <v>-0.38980777739764078</v>
      </c>
      <c r="E234" s="10">
        <f t="shared" si="37"/>
        <v>-0.42084508196721315</v>
      </c>
      <c r="F234" s="10">
        <f t="shared" si="48"/>
        <v>0.15195010331968867</v>
      </c>
      <c r="G234" s="10">
        <f t="shared" si="48"/>
        <v>0.17711058301599036</v>
      </c>
      <c r="H234" s="11">
        <f t="shared" si="45"/>
        <v>0.16404868603036732</v>
      </c>
      <c r="I234" s="12">
        <f t="shared" si="46"/>
        <v>0</v>
      </c>
      <c r="J234" s="28">
        <f t="shared" si="47"/>
        <v>0</v>
      </c>
      <c r="K234" s="30">
        <f t="shared" si="38"/>
        <v>0</v>
      </c>
      <c r="L234" s="5"/>
      <c r="M234" s="30">
        <f t="shared" si="39"/>
        <v>0</v>
      </c>
      <c r="N234" s="42">
        <f t="shared" si="40"/>
        <v>0</v>
      </c>
      <c r="O234" s="43">
        <f t="shared" si="41"/>
        <v>0</v>
      </c>
      <c r="P234" s="43">
        <f t="shared" si="42"/>
        <v>-0.34013437099999999</v>
      </c>
      <c r="Q234" s="43">
        <f t="shared" si="43"/>
        <v>-0.34013437099999999</v>
      </c>
      <c r="R234" s="43">
        <f t="shared" si="44"/>
        <v>0.11569139033556564</v>
      </c>
    </row>
    <row r="235" spans="1:18" ht="15.75" customHeight="1" x14ac:dyDescent="0.3">
      <c r="A235" s="47">
        <v>38217</v>
      </c>
      <c r="B235" s="48">
        <v>0</v>
      </c>
      <c r="C235" s="49">
        <v>0</v>
      </c>
      <c r="D235" s="10">
        <f t="shared" si="36"/>
        <v>-0.38980777739764078</v>
      </c>
      <c r="E235" s="10">
        <f t="shared" si="37"/>
        <v>-0.42084508196721315</v>
      </c>
      <c r="F235" s="10">
        <f t="shared" si="48"/>
        <v>0.15195010331968867</v>
      </c>
      <c r="G235" s="10">
        <f t="shared" si="48"/>
        <v>0.17711058301599036</v>
      </c>
      <c r="H235" s="11">
        <f t="shared" si="45"/>
        <v>0.16404868603036732</v>
      </c>
      <c r="I235" s="12">
        <f t="shared" si="46"/>
        <v>0</v>
      </c>
      <c r="J235" s="28">
        <f t="shared" si="47"/>
        <v>0</v>
      </c>
      <c r="K235" s="30">
        <f t="shared" si="38"/>
        <v>0</v>
      </c>
      <c r="L235" s="5"/>
      <c r="M235" s="30">
        <f t="shared" si="39"/>
        <v>0</v>
      </c>
      <c r="N235" s="42">
        <f t="shared" si="40"/>
        <v>0</v>
      </c>
      <c r="O235" s="43">
        <f t="shared" si="41"/>
        <v>0</v>
      </c>
      <c r="P235" s="43">
        <f t="shared" si="42"/>
        <v>-0.34013437099999999</v>
      </c>
      <c r="Q235" s="43">
        <f t="shared" si="43"/>
        <v>-0.34013437099999999</v>
      </c>
      <c r="R235" s="43">
        <f t="shared" si="44"/>
        <v>0.11569139033556564</v>
      </c>
    </row>
    <row r="236" spans="1:18" ht="15.75" customHeight="1" x14ac:dyDescent="0.3">
      <c r="A236" s="47">
        <v>38218</v>
      </c>
      <c r="B236" s="48">
        <v>0</v>
      </c>
      <c r="C236" s="49">
        <v>0</v>
      </c>
      <c r="D236" s="10">
        <f t="shared" si="36"/>
        <v>-0.38980777739764078</v>
      </c>
      <c r="E236" s="10">
        <f t="shared" si="37"/>
        <v>-0.42084508196721315</v>
      </c>
      <c r="F236" s="10">
        <f t="shared" si="48"/>
        <v>0.15195010331968867</v>
      </c>
      <c r="G236" s="10">
        <f t="shared" si="48"/>
        <v>0.17711058301599036</v>
      </c>
      <c r="H236" s="11">
        <f t="shared" si="45"/>
        <v>0.16404868603036732</v>
      </c>
      <c r="I236" s="12">
        <f t="shared" si="46"/>
        <v>0</v>
      </c>
      <c r="J236" s="28">
        <f t="shared" si="47"/>
        <v>0</v>
      </c>
      <c r="K236" s="30">
        <f t="shared" si="38"/>
        <v>0</v>
      </c>
      <c r="L236" s="5"/>
      <c r="M236" s="30">
        <f t="shared" si="39"/>
        <v>0</v>
      </c>
      <c r="N236" s="42">
        <f t="shared" si="40"/>
        <v>0</v>
      </c>
      <c r="O236" s="43">
        <f t="shared" si="41"/>
        <v>0</v>
      </c>
      <c r="P236" s="43">
        <f t="shared" si="42"/>
        <v>-0.34013437099999999</v>
      </c>
      <c r="Q236" s="43">
        <f t="shared" si="43"/>
        <v>-0.34013437099999999</v>
      </c>
      <c r="R236" s="43">
        <f t="shared" si="44"/>
        <v>0.11569139033556564</v>
      </c>
    </row>
    <row r="237" spans="1:18" ht="15.75" customHeight="1" x14ac:dyDescent="0.3">
      <c r="A237" s="47">
        <v>38219</v>
      </c>
      <c r="B237" s="48">
        <v>0</v>
      </c>
      <c r="C237" s="49">
        <v>0</v>
      </c>
      <c r="D237" s="10">
        <f t="shared" si="36"/>
        <v>-0.38980777739764078</v>
      </c>
      <c r="E237" s="10">
        <f t="shared" si="37"/>
        <v>-0.42084508196721315</v>
      </c>
      <c r="F237" s="10">
        <f t="shared" si="48"/>
        <v>0.15195010331968867</v>
      </c>
      <c r="G237" s="10">
        <f t="shared" si="48"/>
        <v>0.17711058301599036</v>
      </c>
      <c r="H237" s="11">
        <f t="shared" si="45"/>
        <v>0.16404868603036732</v>
      </c>
      <c r="I237" s="12">
        <f t="shared" si="46"/>
        <v>0</v>
      </c>
      <c r="J237" s="28">
        <f t="shared" si="47"/>
        <v>0</v>
      </c>
      <c r="K237" s="30">
        <f t="shared" si="38"/>
        <v>0</v>
      </c>
      <c r="L237" s="5"/>
      <c r="M237" s="30">
        <f t="shared" si="39"/>
        <v>0</v>
      </c>
      <c r="N237" s="42">
        <f t="shared" si="40"/>
        <v>0</v>
      </c>
      <c r="O237" s="43">
        <f t="shared" si="41"/>
        <v>0</v>
      </c>
      <c r="P237" s="43">
        <f t="shared" si="42"/>
        <v>-0.34013437099999999</v>
      </c>
      <c r="Q237" s="43">
        <f t="shared" si="43"/>
        <v>-0.34013437099999999</v>
      </c>
      <c r="R237" s="43">
        <f t="shared" si="44"/>
        <v>0.11569139033556564</v>
      </c>
    </row>
    <row r="238" spans="1:18" ht="15.75" customHeight="1" x14ac:dyDescent="0.3">
      <c r="A238" s="47">
        <v>38220</v>
      </c>
      <c r="B238" s="48">
        <v>0</v>
      </c>
      <c r="C238" s="49">
        <v>0</v>
      </c>
      <c r="D238" s="10">
        <f t="shared" si="36"/>
        <v>-0.38980777739764078</v>
      </c>
      <c r="E238" s="10">
        <f t="shared" si="37"/>
        <v>-0.42084508196721315</v>
      </c>
      <c r="F238" s="10">
        <f t="shared" si="48"/>
        <v>0.15195010331968867</v>
      </c>
      <c r="G238" s="10">
        <f t="shared" si="48"/>
        <v>0.17711058301599036</v>
      </c>
      <c r="H238" s="11">
        <f t="shared" si="45"/>
        <v>0.16404868603036732</v>
      </c>
      <c r="I238" s="12">
        <f t="shared" si="46"/>
        <v>0</v>
      </c>
      <c r="J238" s="28">
        <f t="shared" si="47"/>
        <v>0</v>
      </c>
      <c r="K238" s="30">
        <f t="shared" si="38"/>
        <v>0</v>
      </c>
      <c r="L238" s="5"/>
      <c r="M238" s="30">
        <f t="shared" si="39"/>
        <v>0</v>
      </c>
      <c r="N238" s="42">
        <f t="shared" si="40"/>
        <v>0</v>
      </c>
      <c r="O238" s="43">
        <f t="shared" si="41"/>
        <v>0</v>
      </c>
      <c r="P238" s="43">
        <f t="shared" si="42"/>
        <v>-0.34013437099999999</v>
      </c>
      <c r="Q238" s="43">
        <f t="shared" si="43"/>
        <v>-0.34013437099999999</v>
      </c>
      <c r="R238" s="43">
        <f t="shared" si="44"/>
        <v>0.11569139033556564</v>
      </c>
    </row>
    <row r="239" spans="1:18" ht="15.75" customHeight="1" x14ac:dyDescent="0.3">
      <c r="A239" s="47">
        <v>38221</v>
      </c>
      <c r="B239" s="48">
        <v>0</v>
      </c>
      <c r="C239" s="49">
        <v>0</v>
      </c>
      <c r="D239" s="10">
        <f t="shared" si="36"/>
        <v>-0.38980777739764078</v>
      </c>
      <c r="E239" s="10">
        <f t="shared" si="37"/>
        <v>-0.42084508196721315</v>
      </c>
      <c r="F239" s="10">
        <f t="shared" si="48"/>
        <v>0.15195010331968867</v>
      </c>
      <c r="G239" s="10">
        <f t="shared" si="48"/>
        <v>0.17711058301599036</v>
      </c>
      <c r="H239" s="11">
        <f t="shared" si="45"/>
        <v>0.16404868603036732</v>
      </c>
      <c r="I239" s="12">
        <f t="shared" si="46"/>
        <v>0</v>
      </c>
      <c r="J239" s="28">
        <f t="shared" si="47"/>
        <v>0</v>
      </c>
      <c r="K239" s="30">
        <f t="shared" si="38"/>
        <v>0</v>
      </c>
      <c r="L239" s="5"/>
      <c r="M239" s="30">
        <f t="shared" si="39"/>
        <v>0</v>
      </c>
      <c r="N239" s="42">
        <f t="shared" si="40"/>
        <v>0</v>
      </c>
      <c r="O239" s="43">
        <f t="shared" si="41"/>
        <v>0</v>
      </c>
      <c r="P239" s="43">
        <f t="shared" si="42"/>
        <v>-0.34013437099999999</v>
      </c>
      <c r="Q239" s="43">
        <f t="shared" si="43"/>
        <v>-0.34013437099999999</v>
      </c>
      <c r="R239" s="43">
        <f t="shared" si="44"/>
        <v>0.11569139033556564</v>
      </c>
    </row>
    <row r="240" spans="1:18" ht="15.75" customHeight="1" x14ac:dyDescent="0.3">
      <c r="A240" s="47">
        <v>38222</v>
      </c>
      <c r="B240" s="48">
        <v>0</v>
      </c>
      <c r="C240" s="49">
        <v>0</v>
      </c>
      <c r="D240" s="10">
        <f t="shared" si="36"/>
        <v>-0.38980777739764078</v>
      </c>
      <c r="E240" s="10">
        <f t="shared" si="37"/>
        <v>-0.42084508196721315</v>
      </c>
      <c r="F240" s="10">
        <f t="shared" si="48"/>
        <v>0.15195010331968867</v>
      </c>
      <c r="G240" s="10">
        <f t="shared" si="48"/>
        <v>0.17711058301599036</v>
      </c>
      <c r="H240" s="11">
        <f t="shared" si="45"/>
        <v>0.16404868603036732</v>
      </c>
      <c r="I240" s="12">
        <f t="shared" si="46"/>
        <v>0</v>
      </c>
      <c r="J240" s="28">
        <f t="shared" si="47"/>
        <v>0</v>
      </c>
      <c r="K240" s="30">
        <f t="shared" si="38"/>
        <v>0</v>
      </c>
      <c r="L240" s="5"/>
      <c r="M240" s="30">
        <f t="shared" si="39"/>
        <v>0</v>
      </c>
      <c r="N240" s="42">
        <f t="shared" si="40"/>
        <v>0</v>
      </c>
      <c r="O240" s="43">
        <f t="shared" si="41"/>
        <v>0</v>
      </c>
      <c r="P240" s="43">
        <f t="shared" si="42"/>
        <v>-0.34013437099999999</v>
      </c>
      <c r="Q240" s="43">
        <f t="shared" si="43"/>
        <v>-0.34013437099999999</v>
      </c>
      <c r="R240" s="43">
        <f t="shared" si="44"/>
        <v>0.11569139033556564</v>
      </c>
    </row>
    <row r="241" spans="1:18" ht="15.75" customHeight="1" x14ac:dyDescent="0.3">
      <c r="A241" s="47">
        <v>38223</v>
      </c>
      <c r="B241" s="48">
        <v>0</v>
      </c>
      <c r="C241" s="49">
        <v>0</v>
      </c>
      <c r="D241" s="10">
        <f t="shared" si="36"/>
        <v>-0.38980777739764078</v>
      </c>
      <c r="E241" s="10">
        <f t="shared" si="37"/>
        <v>-0.42084508196721315</v>
      </c>
      <c r="F241" s="10">
        <f t="shared" si="48"/>
        <v>0.15195010331968867</v>
      </c>
      <c r="G241" s="10">
        <f t="shared" si="48"/>
        <v>0.17711058301599036</v>
      </c>
      <c r="H241" s="11">
        <f t="shared" si="45"/>
        <v>0.16404868603036732</v>
      </c>
      <c r="I241" s="12">
        <f t="shared" si="46"/>
        <v>0</v>
      </c>
      <c r="J241" s="28">
        <f t="shared" si="47"/>
        <v>0</v>
      </c>
      <c r="K241" s="30">
        <f t="shared" si="38"/>
        <v>0</v>
      </c>
      <c r="L241" s="5"/>
      <c r="M241" s="30">
        <f t="shared" si="39"/>
        <v>0</v>
      </c>
      <c r="N241" s="42">
        <f t="shared" si="40"/>
        <v>0</v>
      </c>
      <c r="O241" s="43">
        <f t="shared" si="41"/>
        <v>0</v>
      </c>
      <c r="P241" s="43">
        <f t="shared" si="42"/>
        <v>-0.34013437099999999</v>
      </c>
      <c r="Q241" s="43">
        <f t="shared" si="43"/>
        <v>-0.34013437099999999</v>
      </c>
      <c r="R241" s="43">
        <f t="shared" si="44"/>
        <v>0.11569139033556564</v>
      </c>
    </row>
    <row r="242" spans="1:18" ht="15.75" customHeight="1" x14ac:dyDescent="0.3">
      <c r="A242" s="47">
        <v>38224</v>
      </c>
      <c r="B242" s="48">
        <v>0</v>
      </c>
      <c r="C242" s="49">
        <v>0</v>
      </c>
      <c r="D242" s="10">
        <f t="shared" si="36"/>
        <v>-0.38980777739764078</v>
      </c>
      <c r="E242" s="10">
        <f t="shared" si="37"/>
        <v>-0.42084508196721315</v>
      </c>
      <c r="F242" s="10">
        <f t="shared" si="48"/>
        <v>0.15195010331968867</v>
      </c>
      <c r="G242" s="10">
        <f t="shared" si="48"/>
        <v>0.17711058301599036</v>
      </c>
      <c r="H242" s="11">
        <f t="shared" si="45"/>
        <v>0.16404868603036732</v>
      </c>
      <c r="I242" s="12">
        <f t="shared" si="46"/>
        <v>0</v>
      </c>
      <c r="J242" s="28">
        <f t="shared" si="47"/>
        <v>0</v>
      </c>
      <c r="K242" s="30">
        <f t="shared" si="38"/>
        <v>0</v>
      </c>
      <c r="L242" s="5"/>
      <c r="M242" s="30">
        <f t="shared" si="39"/>
        <v>0</v>
      </c>
      <c r="N242" s="42">
        <f t="shared" si="40"/>
        <v>0</v>
      </c>
      <c r="O242" s="43">
        <f t="shared" si="41"/>
        <v>0</v>
      </c>
      <c r="P242" s="43">
        <f t="shared" si="42"/>
        <v>-0.34013437099999999</v>
      </c>
      <c r="Q242" s="43">
        <f t="shared" si="43"/>
        <v>-0.34013437099999999</v>
      </c>
      <c r="R242" s="43">
        <f t="shared" si="44"/>
        <v>0.11569139033556564</v>
      </c>
    </row>
    <row r="243" spans="1:18" ht="15.75" customHeight="1" x14ac:dyDescent="0.3">
      <c r="A243" s="47">
        <v>38225</v>
      </c>
      <c r="B243" s="48">
        <v>0</v>
      </c>
      <c r="C243" s="49">
        <v>0</v>
      </c>
      <c r="D243" s="10">
        <f t="shared" si="36"/>
        <v>-0.38980777739764078</v>
      </c>
      <c r="E243" s="10">
        <f t="shared" si="37"/>
        <v>-0.42084508196721315</v>
      </c>
      <c r="F243" s="10">
        <f t="shared" si="48"/>
        <v>0.15195010331968867</v>
      </c>
      <c r="G243" s="10">
        <f t="shared" si="48"/>
        <v>0.17711058301599036</v>
      </c>
      <c r="H243" s="11">
        <f t="shared" si="45"/>
        <v>0.16404868603036732</v>
      </c>
      <c r="I243" s="12">
        <f t="shared" si="46"/>
        <v>0</v>
      </c>
      <c r="J243" s="28">
        <f t="shared" si="47"/>
        <v>0</v>
      </c>
      <c r="K243" s="30">
        <f t="shared" si="38"/>
        <v>0</v>
      </c>
      <c r="L243" s="5"/>
      <c r="M243" s="30">
        <f t="shared" si="39"/>
        <v>0</v>
      </c>
      <c r="N243" s="42">
        <f t="shared" si="40"/>
        <v>0</v>
      </c>
      <c r="O243" s="43">
        <f t="shared" si="41"/>
        <v>0</v>
      </c>
      <c r="P243" s="43">
        <f t="shared" si="42"/>
        <v>-0.34013437099999999</v>
      </c>
      <c r="Q243" s="43">
        <f t="shared" si="43"/>
        <v>-0.34013437099999999</v>
      </c>
      <c r="R243" s="43">
        <f t="shared" si="44"/>
        <v>0.11569139033556564</v>
      </c>
    </row>
    <row r="244" spans="1:18" ht="15.75" customHeight="1" x14ac:dyDescent="0.3">
      <c r="A244" s="47">
        <v>38226</v>
      </c>
      <c r="B244" s="48">
        <v>0</v>
      </c>
      <c r="C244" s="49">
        <v>0</v>
      </c>
      <c r="D244" s="10">
        <f t="shared" si="36"/>
        <v>-0.38980777739764078</v>
      </c>
      <c r="E244" s="10">
        <f t="shared" si="37"/>
        <v>-0.42084508196721315</v>
      </c>
      <c r="F244" s="10">
        <f t="shared" si="48"/>
        <v>0.15195010331968867</v>
      </c>
      <c r="G244" s="10">
        <f t="shared" si="48"/>
        <v>0.17711058301599036</v>
      </c>
      <c r="H244" s="11">
        <f t="shared" si="45"/>
        <v>0.16404868603036732</v>
      </c>
      <c r="I244" s="12">
        <f t="shared" si="46"/>
        <v>0</v>
      </c>
      <c r="J244" s="28">
        <f t="shared" si="47"/>
        <v>0</v>
      </c>
      <c r="K244" s="30">
        <f t="shared" si="38"/>
        <v>0</v>
      </c>
      <c r="L244" s="5"/>
      <c r="M244" s="30">
        <f t="shared" si="39"/>
        <v>0</v>
      </c>
      <c r="N244" s="42">
        <f t="shared" si="40"/>
        <v>0</v>
      </c>
      <c r="O244" s="43">
        <f t="shared" si="41"/>
        <v>0</v>
      </c>
      <c r="P244" s="43">
        <f t="shared" si="42"/>
        <v>-0.34013437099999999</v>
      </c>
      <c r="Q244" s="43">
        <f t="shared" si="43"/>
        <v>-0.34013437099999999</v>
      </c>
      <c r="R244" s="43">
        <f t="shared" si="44"/>
        <v>0.11569139033556564</v>
      </c>
    </row>
    <row r="245" spans="1:18" ht="15.75" customHeight="1" x14ac:dyDescent="0.3">
      <c r="A245" s="47">
        <v>38227</v>
      </c>
      <c r="B245" s="48">
        <v>0</v>
      </c>
      <c r="C245" s="49">
        <v>0</v>
      </c>
      <c r="D245" s="10">
        <f t="shared" si="36"/>
        <v>-0.38980777739764078</v>
      </c>
      <c r="E245" s="10">
        <f t="shared" si="37"/>
        <v>-0.42084508196721315</v>
      </c>
      <c r="F245" s="10">
        <f t="shared" si="48"/>
        <v>0.15195010331968867</v>
      </c>
      <c r="G245" s="10">
        <f t="shared" si="48"/>
        <v>0.17711058301599036</v>
      </c>
      <c r="H245" s="11">
        <f t="shared" si="45"/>
        <v>0.16404868603036732</v>
      </c>
      <c r="I245" s="12">
        <f t="shared" si="46"/>
        <v>0</v>
      </c>
      <c r="J245" s="28">
        <f t="shared" si="47"/>
        <v>0</v>
      </c>
      <c r="K245" s="30">
        <f t="shared" si="38"/>
        <v>0</v>
      </c>
      <c r="L245" s="5"/>
      <c r="M245" s="30">
        <f t="shared" si="39"/>
        <v>0</v>
      </c>
      <c r="N245" s="42">
        <f t="shared" si="40"/>
        <v>0</v>
      </c>
      <c r="O245" s="43">
        <f t="shared" si="41"/>
        <v>0</v>
      </c>
      <c r="P245" s="43">
        <f t="shared" si="42"/>
        <v>-0.34013437099999999</v>
      </c>
      <c r="Q245" s="43">
        <f t="shared" si="43"/>
        <v>-0.34013437099999999</v>
      </c>
      <c r="R245" s="43">
        <f t="shared" si="44"/>
        <v>0.11569139033556564</v>
      </c>
    </row>
    <row r="246" spans="1:18" ht="15.75" customHeight="1" x14ac:dyDescent="0.3">
      <c r="A246" s="47">
        <v>38228</v>
      </c>
      <c r="B246" s="48">
        <v>0</v>
      </c>
      <c r="C246" s="49">
        <v>0</v>
      </c>
      <c r="D246" s="10">
        <f t="shared" si="36"/>
        <v>-0.38980777739764078</v>
      </c>
      <c r="E246" s="10">
        <f t="shared" si="37"/>
        <v>-0.42084508196721315</v>
      </c>
      <c r="F246" s="10">
        <f t="shared" si="48"/>
        <v>0.15195010331968867</v>
      </c>
      <c r="G246" s="10">
        <f t="shared" si="48"/>
        <v>0.17711058301599036</v>
      </c>
      <c r="H246" s="11">
        <f t="shared" si="45"/>
        <v>0.16404868603036732</v>
      </c>
      <c r="I246" s="12">
        <f t="shared" si="46"/>
        <v>0</v>
      </c>
      <c r="J246" s="28">
        <f t="shared" si="47"/>
        <v>0</v>
      </c>
      <c r="K246" s="30">
        <f t="shared" si="38"/>
        <v>0</v>
      </c>
      <c r="L246" s="5"/>
      <c r="M246" s="30">
        <f t="shared" si="39"/>
        <v>0</v>
      </c>
      <c r="N246" s="42">
        <f t="shared" si="40"/>
        <v>0</v>
      </c>
      <c r="O246" s="43">
        <f t="shared" si="41"/>
        <v>0</v>
      </c>
      <c r="P246" s="43">
        <f t="shared" si="42"/>
        <v>-0.34013437099999999</v>
      </c>
      <c r="Q246" s="43">
        <f t="shared" si="43"/>
        <v>-0.34013437099999999</v>
      </c>
      <c r="R246" s="43">
        <f t="shared" si="44"/>
        <v>0.11569139033556564</v>
      </c>
    </row>
    <row r="247" spans="1:18" ht="15.75" customHeight="1" x14ac:dyDescent="0.3">
      <c r="A247" s="47">
        <v>38229</v>
      </c>
      <c r="B247" s="48">
        <v>0</v>
      </c>
      <c r="C247" s="49">
        <v>0</v>
      </c>
      <c r="D247" s="10">
        <f t="shared" si="36"/>
        <v>-0.38980777739764078</v>
      </c>
      <c r="E247" s="10">
        <f t="shared" si="37"/>
        <v>-0.42084508196721315</v>
      </c>
      <c r="F247" s="10">
        <f t="shared" si="48"/>
        <v>0.15195010331968867</v>
      </c>
      <c r="G247" s="10">
        <f t="shared" si="48"/>
        <v>0.17711058301599036</v>
      </c>
      <c r="H247" s="11">
        <f t="shared" si="45"/>
        <v>0.16404868603036732</v>
      </c>
      <c r="I247" s="12">
        <f t="shared" si="46"/>
        <v>0</v>
      </c>
      <c r="J247" s="28">
        <f t="shared" si="47"/>
        <v>0</v>
      </c>
      <c r="K247" s="30">
        <f t="shared" si="38"/>
        <v>0</v>
      </c>
      <c r="L247" s="5"/>
      <c r="M247" s="30">
        <f t="shared" si="39"/>
        <v>0</v>
      </c>
      <c r="N247" s="42">
        <f t="shared" si="40"/>
        <v>0</v>
      </c>
      <c r="O247" s="43">
        <f t="shared" si="41"/>
        <v>0</v>
      </c>
      <c r="P247" s="43">
        <f t="shared" si="42"/>
        <v>-0.34013437099999999</v>
      </c>
      <c r="Q247" s="43">
        <f t="shared" si="43"/>
        <v>-0.34013437099999999</v>
      </c>
      <c r="R247" s="43">
        <f t="shared" si="44"/>
        <v>0.11569139033556564</v>
      </c>
    </row>
    <row r="248" spans="1:18" ht="15.75" customHeight="1" x14ac:dyDescent="0.3">
      <c r="A248" s="47">
        <v>38230</v>
      </c>
      <c r="B248" s="48">
        <v>0</v>
      </c>
      <c r="C248" s="49">
        <v>0</v>
      </c>
      <c r="D248" s="10">
        <f t="shared" si="36"/>
        <v>-0.38980777739764078</v>
      </c>
      <c r="E248" s="10">
        <f t="shared" si="37"/>
        <v>-0.42084508196721315</v>
      </c>
      <c r="F248" s="10">
        <f t="shared" si="48"/>
        <v>0.15195010331968867</v>
      </c>
      <c r="G248" s="10">
        <f t="shared" si="48"/>
        <v>0.17711058301599036</v>
      </c>
      <c r="H248" s="11">
        <f t="shared" si="45"/>
        <v>0.16404868603036732</v>
      </c>
      <c r="I248" s="12">
        <f t="shared" si="46"/>
        <v>0</v>
      </c>
      <c r="J248" s="28">
        <f t="shared" si="47"/>
        <v>0</v>
      </c>
      <c r="K248" s="30">
        <f t="shared" si="38"/>
        <v>0</v>
      </c>
      <c r="L248" s="5"/>
      <c r="M248" s="30">
        <f t="shared" si="39"/>
        <v>0</v>
      </c>
      <c r="N248" s="42">
        <f t="shared" si="40"/>
        <v>0</v>
      </c>
      <c r="O248" s="43">
        <f t="shared" si="41"/>
        <v>0</v>
      </c>
      <c r="P248" s="43">
        <f t="shared" si="42"/>
        <v>-0.34013437099999999</v>
      </c>
      <c r="Q248" s="43">
        <f t="shared" si="43"/>
        <v>-0.34013437099999999</v>
      </c>
      <c r="R248" s="43">
        <f t="shared" si="44"/>
        <v>0.11569139033556564</v>
      </c>
    </row>
    <row r="249" spans="1:18" ht="15.75" customHeight="1" x14ac:dyDescent="0.3">
      <c r="A249" s="47">
        <v>38231</v>
      </c>
      <c r="B249" s="48">
        <v>0</v>
      </c>
      <c r="C249" s="49">
        <v>0</v>
      </c>
      <c r="D249" s="10">
        <f t="shared" si="36"/>
        <v>-0.38980777739764078</v>
      </c>
      <c r="E249" s="10">
        <f t="shared" si="37"/>
        <v>-0.42084508196721315</v>
      </c>
      <c r="F249" s="10">
        <f t="shared" si="48"/>
        <v>0.15195010331968867</v>
      </c>
      <c r="G249" s="10">
        <f t="shared" si="48"/>
        <v>0.17711058301599036</v>
      </c>
      <c r="H249" s="11">
        <f t="shared" si="45"/>
        <v>0.16404868603036732</v>
      </c>
      <c r="I249" s="12">
        <f t="shared" si="46"/>
        <v>0</v>
      </c>
      <c r="J249" s="28">
        <f t="shared" si="47"/>
        <v>0</v>
      </c>
      <c r="K249" s="30">
        <f t="shared" si="38"/>
        <v>0</v>
      </c>
      <c r="L249" s="5"/>
      <c r="M249" s="30">
        <f t="shared" si="39"/>
        <v>0</v>
      </c>
      <c r="N249" s="42">
        <f t="shared" si="40"/>
        <v>0</v>
      </c>
      <c r="O249" s="43">
        <f t="shared" si="41"/>
        <v>0</v>
      </c>
      <c r="P249" s="43">
        <f t="shared" si="42"/>
        <v>-0.34013437099999999</v>
      </c>
      <c r="Q249" s="43">
        <f t="shared" si="43"/>
        <v>-0.34013437099999999</v>
      </c>
      <c r="R249" s="43">
        <f t="shared" si="44"/>
        <v>0.11569139033556564</v>
      </c>
    </row>
    <row r="250" spans="1:18" ht="15.75" customHeight="1" x14ac:dyDescent="0.3">
      <c r="A250" s="47">
        <v>38232</v>
      </c>
      <c r="B250" s="48">
        <v>0</v>
      </c>
      <c r="C250" s="49">
        <v>0</v>
      </c>
      <c r="D250" s="10">
        <f t="shared" si="36"/>
        <v>-0.38980777739764078</v>
      </c>
      <c r="E250" s="10">
        <f t="shared" si="37"/>
        <v>-0.42084508196721315</v>
      </c>
      <c r="F250" s="10">
        <f t="shared" si="48"/>
        <v>0.15195010331968867</v>
      </c>
      <c r="G250" s="10">
        <f t="shared" si="48"/>
        <v>0.17711058301599036</v>
      </c>
      <c r="H250" s="11">
        <f t="shared" si="45"/>
        <v>0.16404868603036732</v>
      </c>
      <c r="I250" s="12">
        <f t="shared" si="46"/>
        <v>0</v>
      </c>
      <c r="J250" s="28">
        <f t="shared" si="47"/>
        <v>0</v>
      </c>
      <c r="K250" s="30">
        <f t="shared" si="38"/>
        <v>0</v>
      </c>
      <c r="L250" s="5"/>
      <c r="M250" s="30">
        <f t="shared" si="39"/>
        <v>0</v>
      </c>
      <c r="N250" s="42">
        <f t="shared" si="40"/>
        <v>0</v>
      </c>
      <c r="O250" s="43">
        <f t="shared" si="41"/>
        <v>0</v>
      </c>
      <c r="P250" s="43">
        <f t="shared" si="42"/>
        <v>-0.34013437099999999</v>
      </c>
      <c r="Q250" s="43">
        <f t="shared" si="43"/>
        <v>-0.34013437099999999</v>
      </c>
      <c r="R250" s="43">
        <f t="shared" si="44"/>
        <v>0.11569139033556564</v>
      </c>
    </row>
    <row r="251" spans="1:18" ht="15.75" customHeight="1" x14ac:dyDescent="0.3">
      <c r="A251" s="47">
        <v>38233</v>
      </c>
      <c r="B251" s="48">
        <v>0</v>
      </c>
      <c r="C251" s="49">
        <v>0</v>
      </c>
      <c r="D251" s="10">
        <f t="shared" si="36"/>
        <v>-0.38980777739764078</v>
      </c>
      <c r="E251" s="10">
        <f t="shared" si="37"/>
        <v>-0.42084508196721315</v>
      </c>
      <c r="F251" s="10">
        <f t="shared" si="48"/>
        <v>0.15195010331968867</v>
      </c>
      <c r="G251" s="10">
        <f t="shared" si="48"/>
        <v>0.17711058301599036</v>
      </c>
      <c r="H251" s="11">
        <f t="shared" si="45"/>
        <v>0.16404868603036732</v>
      </c>
      <c r="I251" s="12">
        <f t="shared" si="46"/>
        <v>0</v>
      </c>
      <c r="J251" s="28">
        <f t="shared" si="47"/>
        <v>0</v>
      </c>
      <c r="K251" s="30">
        <f t="shared" si="38"/>
        <v>0</v>
      </c>
      <c r="L251" s="5"/>
      <c r="M251" s="30">
        <f t="shared" si="39"/>
        <v>0</v>
      </c>
      <c r="N251" s="42">
        <f t="shared" si="40"/>
        <v>0</v>
      </c>
      <c r="O251" s="43">
        <f t="shared" si="41"/>
        <v>0</v>
      </c>
      <c r="P251" s="43">
        <f t="shared" si="42"/>
        <v>-0.34013437099999999</v>
      </c>
      <c r="Q251" s="43">
        <f t="shared" si="43"/>
        <v>-0.34013437099999999</v>
      </c>
      <c r="R251" s="43">
        <f t="shared" si="44"/>
        <v>0.11569139033556564</v>
      </c>
    </row>
    <row r="252" spans="1:18" ht="15.75" customHeight="1" x14ac:dyDescent="0.3">
      <c r="A252" s="47">
        <v>38234</v>
      </c>
      <c r="B252" s="48">
        <v>0</v>
      </c>
      <c r="C252" s="49">
        <v>0</v>
      </c>
      <c r="D252" s="10">
        <f t="shared" si="36"/>
        <v>-0.38980777739764078</v>
      </c>
      <c r="E252" s="10">
        <f t="shared" si="37"/>
        <v>-0.42084508196721315</v>
      </c>
      <c r="F252" s="10">
        <f t="shared" si="48"/>
        <v>0.15195010331968867</v>
      </c>
      <c r="G252" s="10">
        <f t="shared" si="48"/>
        <v>0.17711058301599036</v>
      </c>
      <c r="H252" s="11">
        <f t="shared" si="45"/>
        <v>0.16404868603036732</v>
      </c>
      <c r="I252" s="12">
        <f t="shared" si="46"/>
        <v>0</v>
      </c>
      <c r="J252" s="28">
        <f t="shared" si="47"/>
        <v>0</v>
      </c>
      <c r="K252" s="30">
        <f t="shared" si="38"/>
        <v>0</v>
      </c>
      <c r="L252" s="5"/>
      <c r="M252" s="30">
        <f t="shared" si="39"/>
        <v>0</v>
      </c>
      <c r="N252" s="42">
        <f t="shared" si="40"/>
        <v>0</v>
      </c>
      <c r="O252" s="43">
        <f t="shared" si="41"/>
        <v>0</v>
      </c>
      <c r="P252" s="43">
        <f t="shared" si="42"/>
        <v>-0.34013437099999999</v>
      </c>
      <c r="Q252" s="43">
        <f t="shared" si="43"/>
        <v>-0.34013437099999999</v>
      </c>
      <c r="R252" s="43">
        <f t="shared" si="44"/>
        <v>0.11569139033556564</v>
      </c>
    </row>
    <row r="253" spans="1:18" ht="15.75" customHeight="1" x14ac:dyDescent="0.3">
      <c r="A253" s="47">
        <v>38235</v>
      </c>
      <c r="B253" s="48">
        <v>0</v>
      </c>
      <c r="C253" s="49">
        <v>0</v>
      </c>
      <c r="D253" s="10">
        <f t="shared" si="36"/>
        <v>-0.38980777739764078</v>
      </c>
      <c r="E253" s="10">
        <f t="shared" si="37"/>
        <v>-0.42084508196721315</v>
      </c>
      <c r="F253" s="10">
        <f t="shared" si="48"/>
        <v>0.15195010331968867</v>
      </c>
      <c r="G253" s="10">
        <f t="shared" si="48"/>
        <v>0.17711058301599036</v>
      </c>
      <c r="H253" s="11">
        <f t="shared" si="45"/>
        <v>0.16404868603036732</v>
      </c>
      <c r="I253" s="12">
        <f t="shared" si="46"/>
        <v>0</v>
      </c>
      <c r="J253" s="28">
        <f t="shared" si="47"/>
        <v>0</v>
      </c>
      <c r="K253" s="30">
        <f t="shared" si="38"/>
        <v>0</v>
      </c>
      <c r="L253" s="5"/>
      <c r="M253" s="30">
        <f t="shared" si="39"/>
        <v>0</v>
      </c>
      <c r="N253" s="42">
        <f t="shared" si="40"/>
        <v>0</v>
      </c>
      <c r="O253" s="43">
        <f t="shared" si="41"/>
        <v>0</v>
      </c>
      <c r="P253" s="43">
        <f t="shared" si="42"/>
        <v>-0.34013437099999999</v>
      </c>
      <c r="Q253" s="43">
        <f t="shared" si="43"/>
        <v>-0.34013437099999999</v>
      </c>
      <c r="R253" s="43">
        <f t="shared" si="44"/>
        <v>0.11569139033556564</v>
      </c>
    </row>
    <row r="254" spans="1:18" ht="15.75" customHeight="1" x14ac:dyDescent="0.3">
      <c r="A254" s="47">
        <v>38236</v>
      </c>
      <c r="B254" s="48">
        <v>0</v>
      </c>
      <c r="C254" s="49">
        <v>0</v>
      </c>
      <c r="D254" s="10">
        <f t="shared" si="36"/>
        <v>-0.38980777739764078</v>
      </c>
      <c r="E254" s="10">
        <f t="shared" si="37"/>
        <v>-0.42084508196721315</v>
      </c>
      <c r="F254" s="10">
        <f t="shared" si="48"/>
        <v>0.15195010331968867</v>
      </c>
      <c r="G254" s="10">
        <f t="shared" si="48"/>
        <v>0.17711058301599036</v>
      </c>
      <c r="H254" s="11">
        <f t="shared" si="45"/>
        <v>0.16404868603036732</v>
      </c>
      <c r="I254" s="12">
        <f t="shared" si="46"/>
        <v>0</v>
      </c>
      <c r="J254" s="28">
        <f t="shared" si="47"/>
        <v>0</v>
      </c>
      <c r="K254" s="30">
        <f t="shared" si="38"/>
        <v>0</v>
      </c>
      <c r="L254" s="5"/>
      <c r="M254" s="30">
        <f t="shared" si="39"/>
        <v>0</v>
      </c>
      <c r="N254" s="42">
        <f t="shared" si="40"/>
        <v>0</v>
      </c>
      <c r="O254" s="43">
        <f t="shared" si="41"/>
        <v>0</v>
      </c>
      <c r="P254" s="43">
        <f t="shared" si="42"/>
        <v>-0.34013437099999999</v>
      </c>
      <c r="Q254" s="43">
        <f t="shared" si="43"/>
        <v>-0.34013437099999999</v>
      </c>
      <c r="R254" s="43">
        <f t="shared" si="44"/>
        <v>0.11569139033556564</v>
      </c>
    </row>
    <row r="255" spans="1:18" ht="15.75" customHeight="1" x14ac:dyDescent="0.3">
      <c r="A255" s="47">
        <v>38237</v>
      </c>
      <c r="B255" s="48">
        <v>0</v>
      </c>
      <c r="C255" s="49">
        <v>0</v>
      </c>
      <c r="D255" s="10">
        <f t="shared" si="36"/>
        <v>-0.38980777739764078</v>
      </c>
      <c r="E255" s="10">
        <f t="shared" si="37"/>
        <v>-0.42084508196721315</v>
      </c>
      <c r="F255" s="10">
        <f t="shared" si="48"/>
        <v>0.15195010331968867</v>
      </c>
      <c r="G255" s="10">
        <f t="shared" si="48"/>
        <v>0.17711058301599036</v>
      </c>
      <c r="H255" s="11">
        <f t="shared" si="45"/>
        <v>0.16404868603036732</v>
      </c>
      <c r="I255" s="12">
        <f t="shared" si="46"/>
        <v>0</v>
      </c>
      <c r="J255" s="28">
        <f t="shared" si="47"/>
        <v>0</v>
      </c>
      <c r="K255" s="30">
        <f t="shared" si="38"/>
        <v>0</v>
      </c>
      <c r="L255" s="5"/>
      <c r="M255" s="30">
        <f t="shared" si="39"/>
        <v>0</v>
      </c>
      <c r="N255" s="42">
        <f t="shared" si="40"/>
        <v>0</v>
      </c>
      <c r="O255" s="43">
        <f t="shared" si="41"/>
        <v>0</v>
      </c>
      <c r="P255" s="43">
        <f t="shared" si="42"/>
        <v>-0.34013437099999999</v>
      </c>
      <c r="Q255" s="43">
        <f t="shared" si="43"/>
        <v>-0.34013437099999999</v>
      </c>
      <c r="R255" s="43">
        <f t="shared" si="44"/>
        <v>0.11569139033556564</v>
      </c>
    </row>
    <row r="256" spans="1:18" ht="15.75" customHeight="1" x14ac:dyDescent="0.3">
      <c r="A256" s="47">
        <v>38238</v>
      </c>
      <c r="B256" s="48">
        <v>0</v>
      </c>
      <c r="C256" s="49">
        <v>0</v>
      </c>
      <c r="D256" s="10">
        <f t="shared" si="36"/>
        <v>-0.38980777739764078</v>
      </c>
      <c r="E256" s="10">
        <f t="shared" si="37"/>
        <v>-0.42084508196721315</v>
      </c>
      <c r="F256" s="10">
        <f t="shared" si="48"/>
        <v>0.15195010331968867</v>
      </c>
      <c r="G256" s="10">
        <f t="shared" si="48"/>
        <v>0.17711058301599036</v>
      </c>
      <c r="H256" s="11">
        <f t="shared" si="45"/>
        <v>0.16404868603036732</v>
      </c>
      <c r="I256" s="12">
        <f t="shared" si="46"/>
        <v>0</v>
      </c>
      <c r="J256" s="28">
        <f t="shared" si="47"/>
        <v>0</v>
      </c>
      <c r="K256" s="30">
        <f t="shared" si="38"/>
        <v>0</v>
      </c>
      <c r="L256" s="5"/>
      <c r="M256" s="30">
        <f t="shared" si="39"/>
        <v>0</v>
      </c>
      <c r="N256" s="42">
        <f t="shared" si="40"/>
        <v>0</v>
      </c>
      <c r="O256" s="43">
        <f t="shared" si="41"/>
        <v>0</v>
      </c>
      <c r="P256" s="43">
        <f t="shared" si="42"/>
        <v>-0.34013437099999999</v>
      </c>
      <c r="Q256" s="43">
        <f t="shared" si="43"/>
        <v>-0.34013437099999999</v>
      </c>
      <c r="R256" s="43">
        <f t="shared" si="44"/>
        <v>0.11569139033556564</v>
      </c>
    </row>
    <row r="257" spans="1:18" ht="15.75" customHeight="1" x14ac:dyDescent="0.3">
      <c r="A257" s="47">
        <v>38239</v>
      </c>
      <c r="B257" s="48">
        <v>0</v>
      </c>
      <c r="C257" s="49">
        <v>0</v>
      </c>
      <c r="D257" s="10">
        <f t="shared" si="36"/>
        <v>-0.38980777739764078</v>
      </c>
      <c r="E257" s="10">
        <f t="shared" si="37"/>
        <v>-0.42084508196721315</v>
      </c>
      <c r="F257" s="10">
        <f t="shared" si="48"/>
        <v>0.15195010331968867</v>
      </c>
      <c r="G257" s="10">
        <f t="shared" si="48"/>
        <v>0.17711058301599036</v>
      </c>
      <c r="H257" s="11">
        <f t="shared" si="45"/>
        <v>0.16404868603036732</v>
      </c>
      <c r="I257" s="12">
        <f t="shared" si="46"/>
        <v>0</v>
      </c>
      <c r="J257" s="28">
        <f t="shared" si="47"/>
        <v>0</v>
      </c>
      <c r="K257" s="30">
        <f t="shared" si="38"/>
        <v>0</v>
      </c>
      <c r="L257" s="5"/>
      <c r="M257" s="30">
        <f t="shared" si="39"/>
        <v>0</v>
      </c>
      <c r="N257" s="42">
        <f t="shared" si="40"/>
        <v>0</v>
      </c>
      <c r="O257" s="43">
        <f t="shared" si="41"/>
        <v>0</v>
      </c>
      <c r="P257" s="43">
        <f t="shared" si="42"/>
        <v>-0.34013437099999999</v>
      </c>
      <c r="Q257" s="43">
        <f t="shared" si="43"/>
        <v>-0.34013437099999999</v>
      </c>
      <c r="R257" s="43">
        <f t="shared" si="44"/>
        <v>0.11569139033556564</v>
      </c>
    </row>
    <row r="258" spans="1:18" ht="15.75" customHeight="1" x14ac:dyDescent="0.3">
      <c r="A258" s="47">
        <v>38240</v>
      </c>
      <c r="B258" s="48"/>
      <c r="C258" s="49">
        <v>0</v>
      </c>
      <c r="D258" s="10">
        <f t="shared" si="36"/>
        <v>-0.38980777739764078</v>
      </c>
      <c r="E258" s="10">
        <f t="shared" si="37"/>
        <v>-0.42084508196721315</v>
      </c>
      <c r="F258" s="10">
        <f t="shared" si="48"/>
        <v>0.15195010331968867</v>
      </c>
      <c r="G258" s="10">
        <f t="shared" si="48"/>
        <v>0.17711058301599036</v>
      </c>
      <c r="H258" s="11">
        <f t="shared" si="45"/>
        <v>0.16404868603036732</v>
      </c>
      <c r="I258" s="12">
        <f t="shared" si="46"/>
        <v>0</v>
      </c>
      <c r="J258" s="28">
        <f t="shared" si="47"/>
        <v>0</v>
      </c>
      <c r="K258" s="30">
        <f t="shared" si="38"/>
        <v>0</v>
      </c>
      <c r="L258" s="5"/>
      <c r="M258" s="30">
        <f t="shared" si="39"/>
        <v>0</v>
      </c>
      <c r="N258" s="42">
        <f t="shared" si="40"/>
        <v>0</v>
      </c>
      <c r="O258" s="43">
        <f t="shared" si="41"/>
        <v>0</v>
      </c>
      <c r="P258" s="43">
        <f t="shared" si="42"/>
        <v>-0.34013437099999999</v>
      </c>
      <c r="Q258" s="43">
        <f t="shared" si="43"/>
        <v>-0.34013437099999999</v>
      </c>
      <c r="R258" s="43">
        <f t="shared" si="44"/>
        <v>0.11569139033556564</v>
      </c>
    </row>
    <row r="259" spans="1:18" ht="15.75" customHeight="1" x14ac:dyDescent="0.3">
      <c r="A259" s="47">
        <v>38241</v>
      </c>
      <c r="B259" s="48">
        <v>0</v>
      </c>
      <c r="C259" s="49">
        <v>0</v>
      </c>
      <c r="D259" s="10">
        <f t="shared" si="36"/>
        <v>-0.38980777739764078</v>
      </c>
      <c r="E259" s="10">
        <f t="shared" si="37"/>
        <v>-0.42084508196721315</v>
      </c>
      <c r="F259" s="10">
        <f t="shared" si="48"/>
        <v>0.15195010331968867</v>
      </c>
      <c r="G259" s="10">
        <f t="shared" si="48"/>
        <v>0.17711058301599036</v>
      </c>
      <c r="H259" s="11">
        <f t="shared" si="45"/>
        <v>0.16404868603036732</v>
      </c>
      <c r="I259" s="12">
        <f t="shared" si="46"/>
        <v>0</v>
      </c>
      <c r="J259" s="28">
        <f t="shared" si="47"/>
        <v>0</v>
      </c>
      <c r="K259" s="30">
        <f t="shared" si="38"/>
        <v>0</v>
      </c>
      <c r="L259" s="5"/>
      <c r="M259" s="30">
        <f t="shared" si="39"/>
        <v>0</v>
      </c>
      <c r="N259" s="42">
        <f t="shared" si="40"/>
        <v>0</v>
      </c>
      <c r="O259" s="43">
        <f t="shared" si="41"/>
        <v>0</v>
      </c>
      <c r="P259" s="43">
        <f t="shared" si="42"/>
        <v>-0.34013437099999999</v>
      </c>
      <c r="Q259" s="43">
        <f t="shared" si="43"/>
        <v>-0.34013437099999999</v>
      </c>
      <c r="R259" s="43">
        <f t="shared" si="44"/>
        <v>0.11569139033556564</v>
      </c>
    </row>
    <row r="260" spans="1:18" ht="15.75" customHeight="1" x14ac:dyDescent="0.3">
      <c r="A260" s="47">
        <v>38242</v>
      </c>
      <c r="B260" s="48">
        <v>0</v>
      </c>
      <c r="C260" s="49">
        <v>0</v>
      </c>
      <c r="D260" s="10">
        <f t="shared" si="36"/>
        <v>-0.38980777739764078</v>
      </c>
      <c r="E260" s="10">
        <f t="shared" si="37"/>
        <v>-0.42084508196721315</v>
      </c>
      <c r="F260" s="10">
        <f t="shared" si="48"/>
        <v>0.15195010331968867</v>
      </c>
      <c r="G260" s="10">
        <f t="shared" si="48"/>
        <v>0.17711058301599036</v>
      </c>
      <c r="H260" s="11">
        <f t="shared" si="45"/>
        <v>0.16404868603036732</v>
      </c>
      <c r="I260" s="12">
        <f t="shared" si="46"/>
        <v>0</v>
      </c>
      <c r="J260" s="28">
        <f t="shared" si="47"/>
        <v>0</v>
      </c>
      <c r="K260" s="30">
        <f t="shared" si="38"/>
        <v>0</v>
      </c>
      <c r="L260" s="5"/>
      <c r="M260" s="30">
        <f t="shared" si="39"/>
        <v>0</v>
      </c>
      <c r="N260" s="42">
        <f t="shared" si="40"/>
        <v>0</v>
      </c>
      <c r="O260" s="43">
        <f t="shared" si="41"/>
        <v>0</v>
      </c>
      <c r="P260" s="43">
        <f t="shared" si="42"/>
        <v>-0.34013437099999999</v>
      </c>
      <c r="Q260" s="43">
        <f t="shared" si="43"/>
        <v>-0.34013437099999999</v>
      </c>
      <c r="R260" s="43">
        <f t="shared" si="44"/>
        <v>0.11569139033556564</v>
      </c>
    </row>
    <row r="261" spans="1:18" ht="15.75" customHeight="1" x14ac:dyDescent="0.3">
      <c r="A261" s="47">
        <v>38243</v>
      </c>
      <c r="B261" s="48">
        <v>0</v>
      </c>
      <c r="C261" s="49">
        <v>0</v>
      </c>
      <c r="D261" s="10">
        <f t="shared" si="36"/>
        <v>-0.38980777739764078</v>
      </c>
      <c r="E261" s="10">
        <f t="shared" si="37"/>
        <v>-0.42084508196721315</v>
      </c>
      <c r="F261" s="10">
        <f t="shared" si="48"/>
        <v>0.15195010331968867</v>
      </c>
      <c r="G261" s="10">
        <f t="shared" si="48"/>
        <v>0.17711058301599036</v>
      </c>
      <c r="H261" s="11">
        <f t="shared" si="45"/>
        <v>0.16404868603036732</v>
      </c>
      <c r="I261" s="12">
        <f t="shared" si="46"/>
        <v>0</v>
      </c>
      <c r="J261" s="28">
        <f t="shared" si="47"/>
        <v>0</v>
      </c>
      <c r="K261" s="30">
        <f t="shared" si="38"/>
        <v>0</v>
      </c>
      <c r="L261" s="5"/>
      <c r="M261" s="30">
        <f t="shared" si="39"/>
        <v>0</v>
      </c>
      <c r="N261" s="42">
        <f t="shared" si="40"/>
        <v>0</v>
      </c>
      <c r="O261" s="43">
        <f t="shared" si="41"/>
        <v>0</v>
      </c>
      <c r="P261" s="43">
        <f t="shared" si="42"/>
        <v>-0.34013437099999999</v>
      </c>
      <c r="Q261" s="43">
        <f t="shared" si="43"/>
        <v>-0.34013437099999999</v>
      </c>
      <c r="R261" s="43">
        <f t="shared" si="44"/>
        <v>0.11569139033556564</v>
      </c>
    </row>
    <row r="262" spans="1:18" ht="15.75" customHeight="1" x14ac:dyDescent="0.3">
      <c r="A262" s="47">
        <v>38244</v>
      </c>
      <c r="B262" s="48">
        <v>0</v>
      </c>
      <c r="C262" s="49">
        <v>0</v>
      </c>
      <c r="D262" s="10">
        <f t="shared" ref="D262:D325" si="49">B262-$C$375</f>
        <v>-0.38980777739764078</v>
      </c>
      <c r="E262" s="10">
        <f t="shared" ref="E262:E325" si="50">C262-$D$375</f>
        <v>-0.42084508196721315</v>
      </c>
      <c r="F262" s="10">
        <f t="shared" si="48"/>
        <v>0.15195010331968867</v>
      </c>
      <c r="G262" s="10">
        <f t="shared" si="48"/>
        <v>0.17711058301599036</v>
      </c>
      <c r="H262" s="11">
        <f t="shared" si="45"/>
        <v>0.16404868603036732</v>
      </c>
      <c r="I262" s="12">
        <f t="shared" si="46"/>
        <v>0</v>
      </c>
      <c r="J262" s="28">
        <f t="shared" si="47"/>
        <v>0</v>
      </c>
      <c r="K262" s="30">
        <f t="shared" ref="K262:K325" si="51">C262-B262</f>
        <v>0</v>
      </c>
      <c r="L262" s="5"/>
      <c r="M262" s="30">
        <f t="shared" ref="M262:M325" si="52">B262-C262</f>
        <v>0</v>
      </c>
      <c r="N262" s="42">
        <f t="shared" ref="N262:N325" si="53">B262-C262</f>
        <v>0</v>
      </c>
      <c r="O262" s="43">
        <f t="shared" ref="O262:O325" si="54">M262*N262</f>
        <v>0</v>
      </c>
      <c r="P262" s="43">
        <f t="shared" ref="P262:P325" si="55">B262-0.340134371</f>
        <v>-0.34013437099999999</v>
      </c>
      <c r="Q262" s="43">
        <f t="shared" ref="Q262:Q325" si="56">B262-0.340134371</f>
        <v>-0.34013437099999999</v>
      </c>
      <c r="R262" s="43">
        <f t="shared" ref="R262:R325" si="57">P262*Q262</f>
        <v>0.11569139033556564</v>
      </c>
    </row>
    <row r="263" spans="1:18" ht="15.75" customHeight="1" x14ac:dyDescent="0.3">
      <c r="A263" s="47">
        <v>38245</v>
      </c>
      <c r="B263" s="48">
        <v>0</v>
      </c>
      <c r="C263" s="49">
        <v>0</v>
      </c>
      <c r="D263" s="10">
        <f t="shared" si="49"/>
        <v>-0.38980777739764078</v>
      </c>
      <c r="E263" s="10">
        <f t="shared" si="50"/>
        <v>-0.42084508196721315</v>
      </c>
      <c r="F263" s="10">
        <f t="shared" si="48"/>
        <v>0.15195010331968867</v>
      </c>
      <c r="G263" s="10">
        <f t="shared" si="48"/>
        <v>0.17711058301599036</v>
      </c>
      <c r="H263" s="11">
        <f t="shared" si="45"/>
        <v>0.16404868603036732</v>
      </c>
      <c r="I263" s="12">
        <f t="shared" si="46"/>
        <v>0</v>
      </c>
      <c r="J263" s="28">
        <f t="shared" si="47"/>
        <v>0</v>
      </c>
      <c r="K263" s="30">
        <f t="shared" si="51"/>
        <v>0</v>
      </c>
      <c r="L263" s="5"/>
      <c r="M263" s="30">
        <f t="shared" si="52"/>
        <v>0</v>
      </c>
      <c r="N263" s="42">
        <f t="shared" si="53"/>
        <v>0</v>
      </c>
      <c r="O263" s="43">
        <f t="shared" si="54"/>
        <v>0</v>
      </c>
      <c r="P263" s="43">
        <f t="shared" si="55"/>
        <v>-0.34013437099999999</v>
      </c>
      <c r="Q263" s="43">
        <f t="shared" si="56"/>
        <v>-0.34013437099999999</v>
      </c>
      <c r="R263" s="43">
        <f t="shared" si="57"/>
        <v>0.11569139033556564</v>
      </c>
    </row>
    <row r="264" spans="1:18" ht="15.75" customHeight="1" x14ac:dyDescent="0.3">
      <c r="A264" s="47">
        <v>38246</v>
      </c>
      <c r="B264" s="48">
        <v>0</v>
      </c>
      <c r="C264" s="49">
        <v>0</v>
      </c>
      <c r="D264" s="10">
        <f t="shared" si="49"/>
        <v>-0.38980777739764078</v>
      </c>
      <c r="E264" s="10">
        <f t="shared" si="50"/>
        <v>-0.42084508196721315</v>
      </c>
      <c r="F264" s="10">
        <f t="shared" si="48"/>
        <v>0.15195010331968867</v>
      </c>
      <c r="G264" s="10">
        <f t="shared" si="48"/>
        <v>0.17711058301599036</v>
      </c>
      <c r="H264" s="11">
        <f t="shared" si="45"/>
        <v>0.16404868603036732</v>
      </c>
      <c r="I264" s="12">
        <f t="shared" si="46"/>
        <v>0</v>
      </c>
      <c r="J264" s="28">
        <f t="shared" si="47"/>
        <v>0</v>
      </c>
      <c r="K264" s="30">
        <f t="shared" si="51"/>
        <v>0</v>
      </c>
      <c r="L264" s="5"/>
      <c r="M264" s="30">
        <f t="shared" si="52"/>
        <v>0</v>
      </c>
      <c r="N264" s="42">
        <f t="shared" si="53"/>
        <v>0</v>
      </c>
      <c r="O264" s="43">
        <f t="shared" si="54"/>
        <v>0</v>
      </c>
      <c r="P264" s="43">
        <f t="shared" si="55"/>
        <v>-0.34013437099999999</v>
      </c>
      <c r="Q264" s="43">
        <f t="shared" si="56"/>
        <v>-0.34013437099999999</v>
      </c>
      <c r="R264" s="43">
        <f t="shared" si="57"/>
        <v>0.11569139033556564</v>
      </c>
    </row>
    <row r="265" spans="1:18" ht="15.75" customHeight="1" x14ac:dyDescent="0.3">
      <c r="A265" s="47">
        <v>38247</v>
      </c>
      <c r="B265" s="48">
        <v>0</v>
      </c>
      <c r="C265" s="49">
        <v>0</v>
      </c>
      <c r="D265" s="10">
        <f t="shared" si="49"/>
        <v>-0.38980777739764078</v>
      </c>
      <c r="E265" s="10">
        <f t="shared" si="50"/>
        <v>-0.42084508196721315</v>
      </c>
      <c r="F265" s="10">
        <f t="shared" si="48"/>
        <v>0.15195010331968867</v>
      </c>
      <c r="G265" s="10">
        <f t="shared" si="48"/>
        <v>0.17711058301599036</v>
      </c>
      <c r="H265" s="11">
        <f t="shared" si="45"/>
        <v>0.16404868603036732</v>
      </c>
      <c r="I265" s="12">
        <f t="shared" si="46"/>
        <v>0</v>
      </c>
      <c r="J265" s="28">
        <f t="shared" si="47"/>
        <v>0</v>
      </c>
      <c r="K265" s="30">
        <f t="shared" si="51"/>
        <v>0</v>
      </c>
      <c r="L265" s="5"/>
      <c r="M265" s="30">
        <f t="shared" si="52"/>
        <v>0</v>
      </c>
      <c r="N265" s="42">
        <f t="shared" si="53"/>
        <v>0</v>
      </c>
      <c r="O265" s="43">
        <f t="shared" si="54"/>
        <v>0</v>
      </c>
      <c r="P265" s="43">
        <f t="shared" si="55"/>
        <v>-0.34013437099999999</v>
      </c>
      <c r="Q265" s="43">
        <f t="shared" si="56"/>
        <v>-0.34013437099999999</v>
      </c>
      <c r="R265" s="43">
        <f t="shared" si="57"/>
        <v>0.11569139033556564</v>
      </c>
    </row>
    <row r="266" spans="1:18" ht="15.75" customHeight="1" x14ac:dyDescent="0.3">
      <c r="A266" s="47">
        <v>38248</v>
      </c>
      <c r="B266" s="48">
        <v>0</v>
      </c>
      <c r="C266" s="49">
        <v>0</v>
      </c>
      <c r="D266" s="10">
        <f t="shared" si="49"/>
        <v>-0.38980777739764078</v>
      </c>
      <c r="E266" s="10">
        <f t="shared" si="50"/>
        <v>-0.42084508196721315</v>
      </c>
      <c r="F266" s="10">
        <f t="shared" si="48"/>
        <v>0.15195010331968867</v>
      </c>
      <c r="G266" s="10">
        <f t="shared" si="48"/>
        <v>0.17711058301599036</v>
      </c>
      <c r="H266" s="11">
        <f t="shared" si="45"/>
        <v>0.16404868603036732</v>
      </c>
      <c r="I266" s="12">
        <f t="shared" si="46"/>
        <v>0</v>
      </c>
      <c r="J266" s="28">
        <f t="shared" si="47"/>
        <v>0</v>
      </c>
      <c r="K266" s="30">
        <f t="shared" si="51"/>
        <v>0</v>
      </c>
      <c r="L266" s="5"/>
      <c r="M266" s="30">
        <f t="shared" si="52"/>
        <v>0</v>
      </c>
      <c r="N266" s="42">
        <f t="shared" si="53"/>
        <v>0</v>
      </c>
      <c r="O266" s="43">
        <f t="shared" si="54"/>
        <v>0</v>
      </c>
      <c r="P266" s="43">
        <f t="shared" si="55"/>
        <v>-0.34013437099999999</v>
      </c>
      <c r="Q266" s="43">
        <f t="shared" si="56"/>
        <v>-0.34013437099999999</v>
      </c>
      <c r="R266" s="43">
        <f t="shared" si="57"/>
        <v>0.11569139033556564</v>
      </c>
    </row>
    <row r="267" spans="1:18" ht="15.75" customHeight="1" x14ac:dyDescent="0.3">
      <c r="A267" s="47">
        <v>38249</v>
      </c>
      <c r="B267" s="48">
        <v>0</v>
      </c>
      <c r="C267" s="49">
        <v>0</v>
      </c>
      <c r="D267" s="10">
        <f t="shared" si="49"/>
        <v>-0.38980777739764078</v>
      </c>
      <c r="E267" s="10">
        <f t="shared" si="50"/>
        <v>-0.42084508196721315</v>
      </c>
      <c r="F267" s="10">
        <f t="shared" si="48"/>
        <v>0.15195010331968867</v>
      </c>
      <c r="G267" s="10">
        <f t="shared" si="48"/>
        <v>0.17711058301599036</v>
      </c>
      <c r="H267" s="11">
        <f t="shared" ref="H267:H330" si="58">D267*E267</f>
        <v>0.16404868603036732</v>
      </c>
      <c r="I267" s="12">
        <f t="shared" ref="I267:I330" si="59">ABS(C267-B267)</f>
        <v>0</v>
      </c>
      <c r="J267" s="28">
        <f t="shared" ref="J267:J330" si="60">I267^2</f>
        <v>0</v>
      </c>
      <c r="K267" s="30">
        <f t="shared" si="51"/>
        <v>0</v>
      </c>
      <c r="L267" s="5"/>
      <c r="M267" s="30">
        <f t="shared" si="52"/>
        <v>0</v>
      </c>
      <c r="N267" s="42">
        <f t="shared" si="53"/>
        <v>0</v>
      </c>
      <c r="O267" s="43">
        <f t="shared" si="54"/>
        <v>0</v>
      </c>
      <c r="P267" s="43">
        <f t="shared" si="55"/>
        <v>-0.34013437099999999</v>
      </c>
      <c r="Q267" s="43">
        <f t="shared" si="56"/>
        <v>-0.34013437099999999</v>
      </c>
      <c r="R267" s="43">
        <f t="shared" si="57"/>
        <v>0.11569139033556564</v>
      </c>
    </row>
    <row r="268" spans="1:18" ht="15.75" customHeight="1" x14ac:dyDescent="0.3">
      <c r="A268" s="47">
        <v>38250</v>
      </c>
      <c r="B268" s="48">
        <v>0</v>
      </c>
      <c r="C268" s="49">
        <v>0</v>
      </c>
      <c r="D268" s="10">
        <f t="shared" si="49"/>
        <v>-0.38980777739764078</v>
      </c>
      <c r="E268" s="10">
        <f t="shared" si="50"/>
        <v>-0.42084508196721315</v>
      </c>
      <c r="F268" s="10">
        <f t="shared" si="48"/>
        <v>0.15195010331968867</v>
      </c>
      <c r="G268" s="10">
        <f t="shared" si="48"/>
        <v>0.17711058301599036</v>
      </c>
      <c r="H268" s="11">
        <f t="shared" si="58"/>
        <v>0.16404868603036732</v>
      </c>
      <c r="I268" s="12">
        <f t="shared" si="59"/>
        <v>0</v>
      </c>
      <c r="J268" s="28">
        <f t="shared" si="60"/>
        <v>0</v>
      </c>
      <c r="K268" s="30">
        <f t="shared" si="51"/>
        <v>0</v>
      </c>
      <c r="L268" s="5"/>
      <c r="M268" s="30">
        <f t="shared" si="52"/>
        <v>0</v>
      </c>
      <c r="N268" s="42">
        <f t="shared" si="53"/>
        <v>0</v>
      </c>
      <c r="O268" s="43">
        <f t="shared" si="54"/>
        <v>0</v>
      </c>
      <c r="P268" s="43">
        <f t="shared" si="55"/>
        <v>-0.34013437099999999</v>
      </c>
      <c r="Q268" s="43">
        <f t="shared" si="56"/>
        <v>-0.34013437099999999</v>
      </c>
      <c r="R268" s="43">
        <f t="shared" si="57"/>
        <v>0.11569139033556564</v>
      </c>
    </row>
    <row r="269" spans="1:18" ht="15.75" customHeight="1" x14ac:dyDescent="0.3">
      <c r="A269" s="47">
        <v>38251</v>
      </c>
      <c r="B269" s="48">
        <v>0</v>
      </c>
      <c r="C269" s="49">
        <v>0</v>
      </c>
      <c r="D269" s="10">
        <f t="shared" si="49"/>
        <v>-0.38980777739764078</v>
      </c>
      <c r="E269" s="10">
        <f t="shared" si="50"/>
        <v>-0.42084508196721315</v>
      </c>
      <c r="F269" s="10">
        <f t="shared" si="48"/>
        <v>0.15195010331968867</v>
      </c>
      <c r="G269" s="10">
        <f t="shared" si="48"/>
        <v>0.17711058301599036</v>
      </c>
      <c r="H269" s="11">
        <f t="shared" si="58"/>
        <v>0.16404868603036732</v>
      </c>
      <c r="I269" s="12">
        <f t="shared" si="59"/>
        <v>0</v>
      </c>
      <c r="J269" s="28">
        <f t="shared" si="60"/>
        <v>0</v>
      </c>
      <c r="K269" s="30">
        <f t="shared" si="51"/>
        <v>0</v>
      </c>
      <c r="L269" s="5"/>
      <c r="M269" s="30">
        <f t="shared" si="52"/>
        <v>0</v>
      </c>
      <c r="N269" s="42">
        <f t="shared" si="53"/>
        <v>0</v>
      </c>
      <c r="O269" s="43">
        <f t="shared" si="54"/>
        <v>0</v>
      </c>
      <c r="P269" s="43">
        <f t="shared" si="55"/>
        <v>-0.34013437099999999</v>
      </c>
      <c r="Q269" s="43">
        <f t="shared" si="56"/>
        <v>-0.34013437099999999</v>
      </c>
      <c r="R269" s="43">
        <f t="shared" si="57"/>
        <v>0.11569139033556564</v>
      </c>
    </row>
    <row r="270" spans="1:18" ht="15.75" customHeight="1" x14ac:dyDescent="0.3">
      <c r="A270" s="47">
        <v>38252</v>
      </c>
      <c r="B270" s="48">
        <v>0</v>
      </c>
      <c r="C270" s="49">
        <v>0</v>
      </c>
      <c r="D270" s="10">
        <f t="shared" si="49"/>
        <v>-0.38980777739764078</v>
      </c>
      <c r="E270" s="10">
        <f t="shared" si="50"/>
        <v>-0.42084508196721315</v>
      </c>
      <c r="F270" s="10">
        <f t="shared" si="48"/>
        <v>0.15195010331968867</v>
      </c>
      <c r="G270" s="10">
        <f t="shared" si="48"/>
        <v>0.17711058301599036</v>
      </c>
      <c r="H270" s="11">
        <f t="shared" si="58"/>
        <v>0.16404868603036732</v>
      </c>
      <c r="I270" s="12">
        <f t="shared" si="59"/>
        <v>0</v>
      </c>
      <c r="J270" s="28">
        <f t="shared" si="60"/>
        <v>0</v>
      </c>
      <c r="K270" s="30">
        <f t="shared" si="51"/>
        <v>0</v>
      </c>
      <c r="L270" s="5"/>
      <c r="M270" s="30">
        <f t="shared" si="52"/>
        <v>0</v>
      </c>
      <c r="N270" s="42">
        <f t="shared" si="53"/>
        <v>0</v>
      </c>
      <c r="O270" s="43">
        <f t="shared" si="54"/>
        <v>0</v>
      </c>
      <c r="P270" s="43">
        <f t="shared" si="55"/>
        <v>-0.34013437099999999</v>
      </c>
      <c r="Q270" s="43">
        <f t="shared" si="56"/>
        <v>-0.34013437099999999</v>
      </c>
      <c r="R270" s="43">
        <f t="shared" si="57"/>
        <v>0.11569139033556564</v>
      </c>
    </row>
    <row r="271" spans="1:18" ht="15.75" customHeight="1" x14ac:dyDescent="0.3">
      <c r="A271" s="47">
        <v>38253</v>
      </c>
      <c r="B271" s="48">
        <v>0</v>
      </c>
      <c r="C271" s="49">
        <v>0</v>
      </c>
      <c r="D271" s="10">
        <f t="shared" si="49"/>
        <v>-0.38980777739764078</v>
      </c>
      <c r="E271" s="10">
        <f t="shared" si="50"/>
        <v>-0.42084508196721315</v>
      </c>
      <c r="F271" s="10">
        <f t="shared" si="48"/>
        <v>0.15195010331968867</v>
      </c>
      <c r="G271" s="10">
        <f t="shared" si="48"/>
        <v>0.17711058301599036</v>
      </c>
      <c r="H271" s="11">
        <f t="shared" si="58"/>
        <v>0.16404868603036732</v>
      </c>
      <c r="I271" s="12">
        <f t="shared" si="59"/>
        <v>0</v>
      </c>
      <c r="J271" s="28">
        <f t="shared" si="60"/>
        <v>0</v>
      </c>
      <c r="K271" s="30">
        <f t="shared" si="51"/>
        <v>0</v>
      </c>
      <c r="L271" s="5"/>
      <c r="M271" s="30">
        <f t="shared" si="52"/>
        <v>0</v>
      </c>
      <c r="N271" s="42">
        <f t="shared" si="53"/>
        <v>0</v>
      </c>
      <c r="O271" s="43">
        <f t="shared" si="54"/>
        <v>0</v>
      </c>
      <c r="P271" s="43">
        <f t="shared" si="55"/>
        <v>-0.34013437099999999</v>
      </c>
      <c r="Q271" s="43">
        <f t="shared" si="56"/>
        <v>-0.34013437099999999</v>
      </c>
      <c r="R271" s="43">
        <f t="shared" si="57"/>
        <v>0.11569139033556564</v>
      </c>
    </row>
    <row r="272" spans="1:18" ht="15.75" customHeight="1" x14ac:dyDescent="0.3">
      <c r="A272" s="47">
        <v>38254</v>
      </c>
      <c r="B272" s="48">
        <v>0</v>
      </c>
      <c r="C272" s="49">
        <v>0</v>
      </c>
      <c r="D272" s="10">
        <f t="shared" si="49"/>
        <v>-0.38980777739764078</v>
      </c>
      <c r="E272" s="10">
        <f t="shared" si="50"/>
        <v>-0.42084508196721315</v>
      </c>
      <c r="F272" s="10">
        <f t="shared" si="48"/>
        <v>0.15195010331968867</v>
      </c>
      <c r="G272" s="10">
        <f t="shared" si="48"/>
        <v>0.17711058301599036</v>
      </c>
      <c r="H272" s="11">
        <f t="shared" si="58"/>
        <v>0.16404868603036732</v>
      </c>
      <c r="I272" s="12">
        <f t="shared" si="59"/>
        <v>0</v>
      </c>
      <c r="J272" s="28">
        <f t="shared" si="60"/>
        <v>0</v>
      </c>
      <c r="K272" s="30">
        <f t="shared" si="51"/>
        <v>0</v>
      </c>
      <c r="L272" s="5"/>
      <c r="M272" s="30">
        <f t="shared" si="52"/>
        <v>0</v>
      </c>
      <c r="N272" s="42">
        <f t="shared" si="53"/>
        <v>0</v>
      </c>
      <c r="O272" s="43">
        <f t="shared" si="54"/>
        <v>0</v>
      </c>
      <c r="P272" s="43">
        <f t="shared" si="55"/>
        <v>-0.34013437099999999</v>
      </c>
      <c r="Q272" s="43">
        <f t="shared" si="56"/>
        <v>-0.34013437099999999</v>
      </c>
      <c r="R272" s="43">
        <f t="shared" si="57"/>
        <v>0.11569139033556564</v>
      </c>
    </row>
    <row r="273" spans="1:18" ht="15.75" customHeight="1" x14ac:dyDescent="0.3">
      <c r="A273" s="47">
        <v>38255</v>
      </c>
      <c r="B273" s="48">
        <v>0</v>
      </c>
      <c r="C273" s="49">
        <v>0</v>
      </c>
      <c r="D273" s="10">
        <f t="shared" si="49"/>
        <v>-0.38980777739764078</v>
      </c>
      <c r="E273" s="10">
        <f t="shared" si="50"/>
        <v>-0.42084508196721315</v>
      </c>
      <c r="F273" s="10">
        <f t="shared" si="48"/>
        <v>0.15195010331968867</v>
      </c>
      <c r="G273" s="10">
        <f t="shared" si="48"/>
        <v>0.17711058301599036</v>
      </c>
      <c r="H273" s="11">
        <f t="shared" si="58"/>
        <v>0.16404868603036732</v>
      </c>
      <c r="I273" s="12">
        <f t="shared" si="59"/>
        <v>0</v>
      </c>
      <c r="J273" s="28">
        <f t="shared" si="60"/>
        <v>0</v>
      </c>
      <c r="K273" s="30">
        <f t="shared" si="51"/>
        <v>0</v>
      </c>
      <c r="L273" s="5"/>
      <c r="M273" s="30">
        <f t="shared" si="52"/>
        <v>0</v>
      </c>
      <c r="N273" s="42">
        <f t="shared" si="53"/>
        <v>0</v>
      </c>
      <c r="O273" s="43">
        <f t="shared" si="54"/>
        <v>0</v>
      </c>
      <c r="P273" s="43">
        <f t="shared" si="55"/>
        <v>-0.34013437099999999</v>
      </c>
      <c r="Q273" s="43">
        <f t="shared" si="56"/>
        <v>-0.34013437099999999</v>
      </c>
      <c r="R273" s="43">
        <f t="shared" si="57"/>
        <v>0.11569139033556564</v>
      </c>
    </row>
    <row r="274" spans="1:18" ht="15.75" customHeight="1" x14ac:dyDescent="0.3">
      <c r="A274" s="47">
        <v>38256</v>
      </c>
      <c r="B274" s="48">
        <v>0</v>
      </c>
      <c r="C274" s="49">
        <v>0</v>
      </c>
      <c r="D274" s="10">
        <f t="shared" si="49"/>
        <v>-0.38980777739764078</v>
      </c>
      <c r="E274" s="10">
        <f t="shared" si="50"/>
        <v>-0.42084508196721315</v>
      </c>
      <c r="F274" s="10">
        <f t="shared" si="48"/>
        <v>0.15195010331968867</v>
      </c>
      <c r="G274" s="10">
        <f t="shared" si="48"/>
        <v>0.17711058301599036</v>
      </c>
      <c r="H274" s="11">
        <f t="shared" si="58"/>
        <v>0.16404868603036732</v>
      </c>
      <c r="I274" s="12">
        <f t="shared" si="59"/>
        <v>0</v>
      </c>
      <c r="J274" s="28">
        <f t="shared" si="60"/>
        <v>0</v>
      </c>
      <c r="K274" s="30">
        <f t="shared" si="51"/>
        <v>0</v>
      </c>
      <c r="L274" s="5"/>
      <c r="M274" s="30">
        <f t="shared" si="52"/>
        <v>0</v>
      </c>
      <c r="N274" s="42">
        <f t="shared" si="53"/>
        <v>0</v>
      </c>
      <c r="O274" s="43">
        <f t="shared" si="54"/>
        <v>0</v>
      </c>
      <c r="P274" s="43">
        <f t="shared" si="55"/>
        <v>-0.34013437099999999</v>
      </c>
      <c r="Q274" s="43">
        <f t="shared" si="56"/>
        <v>-0.34013437099999999</v>
      </c>
      <c r="R274" s="43">
        <f t="shared" si="57"/>
        <v>0.11569139033556564</v>
      </c>
    </row>
    <row r="275" spans="1:18" ht="15.75" customHeight="1" x14ac:dyDescent="0.3">
      <c r="A275" s="47">
        <v>38257</v>
      </c>
      <c r="B275" s="48">
        <v>0</v>
      </c>
      <c r="C275" s="49">
        <v>0</v>
      </c>
      <c r="D275" s="10">
        <f t="shared" si="49"/>
        <v>-0.38980777739764078</v>
      </c>
      <c r="E275" s="10">
        <f t="shared" si="50"/>
        <v>-0.42084508196721315</v>
      </c>
      <c r="F275" s="10">
        <f t="shared" si="48"/>
        <v>0.15195010331968867</v>
      </c>
      <c r="G275" s="10">
        <f t="shared" si="48"/>
        <v>0.17711058301599036</v>
      </c>
      <c r="H275" s="11">
        <f t="shared" si="58"/>
        <v>0.16404868603036732</v>
      </c>
      <c r="I275" s="12">
        <f t="shared" si="59"/>
        <v>0</v>
      </c>
      <c r="J275" s="28">
        <f t="shared" si="60"/>
        <v>0</v>
      </c>
      <c r="K275" s="30">
        <f t="shared" si="51"/>
        <v>0</v>
      </c>
      <c r="L275" s="5"/>
      <c r="M275" s="30">
        <f t="shared" si="52"/>
        <v>0</v>
      </c>
      <c r="N275" s="42">
        <f t="shared" si="53"/>
        <v>0</v>
      </c>
      <c r="O275" s="43">
        <f t="shared" si="54"/>
        <v>0</v>
      </c>
      <c r="P275" s="43">
        <f t="shared" si="55"/>
        <v>-0.34013437099999999</v>
      </c>
      <c r="Q275" s="43">
        <f t="shared" si="56"/>
        <v>-0.34013437099999999</v>
      </c>
      <c r="R275" s="43">
        <f t="shared" si="57"/>
        <v>0.11569139033556564</v>
      </c>
    </row>
    <row r="276" spans="1:18" ht="15.75" customHeight="1" x14ac:dyDescent="0.3">
      <c r="A276" s="47">
        <v>38258</v>
      </c>
      <c r="B276" s="48">
        <v>0</v>
      </c>
      <c r="C276" s="49">
        <v>0</v>
      </c>
      <c r="D276" s="10">
        <f t="shared" si="49"/>
        <v>-0.38980777739764078</v>
      </c>
      <c r="E276" s="10">
        <f t="shared" si="50"/>
        <v>-0.42084508196721315</v>
      </c>
      <c r="F276" s="10">
        <f t="shared" si="48"/>
        <v>0.15195010331968867</v>
      </c>
      <c r="G276" s="10">
        <f t="shared" si="48"/>
        <v>0.17711058301599036</v>
      </c>
      <c r="H276" s="11">
        <f t="shared" si="58"/>
        <v>0.16404868603036732</v>
      </c>
      <c r="I276" s="12">
        <f t="shared" si="59"/>
        <v>0</v>
      </c>
      <c r="J276" s="28">
        <f t="shared" si="60"/>
        <v>0</v>
      </c>
      <c r="K276" s="30">
        <f t="shared" si="51"/>
        <v>0</v>
      </c>
      <c r="L276" s="5"/>
      <c r="M276" s="30">
        <f t="shared" si="52"/>
        <v>0</v>
      </c>
      <c r="N276" s="42">
        <f t="shared" si="53"/>
        <v>0</v>
      </c>
      <c r="O276" s="43">
        <f t="shared" si="54"/>
        <v>0</v>
      </c>
      <c r="P276" s="43">
        <f t="shared" si="55"/>
        <v>-0.34013437099999999</v>
      </c>
      <c r="Q276" s="43">
        <f t="shared" si="56"/>
        <v>-0.34013437099999999</v>
      </c>
      <c r="R276" s="43">
        <f t="shared" si="57"/>
        <v>0.11569139033556564</v>
      </c>
    </row>
    <row r="277" spans="1:18" ht="15.75" customHeight="1" x14ac:dyDescent="0.3">
      <c r="A277" s="47">
        <v>38259</v>
      </c>
      <c r="B277" s="48">
        <v>0</v>
      </c>
      <c r="C277" s="49">
        <v>0</v>
      </c>
      <c r="D277" s="10">
        <f t="shared" si="49"/>
        <v>-0.38980777739764078</v>
      </c>
      <c r="E277" s="10">
        <f t="shared" si="50"/>
        <v>-0.42084508196721315</v>
      </c>
      <c r="F277" s="10">
        <f t="shared" ref="F277:G340" si="61">D277^2</f>
        <v>0.15195010331968867</v>
      </c>
      <c r="G277" s="10">
        <f t="shared" si="61"/>
        <v>0.17711058301599036</v>
      </c>
      <c r="H277" s="11">
        <f t="shared" si="58"/>
        <v>0.16404868603036732</v>
      </c>
      <c r="I277" s="12">
        <f t="shared" si="59"/>
        <v>0</v>
      </c>
      <c r="J277" s="28">
        <f t="shared" si="60"/>
        <v>0</v>
      </c>
      <c r="K277" s="30">
        <f t="shared" si="51"/>
        <v>0</v>
      </c>
      <c r="L277" s="5"/>
      <c r="M277" s="30">
        <f t="shared" si="52"/>
        <v>0</v>
      </c>
      <c r="N277" s="42">
        <f t="shared" si="53"/>
        <v>0</v>
      </c>
      <c r="O277" s="43">
        <f t="shared" si="54"/>
        <v>0</v>
      </c>
      <c r="P277" s="43">
        <f t="shared" si="55"/>
        <v>-0.34013437099999999</v>
      </c>
      <c r="Q277" s="43">
        <f t="shared" si="56"/>
        <v>-0.34013437099999999</v>
      </c>
      <c r="R277" s="43">
        <f t="shared" si="57"/>
        <v>0.11569139033556564</v>
      </c>
    </row>
    <row r="278" spans="1:18" ht="15.75" customHeight="1" x14ac:dyDescent="0.3">
      <c r="A278" s="47">
        <v>38260</v>
      </c>
      <c r="B278" s="48">
        <v>0</v>
      </c>
      <c r="C278" s="49">
        <v>0</v>
      </c>
      <c r="D278" s="10">
        <f t="shared" si="49"/>
        <v>-0.38980777739764078</v>
      </c>
      <c r="E278" s="10">
        <f t="shared" si="50"/>
        <v>-0.42084508196721315</v>
      </c>
      <c r="F278" s="10">
        <f t="shared" si="61"/>
        <v>0.15195010331968867</v>
      </c>
      <c r="G278" s="10">
        <f t="shared" si="61"/>
        <v>0.17711058301599036</v>
      </c>
      <c r="H278" s="11">
        <f t="shared" si="58"/>
        <v>0.16404868603036732</v>
      </c>
      <c r="I278" s="12">
        <f t="shared" si="59"/>
        <v>0</v>
      </c>
      <c r="J278" s="28">
        <f t="shared" si="60"/>
        <v>0</v>
      </c>
      <c r="K278" s="30">
        <f t="shared" si="51"/>
        <v>0</v>
      </c>
      <c r="L278" s="5"/>
      <c r="M278" s="30">
        <f t="shared" si="52"/>
        <v>0</v>
      </c>
      <c r="N278" s="42">
        <f t="shared" si="53"/>
        <v>0</v>
      </c>
      <c r="O278" s="43">
        <f t="shared" si="54"/>
        <v>0</v>
      </c>
      <c r="P278" s="43">
        <f t="shared" si="55"/>
        <v>-0.34013437099999999</v>
      </c>
      <c r="Q278" s="43">
        <f t="shared" si="56"/>
        <v>-0.34013437099999999</v>
      </c>
      <c r="R278" s="43">
        <f t="shared" si="57"/>
        <v>0.11569139033556564</v>
      </c>
    </row>
    <row r="279" spans="1:18" ht="15.75" customHeight="1" x14ac:dyDescent="0.3">
      <c r="A279" s="47">
        <v>38261</v>
      </c>
      <c r="B279" s="48">
        <v>0</v>
      </c>
      <c r="C279" s="49">
        <v>0</v>
      </c>
      <c r="D279" s="10">
        <f t="shared" si="49"/>
        <v>-0.38980777739764078</v>
      </c>
      <c r="E279" s="10">
        <f t="shared" si="50"/>
        <v>-0.42084508196721315</v>
      </c>
      <c r="F279" s="10">
        <f t="shared" si="61"/>
        <v>0.15195010331968867</v>
      </c>
      <c r="G279" s="10">
        <f t="shared" si="61"/>
        <v>0.17711058301599036</v>
      </c>
      <c r="H279" s="11">
        <f t="shared" si="58"/>
        <v>0.16404868603036732</v>
      </c>
      <c r="I279" s="12">
        <f t="shared" si="59"/>
        <v>0</v>
      </c>
      <c r="J279" s="28">
        <f t="shared" si="60"/>
        <v>0</v>
      </c>
      <c r="K279" s="30">
        <f t="shared" si="51"/>
        <v>0</v>
      </c>
      <c r="L279" s="5"/>
      <c r="M279" s="30">
        <f t="shared" si="52"/>
        <v>0</v>
      </c>
      <c r="N279" s="42">
        <f t="shared" si="53"/>
        <v>0</v>
      </c>
      <c r="O279" s="43">
        <f t="shared" si="54"/>
        <v>0</v>
      </c>
      <c r="P279" s="43">
        <f t="shared" si="55"/>
        <v>-0.34013437099999999</v>
      </c>
      <c r="Q279" s="43">
        <f t="shared" si="56"/>
        <v>-0.34013437099999999</v>
      </c>
      <c r="R279" s="43">
        <f t="shared" si="57"/>
        <v>0.11569139033556564</v>
      </c>
    </row>
    <row r="280" spans="1:18" ht="15.75" customHeight="1" x14ac:dyDescent="0.3">
      <c r="A280" s="47">
        <v>38262</v>
      </c>
      <c r="B280" s="48">
        <v>0</v>
      </c>
      <c r="C280" s="49">
        <v>0</v>
      </c>
      <c r="D280" s="10">
        <f t="shared" si="49"/>
        <v>-0.38980777739764078</v>
      </c>
      <c r="E280" s="10">
        <f t="shared" si="50"/>
        <v>-0.42084508196721315</v>
      </c>
      <c r="F280" s="10">
        <f t="shared" si="61"/>
        <v>0.15195010331968867</v>
      </c>
      <c r="G280" s="10">
        <f t="shared" si="61"/>
        <v>0.17711058301599036</v>
      </c>
      <c r="H280" s="11">
        <f t="shared" si="58"/>
        <v>0.16404868603036732</v>
      </c>
      <c r="I280" s="12">
        <f t="shared" si="59"/>
        <v>0</v>
      </c>
      <c r="J280" s="28">
        <f t="shared" si="60"/>
        <v>0</v>
      </c>
      <c r="K280" s="30">
        <f t="shared" si="51"/>
        <v>0</v>
      </c>
      <c r="L280" s="5"/>
      <c r="M280" s="30">
        <f t="shared" si="52"/>
        <v>0</v>
      </c>
      <c r="N280" s="42">
        <f t="shared" si="53"/>
        <v>0</v>
      </c>
      <c r="O280" s="43">
        <f t="shared" si="54"/>
        <v>0</v>
      </c>
      <c r="P280" s="43">
        <f t="shared" si="55"/>
        <v>-0.34013437099999999</v>
      </c>
      <c r="Q280" s="43">
        <f t="shared" si="56"/>
        <v>-0.34013437099999999</v>
      </c>
      <c r="R280" s="43">
        <f t="shared" si="57"/>
        <v>0.11569139033556564</v>
      </c>
    </row>
    <row r="281" spans="1:18" ht="15.75" customHeight="1" x14ac:dyDescent="0.3">
      <c r="A281" s="47">
        <v>38263</v>
      </c>
      <c r="B281" s="48">
        <v>0</v>
      </c>
      <c r="C281" s="49">
        <v>0</v>
      </c>
      <c r="D281" s="10">
        <f t="shared" si="49"/>
        <v>-0.38980777739764078</v>
      </c>
      <c r="E281" s="10">
        <f t="shared" si="50"/>
        <v>-0.42084508196721315</v>
      </c>
      <c r="F281" s="10">
        <f t="shared" si="61"/>
        <v>0.15195010331968867</v>
      </c>
      <c r="G281" s="10">
        <f t="shared" si="61"/>
        <v>0.17711058301599036</v>
      </c>
      <c r="H281" s="11">
        <f t="shared" si="58"/>
        <v>0.16404868603036732</v>
      </c>
      <c r="I281" s="12">
        <f t="shared" si="59"/>
        <v>0</v>
      </c>
      <c r="J281" s="28">
        <f t="shared" si="60"/>
        <v>0</v>
      </c>
      <c r="K281" s="30">
        <f t="shared" si="51"/>
        <v>0</v>
      </c>
      <c r="L281" s="5"/>
      <c r="M281" s="30">
        <f t="shared" si="52"/>
        <v>0</v>
      </c>
      <c r="N281" s="42">
        <f t="shared" si="53"/>
        <v>0</v>
      </c>
      <c r="O281" s="43">
        <f t="shared" si="54"/>
        <v>0</v>
      </c>
      <c r="P281" s="43">
        <f t="shared" si="55"/>
        <v>-0.34013437099999999</v>
      </c>
      <c r="Q281" s="43">
        <f t="shared" si="56"/>
        <v>-0.34013437099999999</v>
      </c>
      <c r="R281" s="43">
        <f t="shared" si="57"/>
        <v>0.11569139033556564</v>
      </c>
    </row>
    <row r="282" spans="1:18" ht="15.75" customHeight="1" x14ac:dyDescent="0.3">
      <c r="A282" s="47">
        <v>38264</v>
      </c>
      <c r="B282" s="48">
        <v>0</v>
      </c>
      <c r="C282" s="49">
        <v>0</v>
      </c>
      <c r="D282" s="10">
        <f t="shared" si="49"/>
        <v>-0.38980777739764078</v>
      </c>
      <c r="E282" s="10">
        <f t="shared" si="50"/>
        <v>-0.42084508196721315</v>
      </c>
      <c r="F282" s="10">
        <f t="shared" si="61"/>
        <v>0.15195010331968867</v>
      </c>
      <c r="G282" s="10">
        <f t="shared" si="61"/>
        <v>0.17711058301599036</v>
      </c>
      <c r="H282" s="11">
        <f t="shared" si="58"/>
        <v>0.16404868603036732</v>
      </c>
      <c r="I282" s="12">
        <f t="shared" si="59"/>
        <v>0</v>
      </c>
      <c r="J282" s="28">
        <f t="shared" si="60"/>
        <v>0</v>
      </c>
      <c r="K282" s="30">
        <f t="shared" si="51"/>
        <v>0</v>
      </c>
      <c r="L282" s="5"/>
      <c r="M282" s="30">
        <f t="shared" si="52"/>
        <v>0</v>
      </c>
      <c r="N282" s="42">
        <f t="shared" si="53"/>
        <v>0</v>
      </c>
      <c r="O282" s="43">
        <f t="shared" si="54"/>
        <v>0</v>
      </c>
      <c r="P282" s="43">
        <f t="shared" si="55"/>
        <v>-0.34013437099999999</v>
      </c>
      <c r="Q282" s="43">
        <f t="shared" si="56"/>
        <v>-0.34013437099999999</v>
      </c>
      <c r="R282" s="43">
        <f t="shared" si="57"/>
        <v>0.11569139033556564</v>
      </c>
    </row>
    <row r="283" spans="1:18" ht="15.75" customHeight="1" x14ac:dyDescent="0.3">
      <c r="A283" s="47">
        <v>38265</v>
      </c>
      <c r="B283" s="48">
        <v>0</v>
      </c>
      <c r="C283" s="49">
        <v>0</v>
      </c>
      <c r="D283" s="10">
        <f t="shared" si="49"/>
        <v>-0.38980777739764078</v>
      </c>
      <c r="E283" s="10">
        <f t="shared" si="50"/>
        <v>-0.42084508196721315</v>
      </c>
      <c r="F283" s="10">
        <f t="shared" si="61"/>
        <v>0.15195010331968867</v>
      </c>
      <c r="G283" s="10">
        <f t="shared" si="61"/>
        <v>0.17711058301599036</v>
      </c>
      <c r="H283" s="11">
        <f t="shared" si="58"/>
        <v>0.16404868603036732</v>
      </c>
      <c r="I283" s="12">
        <f t="shared" si="59"/>
        <v>0</v>
      </c>
      <c r="J283" s="28">
        <f t="shared" si="60"/>
        <v>0</v>
      </c>
      <c r="K283" s="30">
        <f t="shared" si="51"/>
        <v>0</v>
      </c>
      <c r="L283" s="5"/>
      <c r="M283" s="30">
        <f t="shared" si="52"/>
        <v>0</v>
      </c>
      <c r="N283" s="42">
        <f t="shared" si="53"/>
        <v>0</v>
      </c>
      <c r="O283" s="43">
        <f t="shared" si="54"/>
        <v>0</v>
      </c>
      <c r="P283" s="43">
        <f t="shared" si="55"/>
        <v>-0.34013437099999999</v>
      </c>
      <c r="Q283" s="43">
        <f t="shared" si="56"/>
        <v>-0.34013437099999999</v>
      </c>
      <c r="R283" s="43">
        <f t="shared" si="57"/>
        <v>0.11569139033556564</v>
      </c>
    </row>
    <row r="284" spans="1:18" ht="15.75" customHeight="1" x14ac:dyDescent="0.3">
      <c r="A284" s="47">
        <v>38266</v>
      </c>
      <c r="B284" s="48">
        <v>0</v>
      </c>
      <c r="C284" s="49">
        <v>0</v>
      </c>
      <c r="D284" s="10">
        <f t="shared" si="49"/>
        <v>-0.38980777739764078</v>
      </c>
      <c r="E284" s="10">
        <f t="shared" si="50"/>
        <v>-0.42084508196721315</v>
      </c>
      <c r="F284" s="10">
        <f t="shared" si="61"/>
        <v>0.15195010331968867</v>
      </c>
      <c r="G284" s="10">
        <f t="shared" si="61"/>
        <v>0.17711058301599036</v>
      </c>
      <c r="H284" s="11">
        <f t="shared" si="58"/>
        <v>0.16404868603036732</v>
      </c>
      <c r="I284" s="12">
        <f t="shared" si="59"/>
        <v>0</v>
      </c>
      <c r="J284" s="28">
        <f t="shared" si="60"/>
        <v>0</v>
      </c>
      <c r="K284" s="30">
        <f t="shared" si="51"/>
        <v>0</v>
      </c>
      <c r="L284" s="5"/>
      <c r="M284" s="30">
        <f t="shared" si="52"/>
        <v>0</v>
      </c>
      <c r="N284" s="42">
        <f t="shared" si="53"/>
        <v>0</v>
      </c>
      <c r="O284" s="43">
        <f t="shared" si="54"/>
        <v>0</v>
      </c>
      <c r="P284" s="43">
        <f t="shared" si="55"/>
        <v>-0.34013437099999999</v>
      </c>
      <c r="Q284" s="43">
        <f t="shared" si="56"/>
        <v>-0.34013437099999999</v>
      </c>
      <c r="R284" s="43">
        <f t="shared" si="57"/>
        <v>0.11569139033556564</v>
      </c>
    </row>
    <row r="285" spans="1:18" ht="15.75" customHeight="1" x14ac:dyDescent="0.3">
      <c r="A285" s="47">
        <v>38267</v>
      </c>
      <c r="B285" s="48">
        <v>0</v>
      </c>
      <c r="C285" s="49">
        <v>0</v>
      </c>
      <c r="D285" s="10">
        <f t="shared" si="49"/>
        <v>-0.38980777739764078</v>
      </c>
      <c r="E285" s="10">
        <f t="shared" si="50"/>
        <v>-0.42084508196721315</v>
      </c>
      <c r="F285" s="10">
        <f t="shared" si="61"/>
        <v>0.15195010331968867</v>
      </c>
      <c r="G285" s="10">
        <f t="shared" si="61"/>
        <v>0.17711058301599036</v>
      </c>
      <c r="H285" s="11">
        <f t="shared" si="58"/>
        <v>0.16404868603036732</v>
      </c>
      <c r="I285" s="12">
        <f t="shared" si="59"/>
        <v>0</v>
      </c>
      <c r="J285" s="28">
        <f t="shared" si="60"/>
        <v>0</v>
      </c>
      <c r="K285" s="30">
        <f t="shared" si="51"/>
        <v>0</v>
      </c>
      <c r="L285" s="5"/>
      <c r="M285" s="30">
        <f t="shared" si="52"/>
        <v>0</v>
      </c>
      <c r="N285" s="42">
        <f t="shared" si="53"/>
        <v>0</v>
      </c>
      <c r="O285" s="43">
        <f t="shared" si="54"/>
        <v>0</v>
      </c>
      <c r="P285" s="43">
        <f t="shared" si="55"/>
        <v>-0.34013437099999999</v>
      </c>
      <c r="Q285" s="43">
        <f t="shared" si="56"/>
        <v>-0.34013437099999999</v>
      </c>
      <c r="R285" s="43">
        <f t="shared" si="57"/>
        <v>0.11569139033556564</v>
      </c>
    </row>
    <row r="286" spans="1:18" ht="15.75" customHeight="1" x14ac:dyDescent="0.3">
      <c r="A286" s="47">
        <v>38268</v>
      </c>
      <c r="B286" s="48">
        <v>0</v>
      </c>
      <c r="C286" s="49">
        <v>0</v>
      </c>
      <c r="D286" s="10">
        <f t="shared" si="49"/>
        <v>-0.38980777739764078</v>
      </c>
      <c r="E286" s="10">
        <f t="shared" si="50"/>
        <v>-0.42084508196721315</v>
      </c>
      <c r="F286" s="10">
        <f t="shared" si="61"/>
        <v>0.15195010331968867</v>
      </c>
      <c r="G286" s="10">
        <f t="shared" si="61"/>
        <v>0.17711058301599036</v>
      </c>
      <c r="H286" s="11">
        <f t="shared" si="58"/>
        <v>0.16404868603036732</v>
      </c>
      <c r="I286" s="12">
        <f t="shared" si="59"/>
        <v>0</v>
      </c>
      <c r="J286" s="28">
        <f t="shared" si="60"/>
        <v>0</v>
      </c>
      <c r="K286" s="30">
        <f t="shared" si="51"/>
        <v>0</v>
      </c>
      <c r="L286" s="5"/>
      <c r="M286" s="30">
        <f t="shared" si="52"/>
        <v>0</v>
      </c>
      <c r="N286" s="42">
        <f t="shared" si="53"/>
        <v>0</v>
      </c>
      <c r="O286" s="43">
        <f t="shared" si="54"/>
        <v>0</v>
      </c>
      <c r="P286" s="43">
        <f t="shared" si="55"/>
        <v>-0.34013437099999999</v>
      </c>
      <c r="Q286" s="43">
        <f t="shared" si="56"/>
        <v>-0.34013437099999999</v>
      </c>
      <c r="R286" s="43">
        <f t="shared" si="57"/>
        <v>0.11569139033556564</v>
      </c>
    </row>
    <row r="287" spans="1:18" ht="15.75" customHeight="1" x14ac:dyDescent="0.3">
      <c r="A287" s="47">
        <v>38269</v>
      </c>
      <c r="B287" s="48">
        <v>0</v>
      </c>
      <c r="C287" s="49">
        <v>0</v>
      </c>
      <c r="D287" s="10">
        <f t="shared" si="49"/>
        <v>-0.38980777739764078</v>
      </c>
      <c r="E287" s="10">
        <f t="shared" si="50"/>
        <v>-0.42084508196721315</v>
      </c>
      <c r="F287" s="10">
        <f t="shared" si="61"/>
        <v>0.15195010331968867</v>
      </c>
      <c r="G287" s="10">
        <f t="shared" si="61"/>
        <v>0.17711058301599036</v>
      </c>
      <c r="H287" s="11">
        <f t="shared" si="58"/>
        <v>0.16404868603036732</v>
      </c>
      <c r="I287" s="12">
        <f t="shared" si="59"/>
        <v>0</v>
      </c>
      <c r="J287" s="28">
        <f t="shared" si="60"/>
        <v>0</v>
      </c>
      <c r="K287" s="30">
        <f t="shared" si="51"/>
        <v>0</v>
      </c>
      <c r="L287" s="5"/>
      <c r="M287" s="30">
        <f t="shared" si="52"/>
        <v>0</v>
      </c>
      <c r="N287" s="42">
        <f t="shared" si="53"/>
        <v>0</v>
      </c>
      <c r="O287" s="43">
        <f t="shared" si="54"/>
        <v>0</v>
      </c>
      <c r="P287" s="43">
        <f t="shared" si="55"/>
        <v>-0.34013437099999999</v>
      </c>
      <c r="Q287" s="43">
        <f t="shared" si="56"/>
        <v>-0.34013437099999999</v>
      </c>
      <c r="R287" s="43">
        <f t="shared" si="57"/>
        <v>0.11569139033556564</v>
      </c>
    </row>
    <row r="288" spans="1:18" ht="15.75" customHeight="1" x14ac:dyDescent="0.3">
      <c r="A288" s="47">
        <v>38270</v>
      </c>
      <c r="B288" s="48">
        <v>0</v>
      </c>
      <c r="C288" s="49">
        <v>0</v>
      </c>
      <c r="D288" s="10">
        <f t="shared" si="49"/>
        <v>-0.38980777739764078</v>
      </c>
      <c r="E288" s="10">
        <f t="shared" si="50"/>
        <v>-0.42084508196721315</v>
      </c>
      <c r="F288" s="10">
        <f t="shared" si="61"/>
        <v>0.15195010331968867</v>
      </c>
      <c r="G288" s="10">
        <f t="shared" si="61"/>
        <v>0.17711058301599036</v>
      </c>
      <c r="H288" s="11">
        <f t="shared" si="58"/>
        <v>0.16404868603036732</v>
      </c>
      <c r="I288" s="12">
        <f t="shared" si="59"/>
        <v>0</v>
      </c>
      <c r="J288" s="28">
        <f t="shared" si="60"/>
        <v>0</v>
      </c>
      <c r="K288" s="30">
        <f t="shared" si="51"/>
        <v>0</v>
      </c>
      <c r="L288" s="5"/>
      <c r="M288" s="30">
        <f t="shared" si="52"/>
        <v>0</v>
      </c>
      <c r="N288" s="42">
        <f t="shared" si="53"/>
        <v>0</v>
      </c>
      <c r="O288" s="43">
        <f t="shared" si="54"/>
        <v>0</v>
      </c>
      <c r="P288" s="43">
        <f t="shared" si="55"/>
        <v>-0.34013437099999999</v>
      </c>
      <c r="Q288" s="43">
        <f t="shared" si="56"/>
        <v>-0.34013437099999999</v>
      </c>
      <c r="R288" s="43">
        <f t="shared" si="57"/>
        <v>0.11569139033556564</v>
      </c>
    </row>
    <row r="289" spans="1:18" ht="15.75" customHeight="1" x14ac:dyDescent="0.3">
      <c r="A289" s="47">
        <v>38271</v>
      </c>
      <c r="B289" s="48">
        <v>0</v>
      </c>
      <c r="C289" s="49">
        <v>0</v>
      </c>
      <c r="D289" s="10">
        <f t="shared" si="49"/>
        <v>-0.38980777739764078</v>
      </c>
      <c r="E289" s="10">
        <f t="shared" si="50"/>
        <v>-0.42084508196721315</v>
      </c>
      <c r="F289" s="10">
        <f t="shared" si="61"/>
        <v>0.15195010331968867</v>
      </c>
      <c r="G289" s="10">
        <f t="shared" si="61"/>
        <v>0.17711058301599036</v>
      </c>
      <c r="H289" s="11">
        <f t="shared" si="58"/>
        <v>0.16404868603036732</v>
      </c>
      <c r="I289" s="12">
        <f t="shared" si="59"/>
        <v>0</v>
      </c>
      <c r="J289" s="28">
        <f t="shared" si="60"/>
        <v>0</v>
      </c>
      <c r="K289" s="30">
        <f t="shared" si="51"/>
        <v>0</v>
      </c>
      <c r="L289" s="5"/>
      <c r="M289" s="30">
        <f t="shared" si="52"/>
        <v>0</v>
      </c>
      <c r="N289" s="42">
        <f t="shared" si="53"/>
        <v>0</v>
      </c>
      <c r="O289" s="43">
        <f t="shared" si="54"/>
        <v>0</v>
      </c>
      <c r="P289" s="43">
        <f t="shared" si="55"/>
        <v>-0.34013437099999999</v>
      </c>
      <c r="Q289" s="43">
        <f t="shared" si="56"/>
        <v>-0.34013437099999999</v>
      </c>
      <c r="R289" s="43">
        <f t="shared" si="57"/>
        <v>0.11569139033556564</v>
      </c>
    </row>
    <row r="290" spans="1:18" ht="15.75" customHeight="1" x14ac:dyDescent="0.3">
      <c r="A290" s="47">
        <v>38272</v>
      </c>
      <c r="B290" s="48">
        <v>0</v>
      </c>
      <c r="C290" s="49">
        <v>0</v>
      </c>
      <c r="D290" s="10">
        <f t="shared" si="49"/>
        <v>-0.38980777739764078</v>
      </c>
      <c r="E290" s="10">
        <f t="shared" si="50"/>
        <v>-0.42084508196721315</v>
      </c>
      <c r="F290" s="10">
        <f t="shared" si="61"/>
        <v>0.15195010331968867</v>
      </c>
      <c r="G290" s="10">
        <f t="shared" si="61"/>
        <v>0.17711058301599036</v>
      </c>
      <c r="H290" s="11">
        <f t="shared" si="58"/>
        <v>0.16404868603036732</v>
      </c>
      <c r="I290" s="12">
        <f t="shared" si="59"/>
        <v>0</v>
      </c>
      <c r="J290" s="28">
        <f t="shared" si="60"/>
        <v>0</v>
      </c>
      <c r="K290" s="30">
        <f t="shared" si="51"/>
        <v>0</v>
      </c>
      <c r="L290" s="5"/>
      <c r="M290" s="30">
        <f t="shared" si="52"/>
        <v>0</v>
      </c>
      <c r="N290" s="42">
        <f t="shared" si="53"/>
        <v>0</v>
      </c>
      <c r="O290" s="43">
        <f t="shared" si="54"/>
        <v>0</v>
      </c>
      <c r="P290" s="43">
        <f t="shared" si="55"/>
        <v>-0.34013437099999999</v>
      </c>
      <c r="Q290" s="43">
        <f t="shared" si="56"/>
        <v>-0.34013437099999999</v>
      </c>
      <c r="R290" s="43">
        <f t="shared" si="57"/>
        <v>0.11569139033556564</v>
      </c>
    </row>
    <row r="291" spans="1:18" ht="15.75" customHeight="1" x14ac:dyDescent="0.3">
      <c r="A291" s="47">
        <v>38273</v>
      </c>
      <c r="B291" s="48">
        <v>0</v>
      </c>
      <c r="C291" s="49">
        <v>0</v>
      </c>
      <c r="D291" s="10">
        <f t="shared" si="49"/>
        <v>-0.38980777739764078</v>
      </c>
      <c r="E291" s="10">
        <f t="shared" si="50"/>
        <v>-0.42084508196721315</v>
      </c>
      <c r="F291" s="10">
        <f t="shared" si="61"/>
        <v>0.15195010331968867</v>
      </c>
      <c r="G291" s="10">
        <f t="shared" si="61"/>
        <v>0.17711058301599036</v>
      </c>
      <c r="H291" s="11">
        <f t="shared" si="58"/>
        <v>0.16404868603036732</v>
      </c>
      <c r="I291" s="12">
        <f t="shared" si="59"/>
        <v>0</v>
      </c>
      <c r="J291" s="28">
        <f t="shared" si="60"/>
        <v>0</v>
      </c>
      <c r="K291" s="30">
        <f t="shared" si="51"/>
        <v>0</v>
      </c>
      <c r="L291" s="5"/>
      <c r="M291" s="30">
        <f t="shared" si="52"/>
        <v>0</v>
      </c>
      <c r="N291" s="42">
        <f t="shared" si="53"/>
        <v>0</v>
      </c>
      <c r="O291" s="43">
        <f t="shared" si="54"/>
        <v>0</v>
      </c>
      <c r="P291" s="43">
        <f t="shared" si="55"/>
        <v>-0.34013437099999999</v>
      </c>
      <c r="Q291" s="43">
        <f t="shared" si="56"/>
        <v>-0.34013437099999999</v>
      </c>
      <c r="R291" s="43">
        <f t="shared" si="57"/>
        <v>0.11569139033556564</v>
      </c>
    </row>
    <row r="292" spans="1:18" ht="15.75" customHeight="1" x14ac:dyDescent="0.3">
      <c r="A292" s="47">
        <v>38274</v>
      </c>
      <c r="B292" s="48">
        <v>0</v>
      </c>
      <c r="C292" s="49">
        <v>0</v>
      </c>
      <c r="D292" s="10">
        <f t="shared" si="49"/>
        <v>-0.38980777739764078</v>
      </c>
      <c r="E292" s="10">
        <f t="shared" si="50"/>
        <v>-0.42084508196721315</v>
      </c>
      <c r="F292" s="10">
        <f t="shared" si="61"/>
        <v>0.15195010331968867</v>
      </c>
      <c r="G292" s="10">
        <f t="shared" si="61"/>
        <v>0.17711058301599036</v>
      </c>
      <c r="H292" s="11">
        <f t="shared" si="58"/>
        <v>0.16404868603036732</v>
      </c>
      <c r="I292" s="12">
        <f t="shared" si="59"/>
        <v>0</v>
      </c>
      <c r="J292" s="28">
        <f t="shared" si="60"/>
        <v>0</v>
      </c>
      <c r="K292" s="30">
        <f t="shared" si="51"/>
        <v>0</v>
      </c>
      <c r="L292" s="5"/>
      <c r="M292" s="30">
        <f t="shared" si="52"/>
        <v>0</v>
      </c>
      <c r="N292" s="42">
        <f t="shared" si="53"/>
        <v>0</v>
      </c>
      <c r="O292" s="43">
        <f t="shared" si="54"/>
        <v>0</v>
      </c>
      <c r="P292" s="43">
        <f t="shared" si="55"/>
        <v>-0.34013437099999999</v>
      </c>
      <c r="Q292" s="43">
        <f t="shared" si="56"/>
        <v>-0.34013437099999999</v>
      </c>
      <c r="R292" s="43">
        <f t="shared" si="57"/>
        <v>0.11569139033556564</v>
      </c>
    </row>
    <row r="293" spans="1:18" ht="15.75" customHeight="1" x14ac:dyDescent="0.3">
      <c r="A293" s="47">
        <v>38275</v>
      </c>
      <c r="B293" s="48">
        <v>0</v>
      </c>
      <c r="C293" s="49">
        <v>0</v>
      </c>
      <c r="D293" s="10">
        <f t="shared" si="49"/>
        <v>-0.38980777739764078</v>
      </c>
      <c r="E293" s="10">
        <f t="shared" si="50"/>
        <v>-0.42084508196721315</v>
      </c>
      <c r="F293" s="10">
        <f t="shared" si="61"/>
        <v>0.15195010331968867</v>
      </c>
      <c r="G293" s="10">
        <f t="shared" si="61"/>
        <v>0.17711058301599036</v>
      </c>
      <c r="H293" s="11">
        <f t="shared" si="58"/>
        <v>0.16404868603036732</v>
      </c>
      <c r="I293" s="12">
        <f t="shared" si="59"/>
        <v>0</v>
      </c>
      <c r="J293" s="28">
        <f t="shared" si="60"/>
        <v>0</v>
      </c>
      <c r="K293" s="30">
        <f t="shared" si="51"/>
        <v>0</v>
      </c>
      <c r="L293" s="5"/>
      <c r="M293" s="30">
        <f t="shared" si="52"/>
        <v>0</v>
      </c>
      <c r="N293" s="42">
        <f t="shared" si="53"/>
        <v>0</v>
      </c>
      <c r="O293" s="43">
        <f t="shared" si="54"/>
        <v>0</v>
      </c>
      <c r="P293" s="43">
        <f t="shared" si="55"/>
        <v>-0.34013437099999999</v>
      </c>
      <c r="Q293" s="43">
        <f t="shared" si="56"/>
        <v>-0.34013437099999999</v>
      </c>
      <c r="R293" s="43">
        <f t="shared" si="57"/>
        <v>0.11569139033556564</v>
      </c>
    </row>
    <row r="294" spans="1:18" ht="15.75" customHeight="1" x14ac:dyDescent="0.3">
      <c r="A294" s="47">
        <v>38276</v>
      </c>
      <c r="B294" s="48">
        <v>0</v>
      </c>
      <c r="C294" s="49">
        <v>0</v>
      </c>
      <c r="D294" s="10">
        <f t="shared" si="49"/>
        <v>-0.38980777739764078</v>
      </c>
      <c r="E294" s="10">
        <f t="shared" si="50"/>
        <v>-0.42084508196721315</v>
      </c>
      <c r="F294" s="10">
        <f t="shared" si="61"/>
        <v>0.15195010331968867</v>
      </c>
      <c r="G294" s="10">
        <f t="shared" si="61"/>
        <v>0.17711058301599036</v>
      </c>
      <c r="H294" s="11">
        <f t="shared" si="58"/>
        <v>0.16404868603036732</v>
      </c>
      <c r="I294" s="12">
        <f t="shared" si="59"/>
        <v>0</v>
      </c>
      <c r="J294" s="28">
        <f t="shared" si="60"/>
        <v>0</v>
      </c>
      <c r="K294" s="30">
        <f t="shared" si="51"/>
        <v>0</v>
      </c>
      <c r="L294" s="5"/>
      <c r="M294" s="30">
        <f t="shared" si="52"/>
        <v>0</v>
      </c>
      <c r="N294" s="42">
        <f t="shared" si="53"/>
        <v>0</v>
      </c>
      <c r="O294" s="43">
        <f t="shared" si="54"/>
        <v>0</v>
      </c>
      <c r="P294" s="43">
        <f t="shared" si="55"/>
        <v>-0.34013437099999999</v>
      </c>
      <c r="Q294" s="43">
        <f t="shared" si="56"/>
        <v>-0.34013437099999999</v>
      </c>
      <c r="R294" s="43">
        <f t="shared" si="57"/>
        <v>0.11569139033556564</v>
      </c>
    </row>
    <row r="295" spans="1:18" ht="15.75" customHeight="1" x14ac:dyDescent="0.3">
      <c r="A295" s="47">
        <v>38277</v>
      </c>
      <c r="B295" s="48">
        <v>0</v>
      </c>
      <c r="C295" s="49">
        <v>0</v>
      </c>
      <c r="D295" s="10">
        <f t="shared" si="49"/>
        <v>-0.38980777739764078</v>
      </c>
      <c r="E295" s="10">
        <f t="shared" si="50"/>
        <v>-0.42084508196721315</v>
      </c>
      <c r="F295" s="10">
        <f t="shared" si="61"/>
        <v>0.15195010331968867</v>
      </c>
      <c r="G295" s="10">
        <f t="shared" si="61"/>
        <v>0.17711058301599036</v>
      </c>
      <c r="H295" s="11">
        <f t="shared" si="58"/>
        <v>0.16404868603036732</v>
      </c>
      <c r="I295" s="12">
        <f t="shared" si="59"/>
        <v>0</v>
      </c>
      <c r="J295" s="28">
        <f t="shared" si="60"/>
        <v>0</v>
      </c>
      <c r="K295" s="30">
        <f t="shared" si="51"/>
        <v>0</v>
      </c>
      <c r="L295" s="5"/>
      <c r="M295" s="30">
        <f t="shared" si="52"/>
        <v>0</v>
      </c>
      <c r="N295" s="42">
        <f t="shared" si="53"/>
        <v>0</v>
      </c>
      <c r="O295" s="43">
        <f t="shared" si="54"/>
        <v>0</v>
      </c>
      <c r="P295" s="43">
        <f t="shared" si="55"/>
        <v>-0.34013437099999999</v>
      </c>
      <c r="Q295" s="43">
        <f t="shared" si="56"/>
        <v>-0.34013437099999999</v>
      </c>
      <c r="R295" s="43">
        <f t="shared" si="57"/>
        <v>0.11569139033556564</v>
      </c>
    </row>
    <row r="296" spans="1:18" ht="15.75" customHeight="1" x14ac:dyDescent="0.3">
      <c r="A296" s="47">
        <v>38278</v>
      </c>
      <c r="B296" s="48">
        <v>0</v>
      </c>
      <c r="C296" s="49">
        <v>0</v>
      </c>
      <c r="D296" s="10">
        <f t="shared" si="49"/>
        <v>-0.38980777739764078</v>
      </c>
      <c r="E296" s="10">
        <f t="shared" si="50"/>
        <v>-0.42084508196721315</v>
      </c>
      <c r="F296" s="10">
        <f t="shared" si="61"/>
        <v>0.15195010331968867</v>
      </c>
      <c r="G296" s="10">
        <f t="shared" si="61"/>
        <v>0.17711058301599036</v>
      </c>
      <c r="H296" s="11">
        <f t="shared" si="58"/>
        <v>0.16404868603036732</v>
      </c>
      <c r="I296" s="12">
        <f t="shared" si="59"/>
        <v>0</v>
      </c>
      <c r="J296" s="28">
        <f t="shared" si="60"/>
        <v>0</v>
      </c>
      <c r="K296" s="30">
        <f t="shared" si="51"/>
        <v>0</v>
      </c>
      <c r="L296" s="5"/>
      <c r="M296" s="30">
        <f t="shared" si="52"/>
        <v>0</v>
      </c>
      <c r="N296" s="42">
        <f t="shared" si="53"/>
        <v>0</v>
      </c>
      <c r="O296" s="43">
        <f t="shared" si="54"/>
        <v>0</v>
      </c>
      <c r="P296" s="43">
        <f t="shared" si="55"/>
        <v>-0.34013437099999999</v>
      </c>
      <c r="Q296" s="43">
        <f t="shared" si="56"/>
        <v>-0.34013437099999999</v>
      </c>
      <c r="R296" s="43">
        <f t="shared" si="57"/>
        <v>0.11569139033556564</v>
      </c>
    </row>
    <row r="297" spans="1:18" ht="15.75" customHeight="1" x14ac:dyDescent="0.3">
      <c r="A297" s="47">
        <v>38279</v>
      </c>
      <c r="B297" s="48">
        <v>0</v>
      </c>
      <c r="C297" s="49">
        <v>0</v>
      </c>
      <c r="D297" s="10">
        <f t="shared" si="49"/>
        <v>-0.38980777739764078</v>
      </c>
      <c r="E297" s="10">
        <f t="shared" si="50"/>
        <v>-0.42084508196721315</v>
      </c>
      <c r="F297" s="10">
        <f t="shared" si="61"/>
        <v>0.15195010331968867</v>
      </c>
      <c r="G297" s="10">
        <f t="shared" si="61"/>
        <v>0.17711058301599036</v>
      </c>
      <c r="H297" s="11">
        <f t="shared" si="58"/>
        <v>0.16404868603036732</v>
      </c>
      <c r="I297" s="12">
        <f t="shared" si="59"/>
        <v>0</v>
      </c>
      <c r="J297" s="28">
        <f t="shared" si="60"/>
        <v>0</v>
      </c>
      <c r="K297" s="30">
        <f t="shared" si="51"/>
        <v>0</v>
      </c>
      <c r="L297" s="5"/>
      <c r="M297" s="30">
        <f t="shared" si="52"/>
        <v>0</v>
      </c>
      <c r="N297" s="42">
        <f t="shared" si="53"/>
        <v>0</v>
      </c>
      <c r="O297" s="43">
        <f t="shared" si="54"/>
        <v>0</v>
      </c>
      <c r="P297" s="43">
        <f t="shared" si="55"/>
        <v>-0.34013437099999999</v>
      </c>
      <c r="Q297" s="43">
        <f t="shared" si="56"/>
        <v>-0.34013437099999999</v>
      </c>
      <c r="R297" s="43">
        <f t="shared" si="57"/>
        <v>0.11569139033556564</v>
      </c>
    </row>
    <row r="298" spans="1:18" ht="15.75" customHeight="1" x14ac:dyDescent="0.3">
      <c r="A298" s="47">
        <v>38280</v>
      </c>
      <c r="B298" s="48">
        <v>0</v>
      </c>
      <c r="C298" s="49">
        <v>0</v>
      </c>
      <c r="D298" s="10">
        <f t="shared" si="49"/>
        <v>-0.38980777739764078</v>
      </c>
      <c r="E298" s="10">
        <f t="shared" si="50"/>
        <v>-0.42084508196721315</v>
      </c>
      <c r="F298" s="10">
        <f t="shared" si="61"/>
        <v>0.15195010331968867</v>
      </c>
      <c r="G298" s="10">
        <f t="shared" si="61"/>
        <v>0.17711058301599036</v>
      </c>
      <c r="H298" s="11">
        <f t="shared" si="58"/>
        <v>0.16404868603036732</v>
      </c>
      <c r="I298" s="12">
        <f t="shared" si="59"/>
        <v>0</v>
      </c>
      <c r="J298" s="28">
        <f t="shared" si="60"/>
        <v>0</v>
      </c>
      <c r="K298" s="30">
        <f t="shared" si="51"/>
        <v>0</v>
      </c>
      <c r="L298" s="5"/>
      <c r="M298" s="30">
        <f t="shared" si="52"/>
        <v>0</v>
      </c>
      <c r="N298" s="42">
        <f t="shared" si="53"/>
        <v>0</v>
      </c>
      <c r="O298" s="43">
        <f t="shared" si="54"/>
        <v>0</v>
      </c>
      <c r="P298" s="43">
        <f t="shared" si="55"/>
        <v>-0.34013437099999999</v>
      </c>
      <c r="Q298" s="43">
        <f t="shared" si="56"/>
        <v>-0.34013437099999999</v>
      </c>
      <c r="R298" s="43">
        <f t="shared" si="57"/>
        <v>0.11569139033556564</v>
      </c>
    </row>
    <row r="299" spans="1:18" ht="15.75" customHeight="1" x14ac:dyDescent="0.3">
      <c r="A299" s="47">
        <v>38281</v>
      </c>
      <c r="B299" s="48">
        <v>0</v>
      </c>
      <c r="C299" s="49">
        <v>0</v>
      </c>
      <c r="D299" s="10">
        <f t="shared" si="49"/>
        <v>-0.38980777739764078</v>
      </c>
      <c r="E299" s="10">
        <f t="shared" si="50"/>
        <v>-0.42084508196721315</v>
      </c>
      <c r="F299" s="10">
        <f t="shared" si="61"/>
        <v>0.15195010331968867</v>
      </c>
      <c r="G299" s="10">
        <f t="shared" si="61"/>
        <v>0.17711058301599036</v>
      </c>
      <c r="H299" s="11">
        <f t="shared" si="58"/>
        <v>0.16404868603036732</v>
      </c>
      <c r="I299" s="12">
        <f t="shared" si="59"/>
        <v>0</v>
      </c>
      <c r="J299" s="28">
        <f t="shared" si="60"/>
        <v>0</v>
      </c>
      <c r="K299" s="30">
        <f t="shared" si="51"/>
        <v>0</v>
      </c>
      <c r="L299" s="5"/>
      <c r="M299" s="30">
        <f t="shared" si="52"/>
        <v>0</v>
      </c>
      <c r="N299" s="42">
        <f t="shared" si="53"/>
        <v>0</v>
      </c>
      <c r="O299" s="43">
        <f t="shared" si="54"/>
        <v>0</v>
      </c>
      <c r="P299" s="43">
        <f t="shared" si="55"/>
        <v>-0.34013437099999999</v>
      </c>
      <c r="Q299" s="43">
        <f t="shared" si="56"/>
        <v>-0.34013437099999999</v>
      </c>
      <c r="R299" s="43">
        <f t="shared" si="57"/>
        <v>0.11569139033556564</v>
      </c>
    </row>
    <row r="300" spans="1:18" ht="15.75" customHeight="1" x14ac:dyDescent="0.3">
      <c r="A300" s="47">
        <v>38282</v>
      </c>
      <c r="B300" s="48">
        <v>0</v>
      </c>
      <c r="C300" s="49">
        <v>0</v>
      </c>
      <c r="D300" s="10">
        <f t="shared" si="49"/>
        <v>-0.38980777739764078</v>
      </c>
      <c r="E300" s="10">
        <f t="shared" si="50"/>
        <v>-0.42084508196721315</v>
      </c>
      <c r="F300" s="10">
        <f t="shared" si="61"/>
        <v>0.15195010331968867</v>
      </c>
      <c r="G300" s="10">
        <f t="shared" si="61"/>
        <v>0.17711058301599036</v>
      </c>
      <c r="H300" s="11">
        <f t="shared" si="58"/>
        <v>0.16404868603036732</v>
      </c>
      <c r="I300" s="12">
        <f t="shared" si="59"/>
        <v>0</v>
      </c>
      <c r="J300" s="28">
        <f t="shared" si="60"/>
        <v>0</v>
      </c>
      <c r="K300" s="30">
        <f t="shared" si="51"/>
        <v>0</v>
      </c>
      <c r="L300" s="5"/>
      <c r="M300" s="30">
        <f t="shared" si="52"/>
        <v>0</v>
      </c>
      <c r="N300" s="42">
        <f t="shared" si="53"/>
        <v>0</v>
      </c>
      <c r="O300" s="43">
        <f t="shared" si="54"/>
        <v>0</v>
      </c>
      <c r="P300" s="43">
        <f t="shared" si="55"/>
        <v>-0.34013437099999999</v>
      </c>
      <c r="Q300" s="43">
        <f t="shared" si="56"/>
        <v>-0.34013437099999999</v>
      </c>
      <c r="R300" s="43">
        <f t="shared" si="57"/>
        <v>0.11569139033556564</v>
      </c>
    </row>
    <row r="301" spans="1:18" ht="15.75" customHeight="1" x14ac:dyDescent="0.3">
      <c r="A301" s="47">
        <v>38283</v>
      </c>
      <c r="B301" s="48">
        <v>0</v>
      </c>
      <c r="C301" s="49">
        <v>0</v>
      </c>
      <c r="D301" s="10">
        <f t="shared" si="49"/>
        <v>-0.38980777739764078</v>
      </c>
      <c r="E301" s="10">
        <f t="shared" si="50"/>
        <v>-0.42084508196721315</v>
      </c>
      <c r="F301" s="10">
        <f t="shared" si="61"/>
        <v>0.15195010331968867</v>
      </c>
      <c r="G301" s="10">
        <f t="shared" si="61"/>
        <v>0.17711058301599036</v>
      </c>
      <c r="H301" s="11">
        <f t="shared" si="58"/>
        <v>0.16404868603036732</v>
      </c>
      <c r="I301" s="12">
        <f t="shared" si="59"/>
        <v>0</v>
      </c>
      <c r="J301" s="28">
        <f t="shared" si="60"/>
        <v>0</v>
      </c>
      <c r="K301" s="30">
        <f t="shared" si="51"/>
        <v>0</v>
      </c>
      <c r="L301" s="5"/>
      <c r="M301" s="30">
        <f t="shared" si="52"/>
        <v>0</v>
      </c>
      <c r="N301" s="42">
        <f t="shared" si="53"/>
        <v>0</v>
      </c>
      <c r="O301" s="43">
        <f t="shared" si="54"/>
        <v>0</v>
      </c>
      <c r="P301" s="43">
        <f t="shared" si="55"/>
        <v>-0.34013437099999999</v>
      </c>
      <c r="Q301" s="43">
        <f t="shared" si="56"/>
        <v>-0.34013437099999999</v>
      </c>
      <c r="R301" s="43">
        <f t="shared" si="57"/>
        <v>0.11569139033556564</v>
      </c>
    </row>
    <row r="302" spans="1:18" ht="15.75" customHeight="1" x14ac:dyDescent="0.3">
      <c r="A302" s="47">
        <v>38284</v>
      </c>
      <c r="B302" s="48">
        <v>0</v>
      </c>
      <c r="C302" s="49">
        <v>0</v>
      </c>
      <c r="D302" s="10">
        <f t="shared" si="49"/>
        <v>-0.38980777739764078</v>
      </c>
      <c r="E302" s="10">
        <f t="shared" si="50"/>
        <v>-0.42084508196721315</v>
      </c>
      <c r="F302" s="10">
        <f t="shared" si="61"/>
        <v>0.15195010331968867</v>
      </c>
      <c r="G302" s="10">
        <f t="shared" si="61"/>
        <v>0.17711058301599036</v>
      </c>
      <c r="H302" s="11">
        <f t="shared" si="58"/>
        <v>0.16404868603036732</v>
      </c>
      <c r="I302" s="12">
        <f t="shared" si="59"/>
        <v>0</v>
      </c>
      <c r="J302" s="28">
        <f t="shared" si="60"/>
        <v>0</v>
      </c>
      <c r="K302" s="30">
        <f t="shared" si="51"/>
        <v>0</v>
      </c>
      <c r="L302" s="5"/>
      <c r="M302" s="30">
        <f t="shared" si="52"/>
        <v>0</v>
      </c>
      <c r="N302" s="42">
        <f t="shared" si="53"/>
        <v>0</v>
      </c>
      <c r="O302" s="43">
        <f t="shared" si="54"/>
        <v>0</v>
      </c>
      <c r="P302" s="43">
        <f t="shared" si="55"/>
        <v>-0.34013437099999999</v>
      </c>
      <c r="Q302" s="43">
        <f t="shared" si="56"/>
        <v>-0.34013437099999999</v>
      </c>
      <c r="R302" s="43">
        <f t="shared" si="57"/>
        <v>0.11569139033556564</v>
      </c>
    </row>
    <row r="303" spans="1:18" ht="15.75" customHeight="1" x14ac:dyDescent="0.3">
      <c r="A303" s="47">
        <v>38285</v>
      </c>
      <c r="B303" s="48">
        <v>0</v>
      </c>
      <c r="C303" s="49">
        <v>0</v>
      </c>
      <c r="D303" s="10">
        <f t="shared" si="49"/>
        <v>-0.38980777739764078</v>
      </c>
      <c r="E303" s="10">
        <f t="shared" si="50"/>
        <v>-0.42084508196721315</v>
      </c>
      <c r="F303" s="10">
        <f t="shared" si="61"/>
        <v>0.15195010331968867</v>
      </c>
      <c r="G303" s="10">
        <f t="shared" si="61"/>
        <v>0.17711058301599036</v>
      </c>
      <c r="H303" s="11">
        <f t="shared" si="58"/>
        <v>0.16404868603036732</v>
      </c>
      <c r="I303" s="12">
        <f t="shared" si="59"/>
        <v>0</v>
      </c>
      <c r="J303" s="28">
        <f t="shared" si="60"/>
        <v>0</v>
      </c>
      <c r="K303" s="30">
        <f t="shared" si="51"/>
        <v>0</v>
      </c>
      <c r="L303" s="5"/>
      <c r="M303" s="30">
        <f t="shared" si="52"/>
        <v>0</v>
      </c>
      <c r="N303" s="42">
        <f t="shared" si="53"/>
        <v>0</v>
      </c>
      <c r="O303" s="43">
        <f t="shared" si="54"/>
        <v>0</v>
      </c>
      <c r="P303" s="43">
        <f t="shared" si="55"/>
        <v>-0.34013437099999999</v>
      </c>
      <c r="Q303" s="43">
        <f t="shared" si="56"/>
        <v>-0.34013437099999999</v>
      </c>
      <c r="R303" s="43">
        <f t="shared" si="57"/>
        <v>0.11569139033556564</v>
      </c>
    </row>
    <row r="304" spans="1:18" ht="15.75" customHeight="1" x14ac:dyDescent="0.3">
      <c r="A304" s="47">
        <v>38286</v>
      </c>
      <c r="B304" s="48">
        <v>0</v>
      </c>
      <c r="C304" s="49">
        <v>0</v>
      </c>
      <c r="D304" s="10">
        <f t="shared" si="49"/>
        <v>-0.38980777739764078</v>
      </c>
      <c r="E304" s="10">
        <f t="shared" si="50"/>
        <v>-0.42084508196721315</v>
      </c>
      <c r="F304" s="10">
        <f t="shared" si="61"/>
        <v>0.15195010331968867</v>
      </c>
      <c r="G304" s="10">
        <f t="shared" si="61"/>
        <v>0.17711058301599036</v>
      </c>
      <c r="H304" s="11">
        <f t="shared" si="58"/>
        <v>0.16404868603036732</v>
      </c>
      <c r="I304" s="12">
        <f t="shared" si="59"/>
        <v>0</v>
      </c>
      <c r="J304" s="28">
        <f t="shared" si="60"/>
        <v>0</v>
      </c>
      <c r="K304" s="30">
        <f t="shared" si="51"/>
        <v>0</v>
      </c>
      <c r="L304" s="5"/>
      <c r="M304" s="30">
        <f t="shared" si="52"/>
        <v>0</v>
      </c>
      <c r="N304" s="42">
        <f t="shared" si="53"/>
        <v>0</v>
      </c>
      <c r="O304" s="43">
        <f t="shared" si="54"/>
        <v>0</v>
      </c>
      <c r="P304" s="43">
        <f t="shared" si="55"/>
        <v>-0.34013437099999999</v>
      </c>
      <c r="Q304" s="43">
        <f t="shared" si="56"/>
        <v>-0.34013437099999999</v>
      </c>
      <c r="R304" s="43">
        <f t="shared" si="57"/>
        <v>0.11569139033556564</v>
      </c>
    </row>
    <row r="305" spans="1:18" ht="15.75" customHeight="1" x14ac:dyDescent="0.3">
      <c r="A305" s="47">
        <v>38287</v>
      </c>
      <c r="B305" s="48">
        <v>0</v>
      </c>
      <c r="C305" s="49">
        <v>0</v>
      </c>
      <c r="D305" s="10">
        <f t="shared" si="49"/>
        <v>-0.38980777739764078</v>
      </c>
      <c r="E305" s="10">
        <f t="shared" si="50"/>
        <v>-0.42084508196721315</v>
      </c>
      <c r="F305" s="10">
        <f t="shared" si="61"/>
        <v>0.15195010331968867</v>
      </c>
      <c r="G305" s="10">
        <f t="shared" si="61"/>
        <v>0.17711058301599036</v>
      </c>
      <c r="H305" s="11">
        <f t="shared" si="58"/>
        <v>0.16404868603036732</v>
      </c>
      <c r="I305" s="12">
        <f t="shared" si="59"/>
        <v>0</v>
      </c>
      <c r="J305" s="28">
        <f t="shared" si="60"/>
        <v>0</v>
      </c>
      <c r="K305" s="30">
        <f t="shared" si="51"/>
        <v>0</v>
      </c>
      <c r="L305" s="5"/>
      <c r="M305" s="30">
        <f t="shared" si="52"/>
        <v>0</v>
      </c>
      <c r="N305" s="42">
        <f t="shared" si="53"/>
        <v>0</v>
      </c>
      <c r="O305" s="43">
        <f t="shared" si="54"/>
        <v>0</v>
      </c>
      <c r="P305" s="43">
        <f t="shared" si="55"/>
        <v>-0.34013437099999999</v>
      </c>
      <c r="Q305" s="43">
        <f t="shared" si="56"/>
        <v>-0.34013437099999999</v>
      </c>
      <c r="R305" s="43">
        <f t="shared" si="57"/>
        <v>0.11569139033556564</v>
      </c>
    </row>
    <row r="306" spans="1:18" ht="15.75" customHeight="1" x14ac:dyDescent="0.3">
      <c r="A306" s="47">
        <v>38288</v>
      </c>
      <c r="B306" s="48">
        <v>0</v>
      </c>
      <c r="C306" s="49">
        <v>0</v>
      </c>
      <c r="D306" s="10">
        <f t="shared" si="49"/>
        <v>-0.38980777739764078</v>
      </c>
      <c r="E306" s="10">
        <f t="shared" si="50"/>
        <v>-0.42084508196721315</v>
      </c>
      <c r="F306" s="10">
        <f t="shared" si="61"/>
        <v>0.15195010331968867</v>
      </c>
      <c r="G306" s="10">
        <f t="shared" si="61"/>
        <v>0.17711058301599036</v>
      </c>
      <c r="H306" s="11">
        <f t="shared" si="58"/>
        <v>0.16404868603036732</v>
      </c>
      <c r="I306" s="12">
        <f t="shared" si="59"/>
        <v>0</v>
      </c>
      <c r="J306" s="28">
        <f t="shared" si="60"/>
        <v>0</v>
      </c>
      <c r="K306" s="30">
        <f t="shared" si="51"/>
        <v>0</v>
      </c>
      <c r="L306" s="5"/>
      <c r="M306" s="30">
        <f t="shared" si="52"/>
        <v>0</v>
      </c>
      <c r="N306" s="42">
        <f t="shared" si="53"/>
        <v>0</v>
      </c>
      <c r="O306" s="43">
        <f t="shared" si="54"/>
        <v>0</v>
      </c>
      <c r="P306" s="43">
        <f t="shared" si="55"/>
        <v>-0.34013437099999999</v>
      </c>
      <c r="Q306" s="43">
        <f t="shared" si="56"/>
        <v>-0.34013437099999999</v>
      </c>
      <c r="R306" s="43">
        <f t="shared" si="57"/>
        <v>0.11569139033556564</v>
      </c>
    </row>
    <row r="307" spans="1:18" ht="15.75" customHeight="1" x14ac:dyDescent="0.3">
      <c r="A307" s="47">
        <v>38289</v>
      </c>
      <c r="B307" s="48">
        <v>0</v>
      </c>
      <c r="C307" s="49">
        <v>0</v>
      </c>
      <c r="D307" s="10">
        <f t="shared" si="49"/>
        <v>-0.38980777739764078</v>
      </c>
      <c r="E307" s="10">
        <f t="shared" si="50"/>
        <v>-0.42084508196721315</v>
      </c>
      <c r="F307" s="10">
        <f t="shared" si="61"/>
        <v>0.15195010331968867</v>
      </c>
      <c r="G307" s="10">
        <f t="shared" si="61"/>
        <v>0.17711058301599036</v>
      </c>
      <c r="H307" s="11">
        <f t="shared" si="58"/>
        <v>0.16404868603036732</v>
      </c>
      <c r="I307" s="12">
        <f t="shared" si="59"/>
        <v>0</v>
      </c>
      <c r="J307" s="28">
        <f t="shared" si="60"/>
        <v>0</v>
      </c>
      <c r="K307" s="30">
        <f t="shared" si="51"/>
        <v>0</v>
      </c>
      <c r="L307" s="5"/>
      <c r="M307" s="30">
        <f t="shared" si="52"/>
        <v>0</v>
      </c>
      <c r="N307" s="42">
        <f t="shared" si="53"/>
        <v>0</v>
      </c>
      <c r="O307" s="43">
        <f t="shared" si="54"/>
        <v>0</v>
      </c>
      <c r="P307" s="43">
        <f t="shared" si="55"/>
        <v>-0.34013437099999999</v>
      </c>
      <c r="Q307" s="43">
        <f t="shared" si="56"/>
        <v>-0.34013437099999999</v>
      </c>
      <c r="R307" s="43">
        <f t="shared" si="57"/>
        <v>0.11569139033556564</v>
      </c>
    </row>
    <row r="308" spans="1:18" ht="15.75" customHeight="1" x14ac:dyDescent="0.3">
      <c r="A308" s="47">
        <v>38290</v>
      </c>
      <c r="B308" s="48">
        <v>0</v>
      </c>
      <c r="C308" s="49">
        <v>0</v>
      </c>
      <c r="D308" s="10">
        <f t="shared" si="49"/>
        <v>-0.38980777739764078</v>
      </c>
      <c r="E308" s="10">
        <f t="shared" si="50"/>
        <v>-0.42084508196721315</v>
      </c>
      <c r="F308" s="10">
        <f t="shared" si="61"/>
        <v>0.15195010331968867</v>
      </c>
      <c r="G308" s="10">
        <f t="shared" si="61"/>
        <v>0.17711058301599036</v>
      </c>
      <c r="H308" s="11">
        <f t="shared" si="58"/>
        <v>0.16404868603036732</v>
      </c>
      <c r="I308" s="12">
        <f t="shared" si="59"/>
        <v>0</v>
      </c>
      <c r="J308" s="28">
        <f t="shared" si="60"/>
        <v>0</v>
      </c>
      <c r="K308" s="30">
        <f t="shared" si="51"/>
        <v>0</v>
      </c>
      <c r="L308" s="5"/>
      <c r="M308" s="30">
        <f t="shared" si="52"/>
        <v>0</v>
      </c>
      <c r="N308" s="42">
        <f t="shared" si="53"/>
        <v>0</v>
      </c>
      <c r="O308" s="43">
        <f t="shared" si="54"/>
        <v>0</v>
      </c>
      <c r="P308" s="43">
        <f t="shared" si="55"/>
        <v>-0.34013437099999999</v>
      </c>
      <c r="Q308" s="43">
        <f t="shared" si="56"/>
        <v>-0.34013437099999999</v>
      </c>
      <c r="R308" s="43">
        <f t="shared" si="57"/>
        <v>0.11569139033556564</v>
      </c>
    </row>
    <row r="309" spans="1:18" ht="15.75" customHeight="1" x14ac:dyDescent="0.3">
      <c r="A309" s="47">
        <v>38291</v>
      </c>
      <c r="B309" s="48">
        <v>0</v>
      </c>
      <c r="C309" s="49">
        <v>0</v>
      </c>
      <c r="D309" s="10">
        <f t="shared" si="49"/>
        <v>-0.38980777739764078</v>
      </c>
      <c r="E309" s="10">
        <f t="shared" si="50"/>
        <v>-0.42084508196721315</v>
      </c>
      <c r="F309" s="10">
        <f t="shared" si="61"/>
        <v>0.15195010331968867</v>
      </c>
      <c r="G309" s="10">
        <f t="shared" si="61"/>
        <v>0.17711058301599036</v>
      </c>
      <c r="H309" s="11">
        <f t="shared" si="58"/>
        <v>0.16404868603036732</v>
      </c>
      <c r="I309" s="12">
        <f t="shared" si="59"/>
        <v>0</v>
      </c>
      <c r="J309" s="28">
        <f t="shared" si="60"/>
        <v>0</v>
      </c>
      <c r="K309" s="30">
        <f t="shared" si="51"/>
        <v>0</v>
      </c>
      <c r="L309" s="5"/>
      <c r="M309" s="30">
        <f t="shared" si="52"/>
        <v>0</v>
      </c>
      <c r="N309" s="42">
        <f t="shared" si="53"/>
        <v>0</v>
      </c>
      <c r="O309" s="43">
        <f t="shared" si="54"/>
        <v>0</v>
      </c>
      <c r="P309" s="43">
        <f t="shared" si="55"/>
        <v>-0.34013437099999999</v>
      </c>
      <c r="Q309" s="43">
        <f t="shared" si="56"/>
        <v>-0.34013437099999999</v>
      </c>
      <c r="R309" s="43">
        <f t="shared" si="57"/>
        <v>0.11569139033556564</v>
      </c>
    </row>
    <row r="310" spans="1:18" ht="15.75" customHeight="1" x14ac:dyDescent="0.3">
      <c r="A310" s="47">
        <v>38292</v>
      </c>
      <c r="B310" s="48">
        <v>0</v>
      </c>
      <c r="C310" s="49">
        <v>0</v>
      </c>
      <c r="D310" s="10">
        <f t="shared" si="49"/>
        <v>-0.38980777739764078</v>
      </c>
      <c r="E310" s="10">
        <f t="shared" si="50"/>
        <v>-0.42084508196721315</v>
      </c>
      <c r="F310" s="10">
        <f t="shared" si="61"/>
        <v>0.15195010331968867</v>
      </c>
      <c r="G310" s="10">
        <f t="shared" si="61"/>
        <v>0.17711058301599036</v>
      </c>
      <c r="H310" s="11">
        <f t="shared" si="58"/>
        <v>0.16404868603036732</v>
      </c>
      <c r="I310" s="12">
        <f t="shared" si="59"/>
        <v>0</v>
      </c>
      <c r="J310" s="28">
        <f t="shared" si="60"/>
        <v>0</v>
      </c>
      <c r="K310" s="30">
        <f t="shared" si="51"/>
        <v>0</v>
      </c>
      <c r="L310" s="5"/>
      <c r="M310" s="30">
        <f t="shared" si="52"/>
        <v>0</v>
      </c>
      <c r="N310" s="42">
        <f t="shared" si="53"/>
        <v>0</v>
      </c>
      <c r="O310" s="43">
        <f t="shared" si="54"/>
        <v>0</v>
      </c>
      <c r="P310" s="43">
        <f t="shared" si="55"/>
        <v>-0.34013437099999999</v>
      </c>
      <c r="Q310" s="43">
        <f t="shared" si="56"/>
        <v>-0.34013437099999999</v>
      </c>
      <c r="R310" s="43">
        <f t="shared" si="57"/>
        <v>0.11569139033556564</v>
      </c>
    </row>
    <row r="311" spans="1:18" ht="15.75" customHeight="1" x14ac:dyDescent="0.3">
      <c r="A311" s="47">
        <v>38293</v>
      </c>
      <c r="B311" s="48">
        <v>0</v>
      </c>
      <c r="C311" s="49">
        <v>0</v>
      </c>
      <c r="D311" s="10">
        <f t="shared" si="49"/>
        <v>-0.38980777739764078</v>
      </c>
      <c r="E311" s="10">
        <f t="shared" si="50"/>
        <v>-0.42084508196721315</v>
      </c>
      <c r="F311" s="10">
        <f t="shared" si="61"/>
        <v>0.15195010331968867</v>
      </c>
      <c r="G311" s="10">
        <f t="shared" si="61"/>
        <v>0.17711058301599036</v>
      </c>
      <c r="H311" s="11">
        <f t="shared" si="58"/>
        <v>0.16404868603036732</v>
      </c>
      <c r="I311" s="12">
        <f t="shared" si="59"/>
        <v>0</v>
      </c>
      <c r="J311" s="28">
        <f t="shared" si="60"/>
        <v>0</v>
      </c>
      <c r="K311" s="30">
        <f t="shared" si="51"/>
        <v>0</v>
      </c>
      <c r="L311" s="5"/>
      <c r="M311" s="30">
        <f t="shared" si="52"/>
        <v>0</v>
      </c>
      <c r="N311" s="42">
        <f t="shared" si="53"/>
        <v>0</v>
      </c>
      <c r="O311" s="43">
        <f t="shared" si="54"/>
        <v>0</v>
      </c>
      <c r="P311" s="43">
        <f t="shared" si="55"/>
        <v>-0.34013437099999999</v>
      </c>
      <c r="Q311" s="43">
        <f t="shared" si="56"/>
        <v>-0.34013437099999999</v>
      </c>
      <c r="R311" s="43">
        <f t="shared" si="57"/>
        <v>0.11569139033556564</v>
      </c>
    </row>
    <row r="312" spans="1:18" ht="15.75" customHeight="1" x14ac:dyDescent="0.3">
      <c r="A312" s="47">
        <v>38294</v>
      </c>
      <c r="B312" s="48">
        <v>0</v>
      </c>
      <c r="C312" s="49">
        <v>0</v>
      </c>
      <c r="D312" s="10">
        <f t="shared" si="49"/>
        <v>-0.38980777739764078</v>
      </c>
      <c r="E312" s="10">
        <f t="shared" si="50"/>
        <v>-0.42084508196721315</v>
      </c>
      <c r="F312" s="10">
        <f t="shared" si="61"/>
        <v>0.15195010331968867</v>
      </c>
      <c r="G312" s="10">
        <f t="shared" si="61"/>
        <v>0.17711058301599036</v>
      </c>
      <c r="H312" s="11">
        <f t="shared" si="58"/>
        <v>0.16404868603036732</v>
      </c>
      <c r="I312" s="12">
        <f t="shared" si="59"/>
        <v>0</v>
      </c>
      <c r="J312" s="28">
        <f t="shared" si="60"/>
        <v>0</v>
      </c>
      <c r="K312" s="30">
        <f t="shared" si="51"/>
        <v>0</v>
      </c>
      <c r="L312" s="5"/>
      <c r="M312" s="30">
        <f t="shared" si="52"/>
        <v>0</v>
      </c>
      <c r="N312" s="42">
        <f t="shared" si="53"/>
        <v>0</v>
      </c>
      <c r="O312" s="43">
        <f t="shared" si="54"/>
        <v>0</v>
      </c>
      <c r="P312" s="43">
        <f t="shared" si="55"/>
        <v>-0.34013437099999999</v>
      </c>
      <c r="Q312" s="43">
        <f t="shared" si="56"/>
        <v>-0.34013437099999999</v>
      </c>
      <c r="R312" s="43">
        <f t="shared" si="57"/>
        <v>0.11569139033556564</v>
      </c>
    </row>
    <row r="313" spans="1:18" ht="15.75" customHeight="1" x14ac:dyDescent="0.3">
      <c r="A313" s="47">
        <v>38295</v>
      </c>
      <c r="B313" s="48">
        <v>0</v>
      </c>
      <c r="C313" s="49">
        <v>0</v>
      </c>
      <c r="D313" s="10">
        <f t="shared" si="49"/>
        <v>-0.38980777739764078</v>
      </c>
      <c r="E313" s="10">
        <f t="shared" si="50"/>
        <v>-0.42084508196721315</v>
      </c>
      <c r="F313" s="10">
        <f t="shared" si="61"/>
        <v>0.15195010331968867</v>
      </c>
      <c r="G313" s="10">
        <f t="shared" si="61"/>
        <v>0.17711058301599036</v>
      </c>
      <c r="H313" s="11">
        <f t="shared" si="58"/>
        <v>0.16404868603036732</v>
      </c>
      <c r="I313" s="12">
        <f t="shared" si="59"/>
        <v>0</v>
      </c>
      <c r="J313" s="28">
        <f t="shared" si="60"/>
        <v>0</v>
      </c>
      <c r="K313" s="30">
        <f t="shared" si="51"/>
        <v>0</v>
      </c>
      <c r="L313" s="5"/>
      <c r="M313" s="30">
        <f t="shared" si="52"/>
        <v>0</v>
      </c>
      <c r="N313" s="42">
        <f t="shared" si="53"/>
        <v>0</v>
      </c>
      <c r="O313" s="43">
        <f t="shared" si="54"/>
        <v>0</v>
      </c>
      <c r="P313" s="43">
        <f t="shared" si="55"/>
        <v>-0.34013437099999999</v>
      </c>
      <c r="Q313" s="43">
        <f t="shared" si="56"/>
        <v>-0.34013437099999999</v>
      </c>
      <c r="R313" s="43">
        <f t="shared" si="57"/>
        <v>0.11569139033556564</v>
      </c>
    </row>
    <row r="314" spans="1:18" ht="15.75" customHeight="1" x14ac:dyDescent="0.3">
      <c r="A314" s="47">
        <v>38296</v>
      </c>
      <c r="B314" s="48">
        <v>0</v>
      </c>
      <c r="C314" s="49">
        <v>0</v>
      </c>
      <c r="D314" s="10">
        <f t="shared" si="49"/>
        <v>-0.38980777739764078</v>
      </c>
      <c r="E314" s="10">
        <f t="shared" si="50"/>
        <v>-0.42084508196721315</v>
      </c>
      <c r="F314" s="10">
        <f t="shared" si="61"/>
        <v>0.15195010331968867</v>
      </c>
      <c r="G314" s="10">
        <f t="shared" si="61"/>
        <v>0.17711058301599036</v>
      </c>
      <c r="H314" s="11">
        <f t="shared" si="58"/>
        <v>0.16404868603036732</v>
      </c>
      <c r="I314" s="12">
        <f t="shared" si="59"/>
        <v>0</v>
      </c>
      <c r="J314" s="28">
        <f t="shared" si="60"/>
        <v>0</v>
      </c>
      <c r="K314" s="30">
        <f t="shared" si="51"/>
        <v>0</v>
      </c>
      <c r="L314" s="5"/>
      <c r="M314" s="30">
        <f t="shared" si="52"/>
        <v>0</v>
      </c>
      <c r="N314" s="42">
        <f t="shared" si="53"/>
        <v>0</v>
      </c>
      <c r="O314" s="43">
        <f t="shared" si="54"/>
        <v>0</v>
      </c>
      <c r="P314" s="43">
        <f t="shared" si="55"/>
        <v>-0.34013437099999999</v>
      </c>
      <c r="Q314" s="43">
        <f t="shared" si="56"/>
        <v>-0.34013437099999999</v>
      </c>
      <c r="R314" s="43">
        <f t="shared" si="57"/>
        <v>0.11569139033556564</v>
      </c>
    </row>
    <row r="315" spans="1:18" ht="15.75" customHeight="1" x14ac:dyDescent="0.3">
      <c r="A315" s="47">
        <v>38297</v>
      </c>
      <c r="B315" s="48">
        <v>0</v>
      </c>
      <c r="C315" s="49">
        <v>0</v>
      </c>
      <c r="D315" s="10">
        <f t="shared" si="49"/>
        <v>-0.38980777739764078</v>
      </c>
      <c r="E315" s="10">
        <f t="shared" si="50"/>
        <v>-0.42084508196721315</v>
      </c>
      <c r="F315" s="10">
        <f t="shared" si="61"/>
        <v>0.15195010331968867</v>
      </c>
      <c r="G315" s="10">
        <f t="shared" si="61"/>
        <v>0.17711058301599036</v>
      </c>
      <c r="H315" s="11">
        <f t="shared" si="58"/>
        <v>0.16404868603036732</v>
      </c>
      <c r="I315" s="12">
        <f t="shared" si="59"/>
        <v>0</v>
      </c>
      <c r="J315" s="28">
        <f t="shared" si="60"/>
        <v>0</v>
      </c>
      <c r="K315" s="30">
        <f t="shared" si="51"/>
        <v>0</v>
      </c>
      <c r="L315" s="5"/>
      <c r="M315" s="30">
        <f t="shared" si="52"/>
        <v>0</v>
      </c>
      <c r="N315" s="42">
        <f t="shared" si="53"/>
        <v>0</v>
      </c>
      <c r="O315" s="43">
        <f t="shared" si="54"/>
        <v>0</v>
      </c>
      <c r="P315" s="43">
        <f t="shared" si="55"/>
        <v>-0.34013437099999999</v>
      </c>
      <c r="Q315" s="43">
        <f t="shared" si="56"/>
        <v>-0.34013437099999999</v>
      </c>
      <c r="R315" s="43">
        <f t="shared" si="57"/>
        <v>0.11569139033556564</v>
      </c>
    </row>
    <row r="316" spans="1:18" ht="15.75" customHeight="1" x14ac:dyDescent="0.3">
      <c r="A316" s="47">
        <v>38298</v>
      </c>
      <c r="B316" s="48">
        <v>0</v>
      </c>
      <c r="C316" s="49">
        <v>0</v>
      </c>
      <c r="D316" s="10">
        <f t="shared" si="49"/>
        <v>-0.38980777739764078</v>
      </c>
      <c r="E316" s="10">
        <f t="shared" si="50"/>
        <v>-0.42084508196721315</v>
      </c>
      <c r="F316" s="10">
        <f t="shared" si="61"/>
        <v>0.15195010331968867</v>
      </c>
      <c r="G316" s="10">
        <f t="shared" si="61"/>
        <v>0.17711058301599036</v>
      </c>
      <c r="H316" s="11">
        <f t="shared" si="58"/>
        <v>0.16404868603036732</v>
      </c>
      <c r="I316" s="12">
        <f t="shared" si="59"/>
        <v>0</v>
      </c>
      <c r="J316" s="28">
        <f t="shared" si="60"/>
        <v>0</v>
      </c>
      <c r="K316" s="30">
        <f t="shared" si="51"/>
        <v>0</v>
      </c>
      <c r="L316" s="5"/>
      <c r="M316" s="30">
        <f t="shared" si="52"/>
        <v>0</v>
      </c>
      <c r="N316" s="42">
        <f t="shared" si="53"/>
        <v>0</v>
      </c>
      <c r="O316" s="43">
        <f t="shared" si="54"/>
        <v>0</v>
      </c>
      <c r="P316" s="43">
        <f t="shared" si="55"/>
        <v>-0.34013437099999999</v>
      </c>
      <c r="Q316" s="43">
        <f t="shared" si="56"/>
        <v>-0.34013437099999999</v>
      </c>
      <c r="R316" s="43">
        <f t="shared" si="57"/>
        <v>0.11569139033556564</v>
      </c>
    </row>
    <row r="317" spans="1:18" ht="15.75" customHeight="1" x14ac:dyDescent="0.3">
      <c r="A317" s="47">
        <v>38299</v>
      </c>
      <c r="B317" s="48">
        <v>0</v>
      </c>
      <c r="C317" s="49">
        <v>0</v>
      </c>
      <c r="D317" s="10">
        <f t="shared" si="49"/>
        <v>-0.38980777739764078</v>
      </c>
      <c r="E317" s="10">
        <f t="shared" si="50"/>
        <v>-0.42084508196721315</v>
      </c>
      <c r="F317" s="10">
        <f t="shared" si="61"/>
        <v>0.15195010331968867</v>
      </c>
      <c r="G317" s="10">
        <f t="shared" si="61"/>
        <v>0.17711058301599036</v>
      </c>
      <c r="H317" s="11">
        <f t="shared" si="58"/>
        <v>0.16404868603036732</v>
      </c>
      <c r="I317" s="12">
        <f t="shared" si="59"/>
        <v>0</v>
      </c>
      <c r="J317" s="28">
        <f t="shared" si="60"/>
        <v>0</v>
      </c>
      <c r="K317" s="30">
        <f t="shared" si="51"/>
        <v>0</v>
      </c>
      <c r="L317" s="5"/>
      <c r="M317" s="30">
        <f t="shared" si="52"/>
        <v>0</v>
      </c>
      <c r="N317" s="42">
        <f t="shared" si="53"/>
        <v>0</v>
      </c>
      <c r="O317" s="43">
        <f t="shared" si="54"/>
        <v>0</v>
      </c>
      <c r="P317" s="43">
        <f t="shared" si="55"/>
        <v>-0.34013437099999999</v>
      </c>
      <c r="Q317" s="43">
        <f t="shared" si="56"/>
        <v>-0.34013437099999999</v>
      </c>
      <c r="R317" s="43">
        <f t="shared" si="57"/>
        <v>0.11569139033556564</v>
      </c>
    </row>
    <row r="318" spans="1:18" ht="15.75" customHeight="1" x14ac:dyDescent="0.3">
      <c r="A318" s="47">
        <v>38300</v>
      </c>
      <c r="B318" s="48">
        <v>0</v>
      </c>
      <c r="C318" s="49">
        <v>0</v>
      </c>
      <c r="D318" s="10">
        <f t="shared" si="49"/>
        <v>-0.38980777739764078</v>
      </c>
      <c r="E318" s="10">
        <f t="shared" si="50"/>
        <v>-0.42084508196721315</v>
      </c>
      <c r="F318" s="10">
        <f t="shared" si="61"/>
        <v>0.15195010331968867</v>
      </c>
      <c r="G318" s="10">
        <f t="shared" si="61"/>
        <v>0.17711058301599036</v>
      </c>
      <c r="H318" s="11">
        <f t="shared" si="58"/>
        <v>0.16404868603036732</v>
      </c>
      <c r="I318" s="12">
        <f t="shared" si="59"/>
        <v>0</v>
      </c>
      <c r="J318" s="28">
        <f t="shared" si="60"/>
        <v>0</v>
      </c>
      <c r="K318" s="30">
        <f t="shared" si="51"/>
        <v>0</v>
      </c>
      <c r="L318" s="5"/>
      <c r="M318" s="30">
        <f t="shared" si="52"/>
        <v>0</v>
      </c>
      <c r="N318" s="42">
        <f t="shared" si="53"/>
        <v>0</v>
      </c>
      <c r="O318" s="43">
        <f t="shared" si="54"/>
        <v>0</v>
      </c>
      <c r="P318" s="43">
        <f t="shared" si="55"/>
        <v>-0.34013437099999999</v>
      </c>
      <c r="Q318" s="43">
        <f t="shared" si="56"/>
        <v>-0.34013437099999999</v>
      </c>
      <c r="R318" s="43">
        <f t="shared" si="57"/>
        <v>0.11569139033556564</v>
      </c>
    </row>
    <row r="319" spans="1:18" ht="15.75" customHeight="1" x14ac:dyDescent="0.3">
      <c r="A319" s="47">
        <v>38301</v>
      </c>
      <c r="B319" s="48">
        <v>0</v>
      </c>
      <c r="C319" s="49">
        <v>1.5317000000000001</v>
      </c>
      <c r="D319" s="10">
        <f t="shared" si="49"/>
        <v>-0.38980777739764078</v>
      </c>
      <c r="E319" s="10">
        <f t="shared" si="50"/>
        <v>1.1108549180327869</v>
      </c>
      <c r="F319" s="10">
        <f t="shared" si="61"/>
        <v>0.15195010331968867</v>
      </c>
      <c r="G319" s="10">
        <f t="shared" si="61"/>
        <v>1.2339986489176298</v>
      </c>
      <c r="H319" s="11">
        <f t="shared" si="58"/>
        <v>-0.43301988660959911</v>
      </c>
      <c r="I319" s="12">
        <f t="shared" si="59"/>
        <v>1.5317000000000001</v>
      </c>
      <c r="J319" s="28">
        <f t="shared" si="60"/>
        <v>2.3461048900000003</v>
      </c>
      <c r="K319" s="30">
        <f t="shared" si="51"/>
        <v>1.5317000000000001</v>
      </c>
      <c r="L319" s="5"/>
      <c r="M319" s="30">
        <f t="shared" si="52"/>
        <v>-1.5317000000000001</v>
      </c>
      <c r="N319" s="42">
        <f t="shared" si="53"/>
        <v>-1.5317000000000001</v>
      </c>
      <c r="O319" s="43">
        <f t="shared" si="54"/>
        <v>2.3461048900000003</v>
      </c>
      <c r="P319" s="43">
        <f t="shared" si="55"/>
        <v>-0.34013437099999999</v>
      </c>
      <c r="Q319" s="43">
        <f t="shared" si="56"/>
        <v>-0.34013437099999999</v>
      </c>
      <c r="R319" s="43">
        <f t="shared" si="57"/>
        <v>0.11569139033556564</v>
      </c>
    </row>
    <row r="320" spans="1:18" ht="15.75" customHeight="1" x14ac:dyDescent="0.3">
      <c r="A320" s="47">
        <v>38302</v>
      </c>
      <c r="B320" s="48">
        <v>0</v>
      </c>
      <c r="C320" s="49">
        <v>1.0298</v>
      </c>
      <c r="D320" s="10">
        <f t="shared" si="49"/>
        <v>-0.38980777739764078</v>
      </c>
      <c r="E320" s="10">
        <f t="shared" si="50"/>
        <v>0.6089549180327869</v>
      </c>
      <c r="F320" s="10">
        <f t="shared" si="61"/>
        <v>0.15195010331968867</v>
      </c>
      <c r="G320" s="10">
        <f t="shared" si="61"/>
        <v>0.37082609219631818</v>
      </c>
      <c r="H320" s="11">
        <f t="shared" si="58"/>
        <v>-0.23737536313372318</v>
      </c>
      <c r="I320" s="12">
        <f t="shared" si="59"/>
        <v>1.0298</v>
      </c>
      <c r="J320" s="28">
        <f t="shared" si="60"/>
        <v>1.0604880400000001</v>
      </c>
      <c r="K320" s="30">
        <f t="shared" si="51"/>
        <v>1.0298</v>
      </c>
      <c r="L320" s="5"/>
      <c r="M320" s="30">
        <f t="shared" si="52"/>
        <v>-1.0298</v>
      </c>
      <c r="N320" s="42">
        <f t="shared" si="53"/>
        <v>-1.0298</v>
      </c>
      <c r="O320" s="43">
        <f t="shared" si="54"/>
        <v>1.0604880400000001</v>
      </c>
      <c r="P320" s="43">
        <f t="shared" si="55"/>
        <v>-0.34013437099999999</v>
      </c>
      <c r="Q320" s="43">
        <f t="shared" si="56"/>
        <v>-0.34013437099999999</v>
      </c>
      <c r="R320" s="43">
        <f t="shared" si="57"/>
        <v>0.11569139033556564</v>
      </c>
    </row>
    <row r="321" spans="1:18" ht="15.75" customHeight="1" x14ac:dyDescent="0.3">
      <c r="A321" s="47">
        <v>38303</v>
      </c>
      <c r="B321" s="48">
        <v>0</v>
      </c>
      <c r="C321" s="49">
        <v>1.4873000000000001</v>
      </c>
      <c r="D321" s="10">
        <f t="shared" si="49"/>
        <v>-0.38980777739764078</v>
      </c>
      <c r="E321" s="10">
        <f t="shared" si="50"/>
        <v>1.0664549180327869</v>
      </c>
      <c r="F321" s="10">
        <f t="shared" si="61"/>
        <v>0.15195010331968867</v>
      </c>
      <c r="G321" s="10">
        <f t="shared" si="61"/>
        <v>1.1373260921963182</v>
      </c>
      <c r="H321" s="11">
        <f t="shared" si="58"/>
        <v>-0.41571242129314384</v>
      </c>
      <c r="I321" s="12">
        <f t="shared" si="59"/>
        <v>1.4873000000000001</v>
      </c>
      <c r="J321" s="28">
        <f t="shared" si="60"/>
        <v>2.2120612900000003</v>
      </c>
      <c r="K321" s="30">
        <f t="shared" si="51"/>
        <v>1.4873000000000001</v>
      </c>
      <c r="L321" s="5"/>
      <c r="M321" s="30">
        <f t="shared" si="52"/>
        <v>-1.4873000000000001</v>
      </c>
      <c r="N321" s="42">
        <f t="shared" si="53"/>
        <v>-1.4873000000000001</v>
      </c>
      <c r="O321" s="43">
        <f t="shared" si="54"/>
        <v>2.2120612900000003</v>
      </c>
      <c r="P321" s="43">
        <f t="shared" si="55"/>
        <v>-0.34013437099999999</v>
      </c>
      <c r="Q321" s="43">
        <f t="shared" si="56"/>
        <v>-0.34013437099999999</v>
      </c>
      <c r="R321" s="43">
        <f t="shared" si="57"/>
        <v>0.11569139033556564</v>
      </c>
    </row>
    <row r="322" spans="1:18" ht="15.75" customHeight="1" x14ac:dyDescent="0.3">
      <c r="A322" s="47">
        <v>38304</v>
      </c>
      <c r="B322" s="48">
        <v>0</v>
      </c>
      <c r="C322" s="49">
        <v>1.5208999999999999</v>
      </c>
      <c r="D322" s="10">
        <f t="shared" si="49"/>
        <v>-0.38980777739764078</v>
      </c>
      <c r="E322" s="10">
        <f t="shared" si="50"/>
        <v>1.1000549180327868</v>
      </c>
      <c r="F322" s="10">
        <f t="shared" si="61"/>
        <v>0.15195010331968867</v>
      </c>
      <c r="G322" s="10">
        <f t="shared" si="61"/>
        <v>1.2101208226881213</v>
      </c>
      <c r="H322" s="11">
        <f t="shared" si="58"/>
        <v>-0.42880996261370452</v>
      </c>
      <c r="I322" s="12">
        <f t="shared" si="59"/>
        <v>1.5208999999999999</v>
      </c>
      <c r="J322" s="28">
        <f t="shared" si="60"/>
        <v>2.3131368099999996</v>
      </c>
      <c r="K322" s="30">
        <f t="shared" si="51"/>
        <v>1.5208999999999999</v>
      </c>
      <c r="L322" s="5"/>
      <c r="M322" s="30">
        <f t="shared" si="52"/>
        <v>-1.5208999999999999</v>
      </c>
      <c r="N322" s="42">
        <f t="shared" si="53"/>
        <v>-1.5208999999999999</v>
      </c>
      <c r="O322" s="43">
        <f t="shared" si="54"/>
        <v>2.3131368099999996</v>
      </c>
      <c r="P322" s="43">
        <f t="shared" si="55"/>
        <v>-0.34013437099999999</v>
      </c>
      <c r="Q322" s="43">
        <f t="shared" si="56"/>
        <v>-0.34013437099999999</v>
      </c>
      <c r="R322" s="43">
        <f t="shared" si="57"/>
        <v>0.11569139033556564</v>
      </c>
    </row>
    <row r="323" spans="1:18" ht="15.75" customHeight="1" x14ac:dyDescent="0.3">
      <c r="A323" s="47">
        <v>38305</v>
      </c>
      <c r="B323" s="48">
        <v>0</v>
      </c>
      <c r="C323" s="49">
        <v>2.5560999999999998</v>
      </c>
      <c r="D323" s="10">
        <f t="shared" si="49"/>
        <v>-0.38980777739764078</v>
      </c>
      <c r="E323" s="10">
        <f t="shared" si="50"/>
        <v>2.1352549180327864</v>
      </c>
      <c r="F323" s="10">
        <f t="shared" si="61"/>
        <v>0.15195010331968867</v>
      </c>
      <c r="G323" s="10">
        <f t="shared" si="61"/>
        <v>4.5593135649832019</v>
      </c>
      <c r="H323" s="11">
        <f t="shared" si="58"/>
        <v>-0.83233897377574206</v>
      </c>
      <c r="I323" s="12">
        <f t="shared" si="59"/>
        <v>2.5560999999999998</v>
      </c>
      <c r="J323" s="28">
        <f t="shared" si="60"/>
        <v>6.5336472099999989</v>
      </c>
      <c r="K323" s="30">
        <f t="shared" si="51"/>
        <v>2.5560999999999998</v>
      </c>
      <c r="L323" s="5"/>
      <c r="M323" s="30">
        <f t="shared" si="52"/>
        <v>-2.5560999999999998</v>
      </c>
      <c r="N323" s="42">
        <f t="shared" si="53"/>
        <v>-2.5560999999999998</v>
      </c>
      <c r="O323" s="43">
        <f t="shared" si="54"/>
        <v>6.5336472099999989</v>
      </c>
      <c r="P323" s="43">
        <f t="shared" si="55"/>
        <v>-0.34013437099999999</v>
      </c>
      <c r="Q323" s="43">
        <f t="shared" si="56"/>
        <v>-0.34013437099999999</v>
      </c>
      <c r="R323" s="43">
        <f t="shared" si="57"/>
        <v>0.11569139033556564</v>
      </c>
    </row>
    <row r="324" spans="1:18" ht="15.75" customHeight="1" x14ac:dyDescent="0.3">
      <c r="A324" s="47">
        <v>38306</v>
      </c>
      <c r="B324" s="48">
        <v>0</v>
      </c>
      <c r="C324" s="49">
        <v>0.88690000000000002</v>
      </c>
      <c r="D324" s="10">
        <f t="shared" si="49"/>
        <v>-0.38980777739764078</v>
      </c>
      <c r="E324" s="10">
        <f t="shared" si="50"/>
        <v>0.46605491803278687</v>
      </c>
      <c r="F324" s="10">
        <f t="shared" si="61"/>
        <v>0.15195010331968867</v>
      </c>
      <c r="G324" s="10">
        <f t="shared" si="61"/>
        <v>0.21720718662254768</v>
      </c>
      <c r="H324" s="11">
        <f t="shared" si="58"/>
        <v>-0.1816718317436003</v>
      </c>
      <c r="I324" s="12">
        <f t="shared" si="59"/>
        <v>0.88690000000000002</v>
      </c>
      <c r="J324" s="28">
        <f t="shared" si="60"/>
        <v>0.78659161</v>
      </c>
      <c r="K324" s="30">
        <f t="shared" si="51"/>
        <v>0.88690000000000002</v>
      </c>
      <c r="L324" s="5"/>
      <c r="M324" s="30">
        <f t="shared" si="52"/>
        <v>-0.88690000000000002</v>
      </c>
      <c r="N324" s="42">
        <f t="shared" si="53"/>
        <v>-0.88690000000000002</v>
      </c>
      <c r="O324" s="43">
        <f t="shared" si="54"/>
        <v>0.78659161</v>
      </c>
      <c r="P324" s="43">
        <f t="shared" si="55"/>
        <v>-0.34013437099999999</v>
      </c>
      <c r="Q324" s="43">
        <f t="shared" si="56"/>
        <v>-0.34013437099999999</v>
      </c>
      <c r="R324" s="43">
        <f t="shared" si="57"/>
        <v>0.11569139033556564</v>
      </c>
    </row>
    <row r="325" spans="1:18" ht="15.75" customHeight="1" x14ac:dyDescent="0.3">
      <c r="A325" s="47">
        <v>38307</v>
      </c>
      <c r="B325" s="48">
        <v>0.79056966304779053</v>
      </c>
      <c r="C325" s="49">
        <v>7.2412999999999998</v>
      </c>
      <c r="D325" s="10">
        <f t="shared" si="49"/>
        <v>0.40076188565014975</v>
      </c>
      <c r="E325" s="10">
        <f t="shared" si="50"/>
        <v>6.8204549180327865</v>
      </c>
      <c r="F325" s="10">
        <f t="shared" si="61"/>
        <v>0.1606100889898637</v>
      </c>
      <c r="G325" s="10">
        <f t="shared" si="61"/>
        <v>46.518605288917627</v>
      </c>
      <c r="H325" s="11">
        <f t="shared" si="58"/>
        <v>2.7333783739426569</v>
      </c>
      <c r="I325" s="12">
        <f t="shared" si="59"/>
        <v>6.4507303369522093</v>
      </c>
      <c r="J325" s="28">
        <f t="shared" si="60"/>
        <v>41.611921880075563</v>
      </c>
      <c r="K325" s="30">
        <f t="shared" si="51"/>
        <v>6.4507303369522093</v>
      </c>
      <c r="L325" s="5"/>
      <c r="M325" s="30">
        <f t="shared" si="52"/>
        <v>-6.4507303369522093</v>
      </c>
      <c r="N325" s="42">
        <f t="shared" si="53"/>
        <v>-6.4507303369522093</v>
      </c>
      <c r="O325" s="43">
        <f t="shared" si="54"/>
        <v>41.611921880075563</v>
      </c>
      <c r="P325" s="43">
        <f t="shared" si="55"/>
        <v>0.45043529204779054</v>
      </c>
      <c r="Q325" s="43">
        <f t="shared" si="56"/>
        <v>0.45043529204779054</v>
      </c>
      <c r="R325" s="43">
        <f t="shared" si="57"/>
        <v>0.20289195232217835</v>
      </c>
    </row>
    <row r="326" spans="1:18" ht="15.75" customHeight="1" x14ac:dyDescent="0.3">
      <c r="A326" s="47">
        <v>38308</v>
      </c>
      <c r="B326" s="48">
        <v>1.3718650341033936</v>
      </c>
      <c r="C326" s="49">
        <v>0.88200000000000001</v>
      </c>
      <c r="D326" s="10">
        <f t="shared" ref="D326:D370" si="62">B326-$C$375</f>
        <v>0.98205725670575283</v>
      </c>
      <c r="E326" s="10">
        <f t="shared" ref="E326:E370" si="63">C326-$D$375</f>
        <v>0.46115491803278685</v>
      </c>
      <c r="F326" s="10">
        <f t="shared" si="61"/>
        <v>0.96443645544842893</v>
      </c>
      <c r="G326" s="10">
        <f t="shared" si="61"/>
        <v>0.21266385842582636</v>
      </c>
      <c r="H326" s="11">
        <f t="shared" si="58"/>
        <v>0.45288053371964498</v>
      </c>
      <c r="I326" s="12">
        <f t="shared" si="59"/>
        <v>0.48986503410339355</v>
      </c>
      <c r="J326" s="28">
        <f t="shared" si="60"/>
        <v>0.23996775163711892</v>
      </c>
      <c r="K326" s="30">
        <f t="shared" ref="K326:K370" si="64">C326-B326</f>
        <v>-0.48986503410339355</v>
      </c>
      <c r="L326" s="5"/>
      <c r="M326" s="30">
        <f t="shared" ref="M326:M370" si="65">B326-C326</f>
        <v>0.48986503410339355</v>
      </c>
      <c r="N326" s="42">
        <f t="shared" ref="N326:N370" si="66">B326-C326</f>
        <v>0.48986503410339355</v>
      </c>
      <c r="O326" s="43">
        <f t="shared" ref="O326:O370" si="67">M326*N326</f>
        <v>0.23996775163711892</v>
      </c>
      <c r="P326" s="43">
        <f t="shared" ref="P326:P370" si="68">B326-0.340134371</f>
        <v>1.0317306631033936</v>
      </c>
      <c r="Q326" s="43">
        <f t="shared" ref="Q326:Q369" si="69">B326-0.340134371</f>
        <v>1.0317306631033936</v>
      </c>
      <c r="R326" s="43">
        <f t="shared" ref="R326:R370" si="70">P326*Q326</f>
        <v>1.0644681611877682</v>
      </c>
    </row>
    <row r="327" spans="1:18" ht="15.75" customHeight="1" x14ac:dyDescent="0.3">
      <c r="A327" s="47">
        <v>38309</v>
      </c>
      <c r="B327" s="48">
        <v>0.62584877014160156</v>
      </c>
      <c r="C327" s="49">
        <v>0</v>
      </c>
      <c r="D327" s="10">
        <f t="shared" si="62"/>
        <v>0.23604099274396079</v>
      </c>
      <c r="E327" s="10">
        <f t="shared" si="63"/>
        <v>-0.42084508196721315</v>
      </c>
      <c r="F327" s="10">
        <f t="shared" si="61"/>
        <v>5.5715350255554547E-2</v>
      </c>
      <c r="G327" s="10">
        <f t="shared" si="61"/>
        <v>0.17711058301599036</v>
      </c>
      <c r="H327" s="11">
        <f t="shared" si="58"/>
        <v>-9.9336690938954544E-2</v>
      </c>
      <c r="I327" s="12">
        <f t="shared" si="59"/>
        <v>0.62584877014160156</v>
      </c>
      <c r="J327" s="28">
        <f t="shared" si="60"/>
        <v>0.39168668308775523</v>
      </c>
      <c r="K327" s="30">
        <f t="shared" si="64"/>
        <v>-0.62584877014160156</v>
      </c>
      <c r="L327" s="5"/>
      <c r="M327" s="30">
        <f t="shared" si="65"/>
        <v>0.62584877014160156</v>
      </c>
      <c r="N327" s="42">
        <f t="shared" si="66"/>
        <v>0.62584877014160156</v>
      </c>
      <c r="O327" s="43">
        <f t="shared" si="67"/>
        <v>0.39168668308775523</v>
      </c>
      <c r="P327" s="43">
        <f t="shared" si="68"/>
        <v>0.28571439914160157</v>
      </c>
      <c r="Q327" s="43">
        <f t="shared" si="69"/>
        <v>0.28571439914160157</v>
      </c>
      <c r="R327" s="43">
        <f t="shared" si="70"/>
        <v>8.1632717876846422E-2</v>
      </c>
    </row>
    <row r="328" spans="1:18" ht="15.75" customHeight="1" x14ac:dyDescent="0.3">
      <c r="A328" s="47">
        <v>38310</v>
      </c>
      <c r="B328" s="48">
        <v>2.1065719127655029</v>
      </c>
      <c r="C328" s="49">
        <v>0</v>
      </c>
      <c r="D328" s="10">
        <f t="shared" si="62"/>
        <v>1.7167641353678622</v>
      </c>
      <c r="E328" s="10">
        <f t="shared" si="63"/>
        <v>-0.42084508196721315</v>
      </c>
      <c r="F328" s="10">
        <f t="shared" si="61"/>
        <v>2.9472790964853637</v>
      </c>
      <c r="G328" s="10">
        <f t="shared" si="61"/>
        <v>0.17711058301599036</v>
      </c>
      <c r="H328" s="11">
        <f t="shared" si="58"/>
        <v>-0.72249174326725973</v>
      </c>
      <c r="I328" s="12">
        <f t="shared" si="59"/>
        <v>2.1065719127655029</v>
      </c>
      <c r="J328" s="28">
        <f t="shared" si="60"/>
        <v>4.4376452236525097</v>
      </c>
      <c r="K328" s="30">
        <f t="shared" si="64"/>
        <v>-2.1065719127655029</v>
      </c>
      <c r="L328" s="5"/>
      <c r="M328" s="30">
        <f t="shared" si="65"/>
        <v>2.1065719127655029</v>
      </c>
      <c r="N328" s="42">
        <f t="shared" si="66"/>
        <v>2.1065719127655029</v>
      </c>
      <c r="O328" s="43">
        <f t="shared" si="67"/>
        <v>4.4376452236525097</v>
      </c>
      <c r="P328" s="43">
        <f t="shared" si="68"/>
        <v>1.7664375417655029</v>
      </c>
      <c r="Q328" s="43">
        <f t="shared" si="69"/>
        <v>1.7664375417655029</v>
      </c>
      <c r="R328" s="43">
        <f t="shared" si="70"/>
        <v>3.120301588958553</v>
      </c>
    </row>
    <row r="329" spans="1:18" ht="15.75" customHeight="1" x14ac:dyDescent="0.3">
      <c r="A329" s="47">
        <v>38311</v>
      </c>
      <c r="B329" s="48">
        <v>0</v>
      </c>
      <c r="C329" s="49">
        <v>0</v>
      </c>
      <c r="D329" s="10">
        <f t="shared" si="62"/>
        <v>-0.38980777739764078</v>
      </c>
      <c r="E329" s="10">
        <f t="shared" si="63"/>
        <v>-0.42084508196721315</v>
      </c>
      <c r="F329" s="10">
        <f t="shared" si="61"/>
        <v>0.15195010331968867</v>
      </c>
      <c r="G329" s="10">
        <f t="shared" si="61"/>
        <v>0.17711058301599036</v>
      </c>
      <c r="H329" s="11">
        <f t="shared" si="58"/>
        <v>0.16404868603036732</v>
      </c>
      <c r="I329" s="12">
        <f t="shared" si="59"/>
        <v>0</v>
      </c>
      <c r="J329" s="28">
        <f t="shared" si="60"/>
        <v>0</v>
      </c>
      <c r="K329" s="30">
        <f t="shared" si="64"/>
        <v>0</v>
      </c>
      <c r="L329" s="5"/>
      <c r="M329" s="30">
        <f t="shared" si="65"/>
        <v>0</v>
      </c>
      <c r="N329" s="42">
        <f t="shared" si="66"/>
        <v>0</v>
      </c>
      <c r="O329" s="43">
        <f t="shared" si="67"/>
        <v>0</v>
      </c>
      <c r="P329" s="43">
        <f t="shared" si="68"/>
        <v>-0.34013437099999999</v>
      </c>
      <c r="Q329" s="43">
        <f t="shared" si="69"/>
        <v>-0.34013437099999999</v>
      </c>
      <c r="R329" s="43">
        <f t="shared" si="70"/>
        <v>0.11569139033556564</v>
      </c>
    </row>
    <row r="330" spans="1:18" ht="15.75" customHeight="1" x14ac:dyDescent="0.3">
      <c r="A330" s="47">
        <v>38312</v>
      </c>
      <c r="B330" s="48">
        <v>2.4976737499237061</v>
      </c>
      <c r="C330" s="49">
        <v>0</v>
      </c>
      <c r="D330" s="10">
        <f t="shared" si="62"/>
        <v>2.1078659725260653</v>
      </c>
      <c r="E330" s="10">
        <f t="shared" si="63"/>
        <v>-0.42084508196721315</v>
      </c>
      <c r="F330" s="10">
        <f t="shared" si="61"/>
        <v>4.4430989581332554</v>
      </c>
      <c r="G330" s="10">
        <f t="shared" si="61"/>
        <v>0.17711058301599036</v>
      </c>
      <c r="H330" s="11">
        <f t="shared" si="58"/>
        <v>-0.88708502798363142</v>
      </c>
      <c r="I330" s="12">
        <f t="shared" si="59"/>
        <v>2.4976737499237061</v>
      </c>
      <c r="J330" s="28">
        <f t="shared" si="60"/>
        <v>6.2383741610579477</v>
      </c>
      <c r="K330" s="30">
        <f t="shared" si="64"/>
        <v>-2.4976737499237061</v>
      </c>
      <c r="L330" s="5"/>
      <c r="M330" s="30">
        <f t="shared" si="65"/>
        <v>2.4976737499237061</v>
      </c>
      <c r="N330" s="42">
        <f t="shared" si="66"/>
        <v>2.4976737499237061</v>
      </c>
      <c r="O330" s="43">
        <f t="shared" si="67"/>
        <v>6.2383741610579477</v>
      </c>
      <c r="P330" s="43">
        <f t="shared" si="68"/>
        <v>2.1575393789237061</v>
      </c>
      <c r="Q330" s="43">
        <f t="shared" si="69"/>
        <v>2.1575393789237061</v>
      </c>
      <c r="R330" s="43">
        <f t="shared" si="70"/>
        <v>4.6549761716064912</v>
      </c>
    </row>
    <row r="331" spans="1:18" ht="15.75" customHeight="1" x14ac:dyDescent="0.3">
      <c r="A331" s="47">
        <v>38313</v>
      </c>
      <c r="B331" s="48">
        <v>6.097266674041748</v>
      </c>
      <c r="C331" s="49">
        <v>0</v>
      </c>
      <c r="D331" s="10">
        <f t="shared" si="62"/>
        <v>5.7074588966441073</v>
      </c>
      <c r="E331" s="10">
        <f t="shared" si="63"/>
        <v>-0.42084508196721315</v>
      </c>
      <c r="F331" s="10">
        <f t="shared" si="61"/>
        <v>32.575087056881969</v>
      </c>
      <c r="G331" s="10">
        <f t="shared" si="61"/>
        <v>0.17711058301599036</v>
      </c>
      <c r="H331" s="11">
        <f t="shared" ref="H331:H370" si="71">D331*E331</f>
        <v>-2.4019560071826893</v>
      </c>
      <c r="I331" s="12">
        <f t="shared" ref="I331:I370" si="72">ABS(C331-B331)</f>
        <v>6.097266674041748</v>
      </c>
      <c r="J331" s="28">
        <f t="shared" ref="J331:J370" si="73">I331^2</f>
        <v>37.17666089438012</v>
      </c>
      <c r="K331" s="30">
        <f t="shared" si="64"/>
        <v>-6.097266674041748</v>
      </c>
      <c r="L331" s="5"/>
      <c r="M331" s="30">
        <f t="shared" si="65"/>
        <v>6.097266674041748</v>
      </c>
      <c r="N331" s="42">
        <f t="shared" si="66"/>
        <v>6.097266674041748</v>
      </c>
      <c r="O331" s="43">
        <f t="shared" si="67"/>
        <v>37.17666089438012</v>
      </c>
      <c r="P331" s="43">
        <f t="shared" si="68"/>
        <v>5.7571323030417485</v>
      </c>
      <c r="Q331" s="43">
        <f t="shared" si="69"/>
        <v>5.7571323030417485</v>
      </c>
      <c r="R331" s="43">
        <f t="shared" si="70"/>
        <v>33.14457235472679</v>
      </c>
    </row>
    <row r="332" spans="1:18" ht="15.75" customHeight="1" x14ac:dyDescent="0.3">
      <c r="A332" s="47">
        <v>38314</v>
      </c>
      <c r="B332" s="48">
        <v>8.8212884962558746E-2</v>
      </c>
      <c r="C332" s="49">
        <v>0</v>
      </c>
      <c r="D332" s="10">
        <f t="shared" si="62"/>
        <v>-0.30159489243508203</v>
      </c>
      <c r="E332" s="10">
        <f t="shared" si="63"/>
        <v>-0.42084508196721315</v>
      </c>
      <c r="F332" s="10">
        <f t="shared" si="61"/>
        <v>9.0959479142928693E-2</v>
      </c>
      <c r="G332" s="10">
        <f t="shared" si="61"/>
        <v>0.17711058301599036</v>
      </c>
      <c r="H332" s="11">
        <f t="shared" si="71"/>
        <v>0.12692472722773493</v>
      </c>
      <c r="I332" s="12">
        <f t="shared" si="72"/>
        <v>8.8212884962558746E-2</v>
      </c>
      <c r="J332" s="28">
        <f t="shared" si="73"/>
        <v>7.781513073417623E-3</v>
      </c>
      <c r="K332" s="30">
        <f t="shared" si="64"/>
        <v>-8.8212884962558746E-2</v>
      </c>
      <c r="L332" s="5"/>
      <c r="M332" s="30">
        <f t="shared" si="65"/>
        <v>8.8212884962558746E-2</v>
      </c>
      <c r="N332" s="42">
        <f t="shared" si="66"/>
        <v>8.8212884962558746E-2</v>
      </c>
      <c r="O332" s="43">
        <f t="shared" si="67"/>
        <v>7.781513073417623E-3</v>
      </c>
      <c r="P332" s="43">
        <f t="shared" si="68"/>
        <v>-0.25192148603744124</v>
      </c>
      <c r="Q332" s="43">
        <f t="shared" si="69"/>
        <v>-0.25192148603744124</v>
      </c>
      <c r="R332" s="43">
        <f t="shared" si="70"/>
        <v>6.3464435127312702E-2</v>
      </c>
    </row>
    <row r="333" spans="1:18" ht="15.75" customHeight="1" x14ac:dyDescent="0.3">
      <c r="A333" s="47">
        <v>38315</v>
      </c>
      <c r="B333" s="48">
        <v>0</v>
      </c>
      <c r="C333" s="49">
        <v>0</v>
      </c>
      <c r="D333" s="10">
        <f t="shared" si="62"/>
        <v>-0.38980777739764078</v>
      </c>
      <c r="E333" s="10">
        <f t="shared" si="63"/>
        <v>-0.42084508196721315</v>
      </c>
      <c r="F333" s="10">
        <f t="shared" si="61"/>
        <v>0.15195010331968867</v>
      </c>
      <c r="G333" s="10">
        <f t="shared" si="61"/>
        <v>0.17711058301599036</v>
      </c>
      <c r="H333" s="11">
        <f t="shared" si="71"/>
        <v>0.16404868603036732</v>
      </c>
      <c r="I333" s="12">
        <f t="shared" si="72"/>
        <v>0</v>
      </c>
      <c r="J333" s="28">
        <f t="shared" si="73"/>
        <v>0</v>
      </c>
      <c r="K333" s="30">
        <f t="shared" si="64"/>
        <v>0</v>
      </c>
      <c r="L333" s="5"/>
      <c r="M333" s="30">
        <f t="shared" si="65"/>
        <v>0</v>
      </c>
      <c r="N333" s="42">
        <f t="shared" si="66"/>
        <v>0</v>
      </c>
      <c r="O333" s="43">
        <f t="shared" si="67"/>
        <v>0</v>
      </c>
      <c r="P333" s="43">
        <f t="shared" si="68"/>
        <v>-0.34013437099999999</v>
      </c>
      <c r="Q333" s="43">
        <f t="shared" si="69"/>
        <v>-0.34013437099999999</v>
      </c>
      <c r="R333" s="43">
        <f t="shared" si="70"/>
        <v>0.11569139033556564</v>
      </c>
    </row>
    <row r="334" spans="1:18" ht="15.75" customHeight="1" x14ac:dyDescent="0.3">
      <c r="A334" s="47">
        <v>38316</v>
      </c>
      <c r="B334" s="48">
        <v>6.2949824333190918</v>
      </c>
      <c r="C334" s="49">
        <v>0</v>
      </c>
      <c r="D334" s="10">
        <f t="shared" si="62"/>
        <v>5.9051746559214511</v>
      </c>
      <c r="E334" s="10">
        <f t="shared" si="63"/>
        <v>-0.42084508196721315</v>
      </c>
      <c r="F334" s="10">
        <f t="shared" si="61"/>
        <v>34.871087716937026</v>
      </c>
      <c r="G334" s="10">
        <f t="shared" si="61"/>
        <v>0.17711058301599036</v>
      </c>
      <c r="H334" s="11">
        <f t="shared" si="71"/>
        <v>-2.485163712101973</v>
      </c>
      <c r="I334" s="12">
        <f t="shared" si="72"/>
        <v>6.2949824333190918</v>
      </c>
      <c r="J334" s="28">
        <f t="shared" si="73"/>
        <v>39.626803835795954</v>
      </c>
      <c r="K334" s="30">
        <f t="shared" si="64"/>
        <v>-6.2949824333190918</v>
      </c>
      <c r="L334" s="5"/>
      <c r="M334" s="30">
        <f t="shared" si="65"/>
        <v>6.2949824333190918</v>
      </c>
      <c r="N334" s="42">
        <f t="shared" si="66"/>
        <v>6.2949824333190918</v>
      </c>
      <c r="O334" s="43">
        <f t="shared" si="67"/>
        <v>39.626803835795954</v>
      </c>
      <c r="P334" s="43">
        <f t="shared" si="68"/>
        <v>5.9548480623190923</v>
      </c>
      <c r="Q334" s="43">
        <f t="shared" si="69"/>
        <v>5.9548480623190923</v>
      </c>
      <c r="R334" s="43">
        <f t="shared" si="70"/>
        <v>35.460215445305451</v>
      </c>
    </row>
    <row r="335" spans="1:18" ht="15.75" customHeight="1" x14ac:dyDescent="0.3">
      <c r="A335" s="47">
        <v>38317</v>
      </c>
      <c r="B335" s="48">
        <v>3.6656863987445831E-2</v>
      </c>
      <c r="C335" s="49">
        <v>0</v>
      </c>
      <c r="D335" s="10">
        <f t="shared" si="62"/>
        <v>-0.35315091341019494</v>
      </c>
      <c r="E335" s="10">
        <f t="shared" si="63"/>
        <v>-0.42084508196721315</v>
      </c>
      <c r="F335" s="10">
        <f t="shared" si="61"/>
        <v>0.12471556764245501</v>
      </c>
      <c r="G335" s="10">
        <f t="shared" si="61"/>
        <v>0.17711058301599036</v>
      </c>
      <c r="H335" s="11">
        <f t="shared" si="71"/>
        <v>0.14862182510090968</v>
      </c>
      <c r="I335" s="12">
        <f t="shared" si="72"/>
        <v>3.6656863987445831E-2</v>
      </c>
      <c r="J335" s="28">
        <f t="shared" si="73"/>
        <v>1.3437256773941031E-3</v>
      </c>
      <c r="K335" s="30">
        <f t="shared" si="64"/>
        <v>-3.6656863987445831E-2</v>
      </c>
      <c r="L335" s="5"/>
      <c r="M335" s="30">
        <f t="shared" si="65"/>
        <v>3.6656863987445831E-2</v>
      </c>
      <c r="N335" s="42">
        <f t="shared" si="66"/>
        <v>3.6656863987445831E-2</v>
      </c>
      <c r="O335" s="43">
        <f t="shared" si="67"/>
        <v>1.3437256773941031E-3</v>
      </c>
      <c r="P335" s="43">
        <f t="shared" si="68"/>
        <v>-0.30347750701255416</v>
      </c>
      <c r="Q335" s="43">
        <f t="shared" si="69"/>
        <v>-0.30347750701255416</v>
      </c>
      <c r="R335" s="43">
        <f t="shared" si="70"/>
        <v>9.2098597262554857E-2</v>
      </c>
    </row>
    <row r="336" spans="1:18" ht="15.75" customHeight="1" x14ac:dyDescent="0.3">
      <c r="A336" s="47">
        <v>38318</v>
      </c>
      <c r="B336" s="48">
        <v>0</v>
      </c>
      <c r="C336" s="49">
        <v>0</v>
      </c>
      <c r="D336" s="10">
        <f t="shared" si="62"/>
        <v>-0.38980777739764078</v>
      </c>
      <c r="E336" s="10">
        <f t="shared" si="63"/>
        <v>-0.42084508196721315</v>
      </c>
      <c r="F336" s="10">
        <f t="shared" si="61"/>
        <v>0.15195010331968867</v>
      </c>
      <c r="G336" s="10">
        <f t="shared" si="61"/>
        <v>0.17711058301599036</v>
      </c>
      <c r="H336" s="11">
        <f t="shared" si="71"/>
        <v>0.16404868603036732</v>
      </c>
      <c r="I336" s="12">
        <f t="shared" si="72"/>
        <v>0</v>
      </c>
      <c r="J336" s="28">
        <f t="shared" si="73"/>
        <v>0</v>
      </c>
      <c r="K336" s="30">
        <f t="shared" si="64"/>
        <v>0</v>
      </c>
      <c r="L336" s="5"/>
      <c r="M336" s="30">
        <f t="shared" si="65"/>
        <v>0</v>
      </c>
      <c r="N336" s="42">
        <f t="shared" si="66"/>
        <v>0</v>
      </c>
      <c r="O336" s="43">
        <f t="shared" si="67"/>
        <v>0</v>
      </c>
      <c r="P336" s="43">
        <f t="shared" si="68"/>
        <v>-0.34013437099999999</v>
      </c>
      <c r="Q336" s="43">
        <f t="shared" si="69"/>
        <v>-0.34013437099999999</v>
      </c>
      <c r="R336" s="43">
        <f t="shared" si="70"/>
        <v>0.11569139033556564</v>
      </c>
    </row>
    <row r="337" spans="1:18" ht="15.75" customHeight="1" x14ac:dyDescent="0.3">
      <c r="A337" s="47">
        <v>38319</v>
      </c>
      <c r="B337" s="48">
        <v>0</v>
      </c>
      <c r="C337" s="49">
        <v>7.5277000000000003</v>
      </c>
      <c r="D337" s="10">
        <f t="shared" si="62"/>
        <v>-0.38980777739764078</v>
      </c>
      <c r="E337" s="10">
        <f t="shared" si="63"/>
        <v>7.1068549180327869</v>
      </c>
      <c r="F337" s="10">
        <f t="shared" si="61"/>
        <v>0.15195010331968867</v>
      </c>
      <c r="G337" s="10">
        <f t="shared" si="61"/>
        <v>50.507386825966812</v>
      </c>
      <c r="H337" s="11">
        <f t="shared" si="71"/>
        <v>-2.7703073198858532</v>
      </c>
      <c r="I337" s="12">
        <f t="shared" si="72"/>
        <v>7.5277000000000003</v>
      </c>
      <c r="J337" s="28">
        <f t="shared" si="73"/>
        <v>56.666267290000008</v>
      </c>
      <c r="K337" s="30">
        <f t="shared" si="64"/>
        <v>7.5277000000000003</v>
      </c>
      <c r="L337" s="5"/>
      <c r="M337" s="30">
        <f t="shared" si="65"/>
        <v>-7.5277000000000003</v>
      </c>
      <c r="N337" s="42">
        <f t="shared" si="66"/>
        <v>-7.5277000000000003</v>
      </c>
      <c r="O337" s="43">
        <f t="shared" si="67"/>
        <v>56.666267290000008</v>
      </c>
      <c r="P337" s="43">
        <f t="shared" si="68"/>
        <v>-0.34013437099999999</v>
      </c>
      <c r="Q337" s="43">
        <f t="shared" si="69"/>
        <v>-0.34013437099999999</v>
      </c>
      <c r="R337" s="43">
        <f t="shared" si="70"/>
        <v>0.11569139033556564</v>
      </c>
    </row>
    <row r="338" spans="1:18" ht="15.75" customHeight="1" x14ac:dyDescent="0.3">
      <c r="A338" s="47">
        <v>38320</v>
      </c>
      <c r="B338" s="48">
        <v>10.588039398193359</v>
      </c>
      <c r="C338" s="49">
        <v>2.9060999999999999</v>
      </c>
      <c r="D338" s="10">
        <f t="shared" si="62"/>
        <v>10.198231620795719</v>
      </c>
      <c r="E338" s="10">
        <f t="shared" si="63"/>
        <v>2.485254918032787</v>
      </c>
      <c r="F338" s="10">
        <f t="shared" si="61"/>
        <v>104.00392819139768</v>
      </c>
      <c r="G338" s="10">
        <f t="shared" si="61"/>
        <v>6.1764920076061545</v>
      </c>
      <c r="H338" s="11">
        <f t="shared" si="71"/>
        <v>25.34520529082004</v>
      </c>
      <c r="I338" s="12">
        <f t="shared" si="72"/>
        <v>7.681939398193359</v>
      </c>
      <c r="J338" s="28">
        <f t="shared" si="73"/>
        <v>59.01219291751535</v>
      </c>
      <c r="K338" s="30">
        <f t="shared" si="64"/>
        <v>-7.681939398193359</v>
      </c>
      <c r="L338" s="5"/>
      <c r="M338" s="30">
        <f t="shared" si="65"/>
        <v>7.681939398193359</v>
      </c>
      <c r="N338" s="42">
        <f t="shared" si="66"/>
        <v>7.681939398193359</v>
      </c>
      <c r="O338" s="43">
        <f t="shared" si="67"/>
        <v>59.01219291751535</v>
      </c>
      <c r="P338" s="43">
        <f t="shared" si="68"/>
        <v>10.24790502719336</v>
      </c>
      <c r="Q338" s="43">
        <f t="shared" si="69"/>
        <v>10.24790502719336</v>
      </c>
      <c r="R338" s="43">
        <f t="shared" si="70"/>
        <v>105.01955744637493</v>
      </c>
    </row>
    <row r="339" spans="1:18" ht="15.75" customHeight="1" x14ac:dyDescent="0.3">
      <c r="A339" s="47">
        <v>38321</v>
      </c>
      <c r="B339" s="48">
        <v>0</v>
      </c>
      <c r="C339" s="49">
        <v>0</v>
      </c>
      <c r="D339" s="10">
        <f t="shared" si="62"/>
        <v>-0.38980777739764078</v>
      </c>
      <c r="E339" s="10">
        <f t="shared" si="63"/>
        <v>-0.42084508196721315</v>
      </c>
      <c r="F339" s="10">
        <f t="shared" si="61"/>
        <v>0.15195010331968867</v>
      </c>
      <c r="G339" s="10">
        <f t="shared" si="61"/>
        <v>0.17711058301599036</v>
      </c>
      <c r="H339" s="11">
        <f t="shared" si="71"/>
        <v>0.16404868603036732</v>
      </c>
      <c r="I339" s="12">
        <f t="shared" si="72"/>
        <v>0</v>
      </c>
      <c r="J339" s="28">
        <f t="shared" si="73"/>
        <v>0</v>
      </c>
      <c r="K339" s="30">
        <f t="shared" si="64"/>
        <v>0</v>
      </c>
      <c r="L339" s="5"/>
      <c r="M339" s="30">
        <f t="shared" si="65"/>
        <v>0</v>
      </c>
      <c r="N339" s="42">
        <f t="shared" si="66"/>
        <v>0</v>
      </c>
      <c r="O339" s="43">
        <f t="shared" si="67"/>
        <v>0</v>
      </c>
      <c r="P339" s="43">
        <f t="shared" si="68"/>
        <v>-0.34013437099999999</v>
      </c>
      <c r="Q339" s="43">
        <f t="shared" si="69"/>
        <v>-0.34013437099999999</v>
      </c>
      <c r="R339" s="43">
        <f t="shared" si="70"/>
        <v>0.11569139033556564</v>
      </c>
    </row>
    <row r="340" spans="1:18" ht="15.75" customHeight="1" x14ac:dyDescent="0.3">
      <c r="A340" s="47">
        <v>38322</v>
      </c>
      <c r="B340" s="48">
        <v>0</v>
      </c>
      <c r="C340" s="49">
        <v>0</v>
      </c>
      <c r="D340" s="10">
        <f t="shared" si="62"/>
        <v>-0.38980777739764078</v>
      </c>
      <c r="E340" s="10">
        <f t="shared" si="63"/>
        <v>-0.42084508196721315</v>
      </c>
      <c r="F340" s="10">
        <f t="shared" si="61"/>
        <v>0.15195010331968867</v>
      </c>
      <c r="G340" s="10">
        <f t="shared" si="61"/>
        <v>0.17711058301599036</v>
      </c>
      <c r="H340" s="11">
        <f t="shared" si="71"/>
        <v>0.16404868603036732</v>
      </c>
      <c r="I340" s="12">
        <f t="shared" si="72"/>
        <v>0</v>
      </c>
      <c r="J340" s="28">
        <f t="shared" si="73"/>
        <v>0</v>
      </c>
      <c r="K340" s="30">
        <f t="shared" si="64"/>
        <v>0</v>
      </c>
      <c r="L340" s="5"/>
      <c r="M340" s="30">
        <f t="shared" si="65"/>
        <v>0</v>
      </c>
      <c r="N340" s="42">
        <f t="shared" si="66"/>
        <v>0</v>
      </c>
      <c r="O340" s="43">
        <f t="shared" si="67"/>
        <v>0</v>
      </c>
      <c r="P340" s="43">
        <f t="shared" si="68"/>
        <v>-0.34013437099999999</v>
      </c>
      <c r="Q340" s="43">
        <f t="shared" si="69"/>
        <v>-0.34013437099999999</v>
      </c>
      <c r="R340" s="43">
        <f t="shared" si="70"/>
        <v>0.11569139033556564</v>
      </c>
    </row>
    <row r="341" spans="1:18" ht="15.75" customHeight="1" x14ac:dyDescent="0.3">
      <c r="A341" s="47">
        <v>38323</v>
      </c>
      <c r="B341" s="48">
        <v>0</v>
      </c>
      <c r="C341" s="49">
        <v>0</v>
      </c>
      <c r="D341" s="10">
        <f t="shared" si="62"/>
        <v>-0.38980777739764078</v>
      </c>
      <c r="E341" s="10">
        <f t="shared" si="63"/>
        <v>-0.42084508196721315</v>
      </c>
      <c r="F341" s="10">
        <f t="shared" ref="F341:G370" si="74">D341^2</f>
        <v>0.15195010331968867</v>
      </c>
      <c r="G341" s="10">
        <f t="shared" si="74"/>
        <v>0.17711058301599036</v>
      </c>
      <c r="H341" s="11">
        <f t="shared" si="71"/>
        <v>0.16404868603036732</v>
      </c>
      <c r="I341" s="12">
        <f t="shared" si="72"/>
        <v>0</v>
      </c>
      <c r="J341" s="28">
        <f t="shared" si="73"/>
        <v>0</v>
      </c>
      <c r="K341" s="30">
        <f t="shared" si="64"/>
        <v>0</v>
      </c>
      <c r="L341" s="5"/>
      <c r="M341" s="30">
        <f t="shared" si="65"/>
        <v>0</v>
      </c>
      <c r="N341" s="42">
        <f t="shared" si="66"/>
        <v>0</v>
      </c>
      <c r="O341" s="43">
        <f t="shared" si="67"/>
        <v>0</v>
      </c>
      <c r="P341" s="43">
        <f t="shared" si="68"/>
        <v>-0.34013437099999999</v>
      </c>
      <c r="Q341" s="43">
        <f t="shared" si="69"/>
        <v>-0.34013437099999999</v>
      </c>
      <c r="R341" s="43">
        <f t="shared" si="70"/>
        <v>0.11569139033556564</v>
      </c>
    </row>
    <row r="342" spans="1:18" ht="15.75" customHeight="1" x14ac:dyDescent="0.3">
      <c r="A342" s="47">
        <v>38324</v>
      </c>
      <c r="B342" s="48">
        <v>0</v>
      </c>
      <c r="C342" s="49">
        <v>0</v>
      </c>
      <c r="D342" s="10">
        <f t="shared" si="62"/>
        <v>-0.38980777739764078</v>
      </c>
      <c r="E342" s="10">
        <f t="shared" si="63"/>
        <v>-0.42084508196721315</v>
      </c>
      <c r="F342" s="10">
        <f t="shared" si="74"/>
        <v>0.15195010331968867</v>
      </c>
      <c r="G342" s="10">
        <f t="shared" si="74"/>
        <v>0.17711058301599036</v>
      </c>
      <c r="H342" s="11">
        <f t="shared" si="71"/>
        <v>0.16404868603036732</v>
      </c>
      <c r="I342" s="12">
        <f t="shared" si="72"/>
        <v>0</v>
      </c>
      <c r="J342" s="28">
        <f t="shared" si="73"/>
        <v>0</v>
      </c>
      <c r="K342" s="30">
        <f t="shared" si="64"/>
        <v>0</v>
      </c>
      <c r="L342" s="5"/>
      <c r="M342" s="30">
        <f t="shared" si="65"/>
        <v>0</v>
      </c>
      <c r="N342" s="42">
        <f t="shared" si="66"/>
        <v>0</v>
      </c>
      <c r="O342" s="43">
        <f t="shared" si="67"/>
        <v>0</v>
      </c>
      <c r="P342" s="43">
        <f t="shared" si="68"/>
        <v>-0.34013437099999999</v>
      </c>
      <c r="Q342" s="43">
        <f t="shared" si="69"/>
        <v>-0.34013437099999999</v>
      </c>
      <c r="R342" s="43">
        <f t="shared" si="70"/>
        <v>0.11569139033556564</v>
      </c>
    </row>
    <row r="343" spans="1:18" ht="15.75" customHeight="1" x14ac:dyDescent="0.3">
      <c r="A343" s="47">
        <v>38325</v>
      </c>
      <c r="B343" s="48">
        <v>0</v>
      </c>
      <c r="C343" s="49">
        <v>0</v>
      </c>
      <c r="D343" s="10">
        <f t="shared" si="62"/>
        <v>-0.38980777739764078</v>
      </c>
      <c r="E343" s="10">
        <f t="shared" si="63"/>
        <v>-0.42084508196721315</v>
      </c>
      <c r="F343" s="10">
        <f t="shared" si="74"/>
        <v>0.15195010331968867</v>
      </c>
      <c r="G343" s="10">
        <f t="shared" si="74"/>
        <v>0.17711058301599036</v>
      </c>
      <c r="H343" s="11">
        <f t="shared" si="71"/>
        <v>0.16404868603036732</v>
      </c>
      <c r="I343" s="12">
        <f t="shared" si="72"/>
        <v>0</v>
      </c>
      <c r="J343" s="28">
        <f t="shared" si="73"/>
        <v>0</v>
      </c>
      <c r="K343" s="30">
        <f t="shared" si="64"/>
        <v>0</v>
      </c>
      <c r="L343" s="5"/>
      <c r="M343" s="30">
        <f t="shared" si="65"/>
        <v>0</v>
      </c>
      <c r="N343" s="42">
        <f t="shared" si="66"/>
        <v>0</v>
      </c>
      <c r="O343" s="43">
        <f t="shared" si="67"/>
        <v>0</v>
      </c>
      <c r="P343" s="43">
        <f t="shared" si="68"/>
        <v>-0.34013437099999999</v>
      </c>
      <c r="Q343" s="43">
        <f t="shared" si="69"/>
        <v>-0.34013437099999999</v>
      </c>
      <c r="R343" s="43">
        <f t="shared" si="70"/>
        <v>0.11569139033556564</v>
      </c>
    </row>
    <row r="344" spans="1:18" ht="13.5" customHeight="1" x14ac:dyDescent="0.3">
      <c r="A344" s="47">
        <v>38326</v>
      </c>
      <c r="B344" s="48">
        <v>0</v>
      </c>
      <c r="C344" s="49">
        <v>2.6012</v>
      </c>
      <c r="D344" s="10">
        <f t="shared" si="62"/>
        <v>-0.38980777739764078</v>
      </c>
      <c r="E344" s="10">
        <f t="shared" si="63"/>
        <v>2.180354918032787</v>
      </c>
      <c r="F344" s="10">
        <f t="shared" si="74"/>
        <v>0.15195010331968867</v>
      </c>
      <c r="G344" s="10">
        <f t="shared" si="74"/>
        <v>4.7539475685897612</v>
      </c>
      <c r="H344" s="11">
        <f t="shared" si="71"/>
        <v>-0.84991930453637599</v>
      </c>
      <c r="I344" s="12">
        <f t="shared" si="72"/>
        <v>2.6012</v>
      </c>
      <c r="J344" s="28">
        <f t="shared" si="73"/>
        <v>6.7662414399999999</v>
      </c>
      <c r="K344" s="30">
        <f t="shared" si="64"/>
        <v>2.6012</v>
      </c>
      <c r="L344" s="5"/>
      <c r="M344" s="30">
        <f t="shared" si="65"/>
        <v>-2.6012</v>
      </c>
      <c r="N344" s="42">
        <f t="shared" si="66"/>
        <v>-2.6012</v>
      </c>
      <c r="O344" s="43">
        <f t="shared" si="67"/>
        <v>6.7662414399999999</v>
      </c>
      <c r="P344" s="43">
        <f t="shared" si="68"/>
        <v>-0.34013437099999999</v>
      </c>
      <c r="Q344" s="43">
        <f t="shared" si="69"/>
        <v>-0.34013437099999999</v>
      </c>
      <c r="R344" s="43">
        <f t="shared" si="70"/>
        <v>0.11569139033556564</v>
      </c>
    </row>
    <row r="345" spans="1:18" ht="13.5" customHeight="1" x14ac:dyDescent="0.3">
      <c r="A345" s="47">
        <v>38327</v>
      </c>
      <c r="B345" s="48">
        <v>0</v>
      </c>
      <c r="C345" s="49">
        <v>0</v>
      </c>
      <c r="D345" s="10">
        <f t="shared" si="62"/>
        <v>-0.38980777739764078</v>
      </c>
      <c r="E345" s="10">
        <f t="shared" si="63"/>
        <v>-0.42084508196721315</v>
      </c>
      <c r="F345" s="10">
        <f t="shared" si="74"/>
        <v>0.15195010331968867</v>
      </c>
      <c r="G345" s="10">
        <f t="shared" si="74"/>
        <v>0.17711058301599036</v>
      </c>
      <c r="H345" s="11">
        <f t="shared" si="71"/>
        <v>0.16404868603036732</v>
      </c>
      <c r="I345" s="12">
        <f t="shared" si="72"/>
        <v>0</v>
      </c>
      <c r="J345" s="28">
        <f t="shared" si="73"/>
        <v>0</v>
      </c>
      <c r="K345" s="30">
        <f t="shared" si="64"/>
        <v>0</v>
      </c>
      <c r="L345" s="5"/>
      <c r="M345" s="30">
        <f t="shared" si="65"/>
        <v>0</v>
      </c>
      <c r="N345" s="42">
        <f t="shared" si="66"/>
        <v>0</v>
      </c>
      <c r="O345" s="43">
        <f t="shared" si="67"/>
        <v>0</v>
      </c>
      <c r="P345" s="43">
        <f t="shared" si="68"/>
        <v>-0.34013437099999999</v>
      </c>
      <c r="Q345" s="43">
        <f t="shared" si="69"/>
        <v>-0.34013437099999999</v>
      </c>
      <c r="R345" s="43">
        <f t="shared" si="70"/>
        <v>0.11569139033556564</v>
      </c>
    </row>
    <row r="346" spans="1:18" ht="13.5" customHeight="1" x14ac:dyDescent="0.3">
      <c r="A346" s="47">
        <v>38328</v>
      </c>
      <c r="B346" s="48">
        <v>0</v>
      </c>
      <c r="C346" s="49">
        <v>0</v>
      </c>
      <c r="D346" s="10">
        <f t="shared" si="62"/>
        <v>-0.38980777739764078</v>
      </c>
      <c r="E346" s="10">
        <f t="shared" si="63"/>
        <v>-0.42084508196721315</v>
      </c>
      <c r="F346" s="10">
        <f t="shared" si="74"/>
        <v>0.15195010331968867</v>
      </c>
      <c r="G346" s="10">
        <f t="shared" si="74"/>
        <v>0.17711058301599036</v>
      </c>
      <c r="H346" s="11">
        <f t="shared" si="71"/>
        <v>0.16404868603036732</v>
      </c>
      <c r="I346" s="12">
        <f t="shared" si="72"/>
        <v>0</v>
      </c>
      <c r="J346" s="28">
        <f t="shared" si="73"/>
        <v>0</v>
      </c>
      <c r="K346" s="30">
        <f t="shared" si="64"/>
        <v>0</v>
      </c>
      <c r="L346" s="5"/>
      <c r="M346" s="30">
        <f t="shared" si="65"/>
        <v>0</v>
      </c>
      <c r="N346" s="42">
        <f t="shared" si="66"/>
        <v>0</v>
      </c>
      <c r="O346" s="43">
        <f t="shared" si="67"/>
        <v>0</v>
      </c>
      <c r="P346" s="43">
        <f t="shared" si="68"/>
        <v>-0.34013437099999999</v>
      </c>
      <c r="Q346" s="43">
        <f t="shared" si="69"/>
        <v>-0.34013437099999999</v>
      </c>
      <c r="R346" s="43">
        <f t="shared" si="70"/>
        <v>0.11569139033556564</v>
      </c>
    </row>
    <row r="347" spans="1:18" ht="15.75" customHeight="1" x14ac:dyDescent="0.3">
      <c r="A347" s="47">
        <v>38329</v>
      </c>
      <c r="B347" s="48">
        <v>0</v>
      </c>
      <c r="C347" s="49">
        <v>0</v>
      </c>
      <c r="D347" s="10">
        <f t="shared" si="62"/>
        <v>-0.38980777739764078</v>
      </c>
      <c r="E347" s="10">
        <f t="shared" si="63"/>
        <v>-0.42084508196721315</v>
      </c>
      <c r="F347" s="10">
        <f t="shared" si="74"/>
        <v>0.15195010331968867</v>
      </c>
      <c r="G347" s="10">
        <f t="shared" si="74"/>
        <v>0.17711058301599036</v>
      </c>
      <c r="H347" s="11">
        <f t="shared" si="71"/>
        <v>0.16404868603036732</v>
      </c>
      <c r="I347" s="12">
        <f t="shared" si="72"/>
        <v>0</v>
      </c>
      <c r="J347" s="28">
        <f t="shared" si="73"/>
        <v>0</v>
      </c>
      <c r="K347" s="30">
        <f t="shared" si="64"/>
        <v>0</v>
      </c>
      <c r="L347" s="5"/>
      <c r="M347" s="30">
        <f t="shared" si="65"/>
        <v>0</v>
      </c>
      <c r="N347" s="42">
        <f t="shared" si="66"/>
        <v>0</v>
      </c>
      <c r="O347" s="43">
        <f t="shared" si="67"/>
        <v>0</v>
      </c>
      <c r="P347" s="43">
        <f t="shared" si="68"/>
        <v>-0.34013437099999999</v>
      </c>
      <c r="Q347" s="43">
        <f t="shared" si="69"/>
        <v>-0.34013437099999999</v>
      </c>
      <c r="R347" s="43">
        <f t="shared" si="70"/>
        <v>0.11569139033556564</v>
      </c>
    </row>
    <row r="348" spans="1:18" ht="15.75" customHeight="1" x14ac:dyDescent="0.3">
      <c r="A348" s="47">
        <v>38330</v>
      </c>
      <c r="B348" s="48">
        <v>0</v>
      </c>
      <c r="C348" s="49">
        <v>4.1094999999999997</v>
      </c>
      <c r="D348" s="10">
        <f t="shared" si="62"/>
        <v>-0.38980777739764078</v>
      </c>
      <c r="E348" s="10">
        <f t="shared" si="63"/>
        <v>3.6886549180327863</v>
      </c>
      <c r="F348" s="10">
        <f t="shared" si="74"/>
        <v>0.15195010331968867</v>
      </c>
      <c r="G348" s="10">
        <f t="shared" si="74"/>
        <v>13.606175104327461</v>
      </c>
      <c r="H348" s="11">
        <f t="shared" si="71"/>
        <v>-1.4378663751852372</v>
      </c>
      <c r="I348" s="12">
        <f t="shared" si="72"/>
        <v>4.1094999999999997</v>
      </c>
      <c r="J348" s="28">
        <f t="shared" si="73"/>
        <v>16.887990249999998</v>
      </c>
      <c r="K348" s="30">
        <f t="shared" si="64"/>
        <v>4.1094999999999997</v>
      </c>
      <c r="L348" s="5"/>
      <c r="M348" s="30">
        <f t="shared" si="65"/>
        <v>-4.1094999999999997</v>
      </c>
      <c r="N348" s="42">
        <f t="shared" si="66"/>
        <v>-4.1094999999999997</v>
      </c>
      <c r="O348" s="43">
        <f t="shared" si="67"/>
        <v>16.887990249999998</v>
      </c>
      <c r="P348" s="43">
        <f t="shared" si="68"/>
        <v>-0.34013437099999999</v>
      </c>
      <c r="Q348" s="43">
        <f t="shared" si="69"/>
        <v>-0.34013437099999999</v>
      </c>
      <c r="R348" s="43">
        <f t="shared" si="70"/>
        <v>0.11569139033556564</v>
      </c>
    </row>
    <row r="349" spans="1:18" ht="15.75" customHeight="1" x14ac:dyDescent="0.3">
      <c r="A349" s="47">
        <v>38331</v>
      </c>
      <c r="B349" s="48">
        <v>0</v>
      </c>
      <c r="C349" s="49">
        <v>1.4357</v>
      </c>
      <c r="D349" s="10">
        <f t="shared" si="62"/>
        <v>-0.38980777739764078</v>
      </c>
      <c r="E349" s="10">
        <f t="shared" si="63"/>
        <v>1.0148549180327868</v>
      </c>
      <c r="F349" s="10">
        <f t="shared" si="74"/>
        <v>0.15195010331968867</v>
      </c>
      <c r="G349" s="10">
        <f t="shared" si="74"/>
        <v>1.0299305046553344</v>
      </c>
      <c r="H349" s="11">
        <f t="shared" si="71"/>
        <v>-0.39559833997942556</v>
      </c>
      <c r="I349" s="12">
        <f t="shared" si="72"/>
        <v>1.4357</v>
      </c>
      <c r="J349" s="28">
        <f t="shared" si="73"/>
        <v>2.0612344899999999</v>
      </c>
      <c r="K349" s="30">
        <f t="shared" si="64"/>
        <v>1.4357</v>
      </c>
      <c r="L349" s="5"/>
      <c r="M349" s="30">
        <f t="shared" si="65"/>
        <v>-1.4357</v>
      </c>
      <c r="N349" s="42">
        <f t="shared" si="66"/>
        <v>-1.4357</v>
      </c>
      <c r="O349" s="43">
        <f t="shared" si="67"/>
        <v>2.0612344899999999</v>
      </c>
      <c r="P349" s="43">
        <f t="shared" si="68"/>
        <v>-0.34013437099999999</v>
      </c>
      <c r="Q349" s="43">
        <f t="shared" si="69"/>
        <v>-0.34013437099999999</v>
      </c>
      <c r="R349" s="43">
        <f t="shared" si="70"/>
        <v>0.11569139033556564</v>
      </c>
    </row>
    <row r="350" spans="1:18" ht="15.75" customHeight="1" x14ac:dyDescent="0.3">
      <c r="A350" s="47">
        <v>38332</v>
      </c>
      <c r="B350" s="48">
        <v>0</v>
      </c>
      <c r="C350" s="49">
        <v>1.0563</v>
      </c>
      <c r="D350" s="10">
        <f t="shared" si="62"/>
        <v>-0.38980777739764078</v>
      </c>
      <c r="E350" s="10">
        <f t="shared" si="63"/>
        <v>0.63545491803278686</v>
      </c>
      <c r="F350" s="10">
        <f t="shared" si="74"/>
        <v>0.15195010331968867</v>
      </c>
      <c r="G350" s="10">
        <f t="shared" si="74"/>
        <v>0.40380295285205586</v>
      </c>
      <c r="H350" s="11">
        <f t="shared" si="71"/>
        <v>-0.24770526923476063</v>
      </c>
      <c r="I350" s="12">
        <f t="shared" si="72"/>
        <v>1.0563</v>
      </c>
      <c r="J350" s="28">
        <f t="shared" si="73"/>
        <v>1.11576969</v>
      </c>
      <c r="K350" s="30">
        <f t="shared" si="64"/>
        <v>1.0563</v>
      </c>
      <c r="L350" s="5"/>
      <c r="M350" s="30">
        <f t="shared" si="65"/>
        <v>-1.0563</v>
      </c>
      <c r="N350" s="42">
        <f t="shared" si="66"/>
        <v>-1.0563</v>
      </c>
      <c r="O350" s="43">
        <f t="shared" si="67"/>
        <v>1.11576969</v>
      </c>
      <c r="P350" s="43">
        <f t="shared" si="68"/>
        <v>-0.34013437099999999</v>
      </c>
      <c r="Q350" s="43">
        <f t="shared" si="69"/>
        <v>-0.34013437099999999</v>
      </c>
      <c r="R350" s="43">
        <f t="shared" si="70"/>
        <v>0.11569139033556564</v>
      </c>
    </row>
    <row r="351" spans="1:18" ht="15.75" customHeight="1" x14ac:dyDescent="0.3">
      <c r="A351" s="47">
        <v>38333</v>
      </c>
      <c r="B351" s="48">
        <v>0</v>
      </c>
      <c r="C351" s="49">
        <v>0</v>
      </c>
      <c r="D351" s="10">
        <f t="shared" si="62"/>
        <v>-0.38980777739764078</v>
      </c>
      <c r="E351" s="10">
        <f t="shared" si="63"/>
        <v>-0.42084508196721315</v>
      </c>
      <c r="F351" s="10">
        <f t="shared" si="74"/>
        <v>0.15195010331968867</v>
      </c>
      <c r="G351" s="10">
        <f t="shared" si="74"/>
        <v>0.17711058301599036</v>
      </c>
      <c r="H351" s="11">
        <f t="shared" si="71"/>
        <v>0.16404868603036732</v>
      </c>
      <c r="I351" s="12">
        <f t="shared" si="72"/>
        <v>0</v>
      </c>
      <c r="J351" s="28">
        <f t="shared" si="73"/>
        <v>0</v>
      </c>
      <c r="K351" s="30">
        <f t="shared" si="64"/>
        <v>0</v>
      </c>
      <c r="L351" s="5"/>
      <c r="M351" s="30">
        <f t="shared" si="65"/>
        <v>0</v>
      </c>
      <c r="N351" s="42">
        <f t="shared" si="66"/>
        <v>0</v>
      </c>
      <c r="O351" s="43">
        <f t="shared" si="67"/>
        <v>0</v>
      </c>
      <c r="P351" s="43">
        <f t="shared" si="68"/>
        <v>-0.34013437099999999</v>
      </c>
      <c r="Q351" s="43">
        <f t="shared" si="69"/>
        <v>-0.34013437099999999</v>
      </c>
      <c r="R351" s="43">
        <f t="shared" si="70"/>
        <v>0.11569139033556564</v>
      </c>
    </row>
    <row r="352" spans="1:18" ht="15.75" customHeight="1" x14ac:dyDescent="0.3">
      <c r="A352" s="47">
        <v>38334</v>
      </c>
      <c r="B352" s="48">
        <v>0</v>
      </c>
      <c r="C352" s="49">
        <v>0</v>
      </c>
      <c r="D352" s="10">
        <f t="shared" si="62"/>
        <v>-0.38980777739764078</v>
      </c>
      <c r="E352" s="10">
        <f t="shared" si="63"/>
        <v>-0.42084508196721315</v>
      </c>
      <c r="F352" s="10">
        <f t="shared" si="74"/>
        <v>0.15195010331968867</v>
      </c>
      <c r="G352" s="10">
        <f t="shared" si="74"/>
        <v>0.17711058301599036</v>
      </c>
      <c r="H352" s="11">
        <f t="shared" si="71"/>
        <v>0.16404868603036732</v>
      </c>
      <c r="I352" s="12">
        <f t="shared" si="72"/>
        <v>0</v>
      </c>
      <c r="J352" s="28">
        <f t="shared" si="73"/>
        <v>0</v>
      </c>
      <c r="K352" s="30">
        <f t="shared" si="64"/>
        <v>0</v>
      </c>
      <c r="L352" s="5"/>
      <c r="M352" s="30">
        <f t="shared" si="65"/>
        <v>0</v>
      </c>
      <c r="N352" s="42">
        <f t="shared" si="66"/>
        <v>0</v>
      </c>
      <c r="O352" s="43">
        <f t="shared" si="67"/>
        <v>0</v>
      </c>
      <c r="P352" s="43">
        <f t="shared" si="68"/>
        <v>-0.34013437099999999</v>
      </c>
      <c r="Q352" s="43">
        <f t="shared" si="69"/>
        <v>-0.34013437099999999</v>
      </c>
      <c r="R352" s="43">
        <f t="shared" si="70"/>
        <v>0.11569139033556564</v>
      </c>
    </row>
    <row r="353" spans="1:18" ht="15.75" customHeight="1" x14ac:dyDescent="0.3">
      <c r="A353" s="47">
        <v>38335</v>
      </c>
      <c r="B353" s="48">
        <v>2.2445321083068848</v>
      </c>
      <c r="C353" s="49">
        <v>0</v>
      </c>
      <c r="D353" s="10">
        <f t="shared" si="62"/>
        <v>1.854724330909244</v>
      </c>
      <c r="E353" s="10">
        <f t="shared" si="63"/>
        <v>-0.42084508196721315</v>
      </c>
      <c r="F353" s="10">
        <f t="shared" si="74"/>
        <v>3.4400023436667428</v>
      </c>
      <c r="G353" s="10">
        <f t="shared" si="74"/>
        <v>0.17711058301599036</v>
      </c>
      <c r="H353" s="11">
        <f t="shared" si="71"/>
        <v>-0.7805516130680854</v>
      </c>
      <c r="I353" s="12">
        <f t="shared" si="72"/>
        <v>2.2445321083068848</v>
      </c>
      <c r="J353" s="28">
        <f t="shared" si="73"/>
        <v>5.0379243852205491</v>
      </c>
      <c r="K353" s="30">
        <f t="shared" si="64"/>
        <v>-2.2445321083068848</v>
      </c>
      <c r="L353" s="5"/>
      <c r="M353" s="30">
        <f t="shared" si="65"/>
        <v>2.2445321083068848</v>
      </c>
      <c r="N353" s="42">
        <f t="shared" si="66"/>
        <v>2.2445321083068848</v>
      </c>
      <c r="O353" s="43">
        <f t="shared" si="67"/>
        <v>5.0379243852205491</v>
      </c>
      <c r="P353" s="43">
        <f t="shared" si="68"/>
        <v>1.9043977373068848</v>
      </c>
      <c r="Q353" s="43">
        <f t="shared" si="69"/>
        <v>1.9043977373068848</v>
      </c>
      <c r="R353" s="43">
        <f t="shared" si="70"/>
        <v>3.6267307418595824</v>
      </c>
    </row>
    <row r="354" spans="1:18" ht="15.75" customHeight="1" x14ac:dyDescent="0.3">
      <c r="A354" s="47">
        <v>38336</v>
      </c>
      <c r="B354" s="48">
        <v>2.2093386650085449</v>
      </c>
      <c r="C354" s="49">
        <v>0</v>
      </c>
      <c r="D354" s="10">
        <f t="shared" si="62"/>
        <v>1.8195308876109042</v>
      </c>
      <c r="E354" s="10">
        <f t="shared" si="63"/>
        <v>-0.42084508196721315</v>
      </c>
      <c r="F354" s="10">
        <f t="shared" si="74"/>
        <v>3.3106926509701249</v>
      </c>
      <c r="G354" s="10">
        <f t="shared" si="74"/>
        <v>0.17711058301599036</v>
      </c>
      <c r="H354" s="11">
        <f t="shared" si="71"/>
        <v>-0.7657406255384871</v>
      </c>
      <c r="I354" s="12">
        <f t="shared" si="72"/>
        <v>2.2093386650085449</v>
      </c>
      <c r="J354" s="28">
        <f t="shared" si="73"/>
        <v>4.8811773367017395</v>
      </c>
      <c r="K354" s="30">
        <f t="shared" si="64"/>
        <v>-2.2093386650085449</v>
      </c>
      <c r="L354" s="5"/>
      <c r="M354" s="30">
        <f t="shared" si="65"/>
        <v>2.2093386650085449</v>
      </c>
      <c r="N354" s="42">
        <f t="shared" si="66"/>
        <v>2.2093386650085449</v>
      </c>
      <c r="O354" s="43">
        <f t="shared" si="67"/>
        <v>4.8811773367017395</v>
      </c>
      <c r="P354" s="43">
        <f t="shared" si="68"/>
        <v>1.8692042940085449</v>
      </c>
      <c r="Q354" s="43">
        <f t="shared" si="69"/>
        <v>1.8692042940085449</v>
      </c>
      <c r="R354" s="43">
        <f t="shared" si="70"/>
        <v>3.493924692739983</v>
      </c>
    </row>
    <row r="355" spans="1:18" ht="15.75" customHeight="1" x14ac:dyDescent="0.3">
      <c r="A355" s="47">
        <v>38337</v>
      </c>
      <c r="B355" s="48">
        <v>0.17496626079082489</v>
      </c>
      <c r="C355" s="49">
        <v>0</v>
      </c>
      <c r="D355" s="10">
        <f t="shared" si="62"/>
        <v>-0.21484151660681589</v>
      </c>
      <c r="E355" s="10">
        <f t="shared" si="63"/>
        <v>-0.42084508196721315</v>
      </c>
      <c r="F355" s="10">
        <f t="shared" si="74"/>
        <v>4.6156877257916742E-2</v>
      </c>
      <c r="G355" s="10">
        <f t="shared" si="74"/>
        <v>0.17711058301599036</v>
      </c>
      <c r="H355" s="11">
        <f t="shared" si="71"/>
        <v>9.0414995666355816E-2</v>
      </c>
      <c r="I355" s="12">
        <f t="shared" si="72"/>
        <v>0.17496626079082489</v>
      </c>
      <c r="J355" s="28">
        <f t="shared" si="73"/>
        <v>3.0613192415122947E-2</v>
      </c>
      <c r="K355" s="30">
        <f t="shared" si="64"/>
        <v>-0.17496626079082489</v>
      </c>
      <c r="L355" s="5"/>
      <c r="M355" s="30">
        <f t="shared" si="65"/>
        <v>0.17496626079082489</v>
      </c>
      <c r="N355" s="42">
        <f t="shared" si="66"/>
        <v>0.17496626079082489</v>
      </c>
      <c r="O355" s="43">
        <f t="shared" si="67"/>
        <v>3.0613192415122947E-2</v>
      </c>
      <c r="P355" s="43">
        <f t="shared" si="68"/>
        <v>-0.1651681102091751</v>
      </c>
      <c r="Q355" s="43">
        <f t="shared" si="69"/>
        <v>-0.1651681102091751</v>
      </c>
      <c r="R355" s="43">
        <f t="shared" si="70"/>
        <v>2.7280504630070212E-2</v>
      </c>
    </row>
    <row r="356" spans="1:18" ht="15.75" customHeight="1" x14ac:dyDescent="0.3">
      <c r="A356" s="47">
        <v>38338</v>
      </c>
      <c r="B356" s="48">
        <v>0</v>
      </c>
      <c r="C356" s="49">
        <v>0.63519999999999999</v>
      </c>
      <c r="D356" s="10">
        <f t="shared" si="62"/>
        <v>-0.38980777739764078</v>
      </c>
      <c r="E356" s="10">
        <f t="shared" si="63"/>
        <v>0.21435491803278683</v>
      </c>
      <c r="F356" s="10">
        <f t="shared" si="74"/>
        <v>0.15195010331968867</v>
      </c>
      <c r="G356" s="10">
        <f t="shared" si="74"/>
        <v>4.5948030884842762E-2</v>
      </c>
      <c r="H356" s="11">
        <f t="shared" si="71"/>
        <v>-8.3557214172614108E-2</v>
      </c>
      <c r="I356" s="12">
        <f t="shared" si="72"/>
        <v>0.63519999999999999</v>
      </c>
      <c r="J356" s="28">
        <f t="shared" si="73"/>
        <v>0.40347904000000001</v>
      </c>
      <c r="K356" s="30">
        <f t="shared" si="64"/>
        <v>0.63519999999999999</v>
      </c>
      <c r="L356" s="5"/>
      <c r="M356" s="30">
        <f t="shared" si="65"/>
        <v>-0.63519999999999999</v>
      </c>
      <c r="N356" s="42">
        <f t="shared" si="66"/>
        <v>-0.63519999999999999</v>
      </c>
      <c r="O356" s="43">
        <f t="shared" si="67"/>
        <v>0.40347904000000001</v>
      </c>
      <c r="P356" s="43">
        <f t="shared" si="68"/>
        <v>-0.34013437099999999</v>
      </c>
      <c r="Q356" s="43">
        <f t="shared" si="69"/>
        <v>-0.34013437099999999</v>
      </c>
      <c r="R356" s="43">
        <f t="shared" si="70"/>
        <v>0.11569139033556564</v>
      </c>
    </row>
    <row r="357" spans="1:18" ht="15.75" customHeight="1" x14ac:dyDescent="0.3">
      <c r="A357" s="47">
        <v>38339</v>
      </c>
      <c r="B357" s="48">
        <v>0.28072753548622131</v>
      </c>
      <c r="C357" s="49">
        <v>4.2907000000000002</v>
      </c>
      <c r="D357" s="10">
        <f t="shared" si="62"/>
        <v>-0.10908024191141946</v>
      </c>
      <c r="E357" s="10">
        <f t="shared" si="63"/>
        <v>3.8698549180327868</v>
      </c>
      <c r="F357" s="10">
        <f t="shared" si="74"/>
        <v>1.189849917545379E-2</v>
      </c>
      <c r="G357" s="10">
        <f t="shared" si="74"/>
        <v>14.975777086622546</v>
      </c>
      <c r="H357" s="11">
        <f t="shared" si="71"/>
        <v>-0.42212471062111273</v>
      </c>
      <c r="I357" s="12">
        <f t="shared" si="72"/>
        <v>4.0099724645137789</v>
      </c>
      <c r="J357" s="28">
        <f t="shared" si="73"/>
        <v>16.079879166158708</v>
      </c>
      <c r="K357" s="30">
        <f t="shared" si="64"/>
        <v>4.0099724645137789</v>
      </c>
      <c r="L357" s="5"/>
      <c r="M357" s="30">
        <f t="shared" si="65"/>
        <v>-4.0099724645137789</v>
      </c>
      <c r="N357" s="42">
        <f t="shared" si="66"/>
        <v>-4.0099724645137789</v>
      </c>
      <c r="O357" s="43">
        <f t="shared" si="67"/>
        <v>16.079879166158708</v>
      </c>
      <c r="P357" s="43">
        <f t="shared" si="68"/>
        <v>-5.9406835513778677E-2</v>
      </c>
      <c r="Q357" s="43">
        <f>B357-0.340134371</f>
        <v>-5.9406835513778677E-2</v>
      </c>
      <c r="R357" s="43">
        <f t="shared" si="70"/>
        <v>3.5291721057611556E-3</v>
      </c>
    </row>
    <row r="358" spans="1:18" ht="15.75" customHeight="1" x14ac:dyDescent="0.3">
      <c r="A358" s="47">
        <v>38340</v>
      </c>
      <c r="B358" s="48">
        <v>0</v>
      </c>
      <c r="C358" s="49">
        <v>0</v>
      </c>
      <c r="D358" s="10">
        <f t="shared" si="62"/>
        <v>-0.38980777739764078</v>
      </c>
      <c r="E358" s="10">
        <f t="shared" si="63"/>
        <v>-0.42084508196721315</v>
      </c>
      <c r="F358" s="10">
        <f t="shared" si="74"/>
        <v>0.15195010331968867</v>
      </c>
      <c r="G358" s="10">
        <f t="shared" si="74"/>
        <v>0.17711058301599036</v>
      </c>
      <c r="H358" s="11">
        <f t="shared" si="71"/>
        <v>0.16404868603036732</v>
      </c>
      <c r="I358" s="12">
        <f t="shared" si="72"/>
        <v>0</v>
      </c>
      <c r="J358" s="28">
        <f t="shared" si="73"/>
        <v>0</v>
      </c>
      <c r="K358" s="30">
        <f t="shared" si="64"/>
        <v>0</v>
      </c>
      <c r="L358" s="5"/>
      <c r="M358" s="30">
        <f t="shared" si="65"/>
        <v>0</v>
      </c>
      <c r="N358" s="42">
        <f t="shared" si="66"/>
        <v>0</v>
      </c>
      <c r="O358" s="43">
        <f t="shared" si="67"/>
        <v>0</v>
      </c>
      <c r="P358" s="43">
        <f t="shared" si="68"/>
        <v>-0.34013437099999999</v>
      </c>
      <c r="Q358" s="43">
        <f t="shared" si="69"/>
        <v>-0.34013437099999999</v>
      </c>
      <c r="R358" s="43">
        <f t="shared" si="70"/>
        <v>0.11569139033556564</v>
      </c>
    </row>
    <row r="359" spans="1:18" ht="15.75" customHeight="1" x14ac:dyDescent="0.3">
      <c r="A359" s="47">
        <v>38341</v>
      </c>
      <c r="B359" s="48">
        <v>0.37087184190750122</v>
      </c>
      <c r="C359" s="49">
        <v>0</v>
      </c>
      <c r="D359" s="10">
        <f t="shared" si="62"/>
        <v>-1.8935935490139555E-2</v>
      </c>
      <c r="E359" s="10">
        <f t="shared" si="63"/>
        <v>-0.42084508196721315</v>
      </c>
      <c r="F359" s="10">
        <f t="shared" si="74"/>
        <v>3.5856965288672677E-4</v>
      </c>
      <c r="G359" s="10">
        <f t="shared" si="74"/>
        <v>0.17711058301599036</v>
      </c>
      <c r="H359" s="11">
        <f t="shared" si="71"/>
        <v>7.9690953234736409E-3</v>
      </c>
      <c r="I359" s="12">
        <f t="shared" si="72"/>
        <v>0.37087184190750122</v>
      </c>
      <c r="J359" s="28">
        <f t="shared" si="73"/>
        <v>0.13754592311986258</v>
      </c>
      <c r="K359" s="30">
        <f t="shared" si="64"/>
        <v>-0.37087184190750122</v>
      </c>
      <c r="L359" s="5"/>
      <c r="M359" s="30">
        <f t="shared" si="65"/>
        <v>0.37087184190750122</v>
      </c>
      <c r="N359" s="42">
        <f t="shared" si="66"/>
        <v>0.37087184190750122</v>
      </c>
      <c r="O359" s="43">
        <f t="shared" si="67"/>
        <v>0.13754592311986258</v>
      </c>
      <c r="P359" s="43">
        <f t="shared" si="68"/>
        <v>3.073747090750123E-2</v>
      </c>
      <c r="Q359" s="43">
        <f t="shared" si="69"/>
        <v>3.073747090750123E-2</v>
      </c>
      <c r="R359" s="43">
        <f t="shared" si="70"/>
        <v>9.4479211778948451E-4</v>
      </c>
    </row>
    <row r="360" spans="1:18" ht="15.75" customHeight="1" x14ac:dyDescent="0.3">
      <c r="A360" s="47">
        <v>38342</v>
      </c>
      <c r="B360" s="48">
        <v>0</v>
      </c>
      <c r="C360" s="49">
        <v>0</v>
      </c>
      <c r="D360" s="10">
        <f t="shared" si="62"/>
        <v>-0.38980777739764078</v>
      </c>
      <c r="E360" s="10">
        <f t="shared" si="63"/>
        <v>-0.42084508196721315</v>
      </c>
      <c r="F360" s="10">
        <f t="shared" si="74"/>
        <v>0.15195010331968867</v>
      </c>
      <c r="G360" s="10">
        <f t="shared" si="74"/>
        <v>0.17711058301599036</v>
      </c>
      <c r="H360" s="11">
        <f t="shared" si="71"/>
        <v>0.16404868603036732</v>
      </c>
      <c r="I360" s="12">
        <f t="shared" si="72"/>
        <v>0</v>
      </c>
      <c r="J360" s="28">
        <f t="shared" si="73"/>
        <v>0</v>
      </c>
      <c r="K360" s="30">
        <f t="shared" si="64"/>
        <v>0</v>
      </c>
      <c r="L360" s="5"/>
      <c r="M360" s="30">
        <f t="shared" si="65"/>
        <v>0</v>
      </c>
      <c r="N360" s="42">
        <f t="shared" si="66"/>
        <v>0</v>
      </c>
      <c r="O360" s="43">
        <f t="shared" si="67"/>
        <v>0</v>
      </c>
      <c r="P360" s="43">
        <f t="shared" si="68"/>
        <v>-0.34013437099999999</v>
      </c>
      <c r="Q360" s="43">
        <f t="shared" si="69"/>
        <v>-0.34013437099999999</v>
      </c>
      <c r="R360" s="43">
        <f t="shared" si="70"/>
        <v>0.11569139033556564</v>
      </c>
    </row>
    <row r="361" spans="1:18" ht="15.75" customHeight="1" x14ac:dyDescent="0.3">
      <c r="A361" s="47">
        <v>38343</v>
      </c>
      <c r="B361" s="48">
        <v>0</v>
      </c>
      <c r="C361" s="49">
        <v>0</v>
      </c>
      <c r="D361" s="10">
        <f t="shared" si="62"/>
        <v>-0.38980777739764078</v>
      </c>
      <c r="E361" s="10">
        <f t="shared" si="63"/>
        <v>-0.42084508196721315</v>
      </c>
      <c r="F361" s="10">
        <f t="shared" si="74"/>
        <v>0.15195010331968867</v>
      </c>
      <c r="G361" s="10">
        <f t="shared" si="74"/>
        <v>0.17711058301599036</v>
      </c>
      <c r="H361" s="11">
        <f t="shared" si="71"/>
        <v>0.16404868603036732</v>
      </c>
      <c r="I361" s="12">
        <f t="shared" si="72"/>
        <v>0</v>
      </c>
      <c r="J361" s="28">
        <f t="shared" si="73"/>
        <v>0</v>
      </c>
      <c r="K361" s="30">
        <f t="shared" si="64"/>
        <v>0</v>
      </c>
      <c r="L361" s="5"/>
      <c r="M361" s="30">
        <f t="shared" si="65"/>
        <v>0</v>
      </c>
      <c r="N361" s="42">
        <f t="shared" si="66"/>
        <v>0</v>
      </c>
      <c r="O361" s="43">
        <f t="shared" si="67"/>
        <v>0</v>
      </c>
      <c r="P361" s="43">
        <f t="shared" si="68"/>
        <v>-0.34013437099999999</v>
      </c>
      <c r="Q361" s="43">
        <f t="shared" si="69"/>
        <v>-0.34013437099999999</v>
      </c>
      <c r="R361" s="43">
        <f t="shared" si="70"/>
        <v>0.11569139033556564</v>
      </c>
    </row>
    <row r="362" spans="1:18" ht="15.75" customHeight="1" x14ac:dyDescent="0.3">
      <c r="A362" s="47">
        <v>38344</v>
      </c>
      <c r="B362" s="48">
        <v>7.6718888282775879</v>
      </c>
      <c r="C362" s="49">
        <v>0</v>
      </c>
      <c r="D362" s="10">
        <f t="shared" si="62"/>
        <v>7.2820810508799472</v>
      </c>
      <c r="E362" s="10">
        <f t="shared" si="63"/>
        <v>-0.42084508196721315</v>
      </c>
      <c r="F362" s="10">
        <f t="shared" si="74"/>
        <v>53.028704431584792</v>
      </c>
      <c r="G362" s="10">
        <f t="shared" si="74"/>
        <v>0.17711058301599036</v>
      </c>
      <c r="H362" s="11">
        <f t="shared" si="71"/>
        <v>-3.064627996749461</v>
      </c>
      <c r="I362" s="12">
        <f t="shared" si="72"/>
        <v>7.6718888282775879</v>
      </c>
      <c r="J362" s="28">
        <f t="shared" si="73"/>
        <v>58.85787819345046</v>
      </c>
      <c r="K362" s="30">
        <f t="shared" si="64"/>
        <v>-7.6718888282775879</v>
      </c>
      <c r="L362" s="5"/>
      <c r="M362" s="30">
        <f t="shared" si="65"/>
        <v>7.6718888282775879</v>
      </c>
      <c r="N362" s="42">
        <f t="shared" si="66"/>
        <v>7.6718888282775879</v>
      </c>
      <c r="O362" s="43">
        <f t="shared" si="67"/>
        <v>58.85787819345046</v>
      </c>
      <c r="P362" s="43">
        <f t="shared" si="68"/>
        <v>7.3317544572775883</v>
      </c>
      <c r="Q362" s="43">
        <f t="shared" si="69"/>
        <v>7.3317544572775883</v>
      </c>
      <c r="R362" s="43">
        <f t="shared" si="70"/>
        <v>53.754623421809782</v>
      </c>
    </row>
    <row r="363" spans="1:18" ht="15.75" customHeight="1" x14ac:dyDescent="0.3">
      <c r="A363" s="47">
        <v>38345</v>
      </c>
      <c r="B363" s="48">
        <v>10.013022422790527</v>
      </c>
      <c r="C363" s="49">
        <v>1.8953</v>
      </c>
      <c r="D363" s="10">
        <f t="shared" si="62"/>
        <v>9.6232146453928866</v>
      </c>
      <c r="E363" s="10">
        <f t="shared" si="63"/>
        <v>1.4744549180327868</v>
      </c>
      <c r="F363" s="10">
        <f t="shared" si="74"/>
        <v>92.606260111304138</v>
      </c>
      <c r="G363" s="10">
        <f t="shared" si="74"/>
        <v>2.1740173053110721</v>
      </c>
      <c r="H363" s="11">
        <f t="shared" si="71"/>
        <v>14.188996161184683</v>
      </c>
      <c r="I363" s="12">
        <f t="shared" si="72"/>
        <v>8.1177224227905267</v>
      </c>
      <c r="J363" s="28">
        <f t="shared" si="73"/>
        <v>65.897417333476099</v>
      </c>
      <c r="K363" s="30">
        <f t="shared" si="64"/>
        <v>-8.1177224227905267</v>
      </c>
      <c r="L363" s="5"/>
      <c r="M363" s="30">
        <f t="shared" si="65"/>
        <v>8.1177224227905267</v>
      </c>
      <c r="N363" s="42">
        <f t="shared" si="66"/>
        <v>8.1177224227905267</v>
      </c>
      <c r="O363" s="43">
        <f t="shared" si="67"/>
        <v>65.897417333476099</v>
      </c>
      <c r="P363" s="43">
        <f t="shared" si="68"/>
        <v>9.6728880517905278</v>
      </c>
      <c r="Q363" s="43">
        <f>B363-0.340134371</f>
        <v>9.6728880517905278</v>
      </c>
      <c r="R363" s="43">
        <f t="shared" si="70"/>
        <v>93.564763262471956</v>
      </c>
    </row>
    <row r="364" spans="1:18" ht="15.75" customHeight="1" x14ac:dyDescent="0.3">
      <c r="A364" s="47">
        <v>38346</v>
      </c>
      <c r="B364" s="48">
        <v>0.660300612449646</v>
      </c>
      <c r="C364" s="49">
        <v>0</v>
      </c>
      <c r="D364" s="10">
        <f t="shared" si="62"/>
        <v>0.27049283505200522</v>
      </c>
      <c r="E364" s="10">
        <f t="shared" si="63"/>
        <v>-0.42084508196721315</v>
      </c>
      <c r="F364" s="10">
        <f t="shared" si="74"/>
        <v>7.3166373814471303E-2</v>
      </c>
      <c r="G364" s="10">
        <f t="shared" si="74"/>
        <v>0.17711058301599036</v>
      </c>
      <c r="H364" s="11">
        <f t="shared" si="71"/>
        <v>-0.11383557933900501</v>
      </c>
      <c r="I364" s="12">
        <f t="shared" si="72"/>
        <v>0.660300612449646</v>
      </c>
      <c r="J364" s="28">
        <f t="shared" si="73"/>
        <v>0.4359968988013776</v>
      </c>
      <c r="K364" s="30">
        <f t="shared" si="64"/>
        <v>-0.660300612449646</v>
      </c>
      <c r="L364" s="5"/>
      <c r="M364" s="30">
        <f t="shared" si="65"/>
        <v>0.660300612449646</v>
      </c>
      <c r="N364" s="42">
        <f t="shared" si="66"/>
        <v>0.660300612449646</v>
      </c>
      <c r="O364" s="43">
        <f t="shared" si="67"/>
        <v>0.4359968988013776</v>
      </c>
      <c r="P364" s="43">
        <f t="shared" si="68"/>
        <v>0.32016624144964601</v>
      </c>
      <c r="Q364" s="43">
        <f t="shared" si="69"/>
        <v>0.32016624144964601</v>
      </c>
      <c r="R364" s="43">
        <f t="shared" si="70"/>
        <v>0.10250642216399303</v>
      </c>
    </row>
    <row r="365" spans="1:18" ht="15.75" customHeight="1" x14ac:dyDescent="0.3">
      <c r="A365" s="47">
        <v>38347</v>
      </c>
      <c r="B365" s="48">
        <v>0</v>
      </c>
      <c r="C365" s="49">
        <v>0</v>
      </c>
      <c r="D365" s="10">
        <f t="shared" si="62"/>
        <v>-0.38980777739764078</v>
      </c>
      <c r="E365" s="10">
        <f t="shared" si="63"/>
        <v>-0.42084508196721315</v>
      </c>
      <c r="F365" s="10">
        <f t="shared" si="74"/>
        <v>0.15195010331968867</v>
      </c>
      <c r="G365" s="10">
        <f t="shared" si="74"/>
        <v>0.17711058301599036</v>
      </c>
      <c r="H365" s="11">
        <f t="shared" si="71"/>
        <v>0.16404868603036732</v>
      </c>
      <c r="I365" s="12">
        <f t="shared" si="72"/>
        <v>0</v>
      </c>
      <c r="J365" s="28">
        <f t="shared" si="73"/>
        <v>0</v>
      </c>
      <c r="K365" s="30">
        <f t="shared" si="64"/>
        <v>0</v>
      </c>
      <c r="L365" s="5"/>
      <c r="M365" s="30">
        <f t="shared" si="65"/>
        <v>0</v>
      </c>
      <c r="N365" s="42">
        <f t="shared" si="66"/>
        <v>0</v>
      </c>
      <c r="O365" s="43">
        <f t="shared" si="67"/>
        <v>0</v>
      </c>
      <c r="P365" s="43">
        <f t="shared" si="68"/>
        <v>-0.34013437099999999</v>
      </c>
      <c r="Q365" s="43">
        <f t="shared" si="69"/>
        <v>-0.34013437099999999</v>
      </c>
      <c r="R365" s="43">
        <f t="shared" si="70"/>
        <v>0.11569139033556564</v>
      </c>
    </row>
    <row r="366" spans="1:18" ht="15.75" customHeight="1" x14ac:dyDescent="0.3">
      <c r="A366" s="47">
        <v>38348</v>
      </c>
      <c r="B366" s="48">
        <v>0</v>
      </c>
      <c r="C366" s="49">
        <v>0</v>
      </c>
      <c r="D366" s="10">
        <f t="shared" si="62"/>
        <v>-0.38980777739764078</v>
      </c>
      <c r="E366" s="10">
        <f t="shared" si="63"/>
        <v>-0.42084508196721315</v>
      </c>
      <c r="F366" s="10">
        <f t="shared" si="74"/>
        <v>0.15195010331968867</v>
      </c>
      <c r="G366" s="10">
        <f t="shared" si="74"/>
        <v>0.17711058301599036</v>
      </c>
      <c r="H366" s="11">
        <f t="shared" si="71"/>
        <v>0.16404868603036732</v>
      </c>
      <c r="I366" s="12">
        <f t="shared" si="72"/>
        <v>0</v>
      </c>
      <c r="J366" s="28">
        <f t="shared" si="73"/>
        <v>0</v>
      </c>
      <c r="K366" s="30">
        <f t="shared" si="64"/>
        <v>0</v>
      </c>
      <c r="L366" s="5"/>
      <c r="M366" s="30">
        <f t="shared" si="65"/>
        <v>0</v>
      </c>
      <c r="N366" s="42">
        <f t="shared" si="66"/>
        <v>0</v>
      </c>
      <c r="O366" s="43">
        <f t="shared" si="67"/>
        <v>0</v>
      </c>
      <c r="P366" s="43">
        <f t="shared" si="68"/>
        <v>-0.34013437099999999</v>
      </c>
      <c r="Q366" s="43">
        <f t="shared" si="69"/>
        <v>-0.34013437099999999</v>
      </c>
      <c r="R366" s="43">
        <f t="shared" si="70"/>
        <v>0.11569139033556564</v>
      </c>
    </row>
    <row r="367" spans="1:18" ht="15.75" customHeight="1" x14ac:dyDescent="0.3">
      <c r="A367" s="47">
        <v>38349</v>
      </c>
      <c r="B367" s="48">
        <v>0</v>
      </c>
      <c r="C367" s="49">
        <v>0</v>
      </c>
      <c r="D367" s="10">
        <f t="shared" si="62"/>
        <v>-0.38980777739764078</v>
      </c>
      <c r="E367" s="10">
        <f t="shared" si="63"/>
        <v>-0.42084508196721315</v>
      </c>
      <c r="F367" s="10">
        <f t="shared" si="74"/>
        <v>0.15195010331968867</v>
      </c>
      <c r="G367" s="10">
        <f t="shared" si="74"/>
        <v>0.17711058301599036</v>
      </c>
      <c r="H367" s="11">
        <f t="shared" si="71"/>
        <v>0.16404868603036732</v>
      </c>
      <c r="I367" s="12">
        <f t="shared" si="72"/>
        <v>0</v>
      </c>
      <c r="J367" s="28">
        <f t="shared" si="73"/>
        <v>0</v>
      </c>
      <c r="K367" s="30">
        <f t="shared" si="64"/>
        <v>0</v>
      </c>
      <c r="L367" s="5"/>
      <c r="M367" s="30">
        <f t="shared" si="65"/>
        <v>0</v>
      </c>
      <c r="N367" s="42">
        <f t="shared" si="66"/>
        <v>0</v>
      </c>
      <c r="O367" s="43">
        <f t="shared" si="67"/>
        <v>0</v>
      </c>
      <c r="P367" s="43">
        <f t="shared" si="68"/>
        <v>-0.34013437099999999</v>
      </c>
      <c r="Q367" s="43">
        <f t="shared" si="69"/>
        <v>-0.34013437099999999</v>
      </c>
      <c r="R367" s="43">
        <f t="shared" si="70"/>
        <v>0.11569139033556564</v>
      </c>
    </row>
    <row r="368" spans="1:18" ht="15.75" customHeight="1" x14ac:dyDescent="0.3">
      <c r="A368" s="47">
        <v>38350</v>
      </c>
      <c r="B368" s="48">
        <v>0</v>
      </c>
      <c r="C368" s="49">
        <v>2.0735999999999999</v>
      </c>
      <c r="D368" s="10">
        <f t="shared" si="62"/>
        <v>-0.38980777739764078</v>
      </c>
      <c r="E368" s="10">
        <f t="shared" si="63"/>
        <v>1.6527549180327867</v>
      </c>
      <c r="F368" s="10">
        <f t="shared" si="74"/>
        <v>0.15195010331968867</v>
      </c>
      <c r="G368" s="10">
        <f t="shared" si="74"/>
        <v>2.7315988190815634</v>
      </c>
      <c r="H368" s="11">
        <f t="shared" si="71"/>
        <v>-0.64425672118138055</v>
      </c>
      <c r="I368" s="12">
        <f t="shared" si="72"/>
        <v>2.0735999999999999</v>
      </c>
      <c r="J368" s="28">
        <f t="shared" si="73"/>
        <v>4.2998169599999994</v>
      </c>
      <c r="K368" s="30">
        <f t="shared" si="64"/>
        <v>2.0735999999999999</v>
      </c>
      <c r="L368" s="5"/>
      <c r="M368" s="30">
        <f t="shared" si="65"/>
        <v>-2.0735999999999999</v>
      </c>
      <c r="N368" s="42">
        <f t="shared" si="66"/>
        <v>-2.0735999999999999</v>
      </c>
      <c r="O368" s="43">
        <f t="shared" si="67"/>
        <v>4.2998169599999994</v>
      </c>
      <c r="P368" s="43">
        <f t="shared" si="68"/>
        <v>-0.34013437099999999</v>
      </c>
      <c r="Q368" s="43">
        <f t="shared" si="69"/>
        <v>-0.34013437099999999</v>
      </c>
      <c r="R368" s="43">
        <f t="shared" si="70"/>
        <v>0.11569139033556564</v>
      </c>
    </row>
    <row r="369" spans="1:18" ht="15.75" customHeight="1" x14ac:dyDescent="0.3">
      <c r="A369" s="47">
        <v>38351</v>
      </c>
      <c r="B369" s="48">
        <v>0</v>
      </c>
      <c r="C369" s="49">
        <v>1.502</v>
      </c>
      <c r="D369" s="10">
        <f t="shared" si="62"/>
        <v>-0.38980777739764078</v>
      </c>
      <c r="E369" s="10">
        <f t="shared" si="63"/>
        <v>1.0811549180327868</v>
      </c>
      <c r="F369" s="10">
        <f t="shared" si="74"/>
        <v>0.15195010331968867</v>
      </c>
      <c r="G369" s="10">
        <f t="shared" si="74"/>
        <v>1.1688959567864821</v>
      </c>
      <c r="H369" s="11">
        <f t="shared" si="71"/>
        <v>-0.42144259562088915</v>
      </c>
      <c r="I369" s="12">
        <f t="shared" si="72"/>
        <v>1.502</v>
      </c>
      <c r="J369" s="28">
        <f t="shared" si="73"/>
        <v>2.2560039999999999</v>
      </c>
      <c r="K369" s="30">
        <f t="shared" si="64"/>
        <v>1.502</v>
      </c>
      <c r="L369" s="5"/>
      <c r="M369" s="30">
        <f t="shared" si="65"/>
        <v>-1.502</v>
      </c>
      <c r="N369" s="42">
        <f t="shared" si="66"/>
        <v>-1.502</v>
      </c>
      <c r="O369" s="43">
        <f t="shared" si="67"/>
        <v>2.2560039999999999</v>
      </c>
      <c r="P369" s="43">
        <f t="shared" si="68"/>
        <v>-0.34013437099999999</v>
      </c>
      <c r="Q369" s="43">
        <f t="shared" si="69"/>
        <v>-0.34013437099999999</v>
      </c>
      <c r="R369" s="43">
        <f t="shared" si="70"/>
        <v>0.11569139033556564</v>
      </c>
    </row>
    <row r="370" spans="1:18" ht="15.75" customHeight="1" x14ac:dyDescent="0.3">
      <c r="A370" s="47">
        <v>38352</v>
      </c>
      <c r="B370" s="48">
        <v>0</v>
      </c>
      <c r="C370" s="49">
        <v>0.88270000000000004</v>
      </c>
      <c r="D370" s="10">
        <f t="shared" si="62"/>
        <v>-0.38980777739764078</v>
      </c>
      <c r="E370" s="35">
        <f t="shared" si="63"/>
        <v>0.46185491803278689</v>
      </c>
      <c r="F370" s="10">
        <f t="shared" si="74"/>
        <v>0.15195010331968867</v>
      </c>
      <c r="G370" s="10">
        <f t="shared" si="74"/>
        <v>0.2133099653110723</v>
      </c>
      <c r="H370" s="11">
        <f t="shared" si="71"/>
        <v>-0.18003463907853021</v>
      </c>
      <c r="I370" s="12">
        <f t="shared" si="72"/>
        <v>0.88270000000000004</v>
      </c>
      <c r="J370" s="28">
        <f t="shared" si="73"/>
        <v>0.77915929000000006</v>
      </c>
      <c r="K370" s="30">
        <f t="shared" si="64"/>
        <v>0.88270000000000004</v>
      </c>
      <c r="L370" s="41" t="s">
        <v>28</v>
      </c>
      <c r="M370" s="30">
        <f t="shared" si="65"/>
        <v>-0.88270000000000004</v>
      </c>
      <c r="N370" s="42">
        <f t="shared" si="66"/>
        <v>-0.88270000000000004</v>
      </c>
      <c r="O370" s="43">
        <f t="shared" si="67"/>
        <v>0.77915929000000006</v>
      </c>
      <c r="P370" s="43">
        <f t="shared" si="68"/>
        <v>-0.34013437099999999</v>
      </c>
      <c r="Q370" s="43">
        <f>B370-0.340134371</f>
        <v>-0.34013437099999999</v>
      </c>
      <c r="R370" s="43">
        <f t="shared" si="70"/>
        <v>0.11569139033556564</v>
      </c>
    </row>
    <row r="371" spans="1:18" ht="15.75" customHeight="1" x14ac:dyDescent="0.3">
      <c r="A371" s="4"/>
      <c r="B371" s="5"/>
      <c r="D371" s="13"/>
      <c r="E371" s="36" t="s">
        <v>7</v>
      </c>
      <c r="F371" s="34">
        <f>SUM(F5:F370)</f>
        <v>967.56014811576813</v>
      </c>
      <c r="G371" s="23">
        <f>SUM(G5:G370)</f>
        <v>966.2224757861427</v>
      </c>
      <c r="H371" s="23">
        <f>SUM(H5:H370)</f>
        <v>138.09410418998974</v>
      </c>
      <c r="I371" s="14" t="s">
        <v>7</v>
      </c>
      <c r="J371" s="29">
        <f>SUM(J5:J370)</f>
        <v>1657.9711857119919</v>
      </c>
      <c r="K371" s="30">
        <f>SUM(K5:K370)</f>
        <v>11.749461249861129</v>
      </c>
      <c r="L371" s="26">
        <f>SUM(B5:B370)</f>
        <v>142.27983875013888</v>
      </c>
      <c r="M371" s="24"/>
      <c r="N371" s="44" t="s">
        <v>31</v>
      </c>
      <c r="O371" s="43">
        <f>SUM(O5:O370)</f>
        <v>1657.9711857119919</v>
      </c>
      <c r="P371" s="38"/>
      <c r="Q371" s="45" t="s">
        <v>34</v>
      </c>
      <c r="R371" s="43">
        <f>SUM(R5:R370)</f>
        <v>968.4245076684283</v>
      </c>
    </row>
    <row r="372" spans="1:18" ht="15.75" customHeight="1" x14ac:dyDescent="0.3">
      <c r="A372" s="4"/>
      <c r="B372" s="24" t="s">
        <v>8</v>
      </c>
      <c r="C372" s="5"/>
      <c r="D372" s="5"/>
      <c r="E372" s="5"/>
      <c r="F372" s="5"/>
      <c r="G372" s="5"/>
      <c r="H372" s="5"/>
      <c r="I372" s="33" t="s">
        <v>9</v>
      </c>
      <c r="J372" s="33">
        <v>366</v>
      </c>
      <c r="K372" s="13"/>
      <c r="L372" s="5"/>
      <c r="M372" s="24"/>
      <c r="N372" s="44" t="s">
        <v>32</v>
      </c>
      <c r="O372" s="43">
        <f>AVERAGE(B5:B370)</f>
        <v>0.38980777739764078</v>
      </c>
      <c r="P372" s="39"/>
      <c r="Q372" s="39"/>
      <c r="R372" s="39"/>
    </row>
    <row r="373" spans="1:18" ht="15.75" customHeight="1" x14ac:dyDescent="0.3">
      <c r="A373" s="4"/>
      <c r="B373" s="5"/>
      <c r="C373" s="5"/>
      <c r="D373" s="5"/>
      <c r="E373" s="5"/>
      <c r="F373" s="5"/>
      <c r="G373" s="5"/>
      <c r="H373" s="5"/>
      <c r="I373" s="15" t="s">
        <v>10</v>
      </c>
      <c r="J373" s="16">
        <f>SQRT(J371/J372)</f>
        <v>2.1283740078392892</v>
      </c>
      <c r="K373" s="5"/>
      <c r="L373" s="5"/>
      <c r="M373" s="40"/>
      <c r="N373" s="38"/>
      <c r="O373" s="39"/>
      <c r="P373" s="39"/>
      <c r="Q373" s="39"/>
      <c r="R373" s="39"/>
    </row>
    <row r="374" spans="1:18" ht="15.75" customHeight="1" x14ac:dyDescent="0.35">
      <c r="A374" s="4"/>
      <c r="B374" s="5"/>
      <c r="C374" s="8" t="s">
        <v>11</v>
      </c>
      <c r="D374" s="8" t="s">
        <v>12</v>
      </c>
      <c r="E374" s="5"/>
      <c r="F374" s="5"/>
      <c r="G374" s="5"/>
      <c r="H374" s="5"/>
      <c r="I374" s="15" t="s">
        <v>13</v>
      </c>
      <c r="J374" s="22">
        <f>SUM(I5:I370)/J372</f>
        <v>0.67180392080906137</v>
      </c>
      <c r="K374" s="5"/>
      <c r="L374" s="5"/>
      <c r="M374" s="40"/>
      <c r="N374" s="39"/>
      <c r="O374" s="44" t="s">
        <v>35</v>
      </c>
      <c r="P374" s="43">
        <f>O371/R371</f>
        <v>1.7120293554979429</v>
      </c>
      <c r="Q374" s="39"/>
      <c r="R374" s="39"/>
    </row>
    <row r="375" spans="1:18" ht="15.75" customHeight="1" x14ac:dyDescent="0.3">
      <c r="A375" s="4"/>
      <c r="B375" s="32" t="s">
        <v>14</v>
      </c>
      <c r="C375" s="17">
        <f>AVERAGE(B5:B370)</f>
        <v>0.38980777739764078</v>
      </c>
      <c r="D375" s="17">
        <f>AVERAGE(C5:C370)</f>
        <v>0.42084508196721315</v>
      </c>
      <c r="E375" s="5"/>
      <c r="F375" s="5"/>
      <c r="G375" s="5"/>
      <c r="H375" s="5"/>
      <c r="I375" s="25" t="s">
        <v>15</v>
      </c>
      <c r="J375" s="25">
        <f>1/J372*J371</f>
        <v>4.5299759172458796</v>
      </c>
      <c r="K375" s="5"/>
      <c r="L375" s="5"/>
      <c r="M375" s="6"/>
    </row>
    <row r="376" spans="1:18" ht="15.75" customHeight="1" x14ac:dyDescent="0.3">
      <c r="A376" s="4"/>
      <c r="B376" s="5"/>
      <c r="C376" s="5"/>
      <c r="D376" s="5"/>
      <c r="E376" s="5"/>
      <c r="F376" s="5"/>
      <c r="G376" s="5"/>
      <c r="H376" s="5"/>
      <c r="I376" s="26" t="s">
        <v>27</v>
      </c>
      <c r="J376" s="26">
        <f>K371/L371</f>
        <v>8.2579944938612468E-2</v>
      </c>
      <c r="K376" s="5"/>
      <c r="L376" s="5"/>
      <c r="M376" s="6"/>
    </row>
    <row r="377" spans="1:18" ht="15.75" customHeight="1" x14ac:dyDescent="0.3">
      <c r="A377" s="4"/>
      <c r="B377" s="5" t="s">
        <v>16</v>
      </c>
      <c r="C377" s="5"/>
      <c r="D377" s="5"/>
      <c r="E377" s="5"/>
      <c r="F377" s="5"/>
      <c r="G377" s="5"/>
      <c r="H377" s="5"/>
      <c r="I377" s="37" t="s">
        <v>36</v>
      </c>
      <c r="J377" s="26">
        <f>1-P374</f>
        <v>-0.71202935549794288</v>
      </c>
      <c r="K377" s="5"/>
      <c r="L377" s="5"/>
      <c r="M377" s="6"/>
    </row>
    <row r="378" spans="1:18" ht="15.75" customHeight="1" x14ac:dyDescent="0.35">
      <c r="A378" s="4"/>
      <c r="B378" s="5" t="s">
        <v>17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"/>
    </row>
    <row r="379" spans="1:18" ht="15.75" customHeight="1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</row>
    <row r="380" spans="1:18" ht="15.75" customHeight="1" x14ac:dyDescent="0.3">
      <c r="A380" s="4"/>
      <c r="B380" s="57" t="s">
        <v>18</v>
      </c>
      <c r="C380" s="58"/>
      <c r="D380" s="59">
        <f>H371/SQRT((G371*F371))</f>
        <v>0.14282281319763368</v>
      </c>
      <c r="E380" s="60"/>
      <c r="F380" s="60"/>
      <c r="G380" s="60"/>
      <c r="H380" s="61"/>
      <c r="I380" s="5"/>
      <c r="J380" s="5"/>
      <c r="K380" s="5"/>
      <c r="L380" s="5"/>
      <c r="M380" s="6"/>
    </row>
    <row r="381" spans="1:18" ht="15.75" customHeight="1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</row>
    <row r="382" spans="1:18" ht="15.75" customHeight="1" x14ac:dyDescent="0.3">
      <c r="A382" s="4"/>
      <c r="B382" s="5" t="s">
        <v>19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"/>
    </row>
    <row r="383" spans="1:18" ht="15.75" customHeight="1" x14ac:dyDescent="0.3">
      <c r="A383" s="4"/>
      <c r="B383" s="5" t="s">
        <v>20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</row>
    <row r="384" spans="1:18" ht="15.75" customHeight="1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"/>
    </row>
    <row r="385" spans="1:13" ht="15.75" customHeight="1" x14ac:dyDescent="0.3">
      <c r="A385" s="4"/>
      <c r="B385" s="57" t="s">
        <v>21</v>
      </c>
      <c r="C385" s="58"/>
      <c r="D385" s="18">
        <f>D380^2</f>
        <v>2.0398355969686165E-2</v>
      </c>
      <c r="E385" s="5"/>
      <c r="F385" s="5"/>
      <c r="G385" s="5"/>
      <c r="H385" s="5"/>
      <c r="I385" s="5"/>
      <c r="J385" s="5"/>
      <c r="K385" s="5"/>
      <c r="L385" s="5"/>
      <c r="M385" s="6"/>
    </row>
    <row r="386" spans="1:13" ht="15.75" customHeight="1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"/>
    </row>
    <row r="387" spans="1:13" ht="15.75" customHeight="1" x14ac:dyDescent="0.3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</row>
    <row r="388" spans="1:13" ht="15.75" customHeight="1" x14ac:dyDescent="0.3"/>
    <row r="389" spans="1:13" ht="15.75" customHeight="1" x14ac:dyDescent="0.3"/>
    <row r="390" spans="1:13" ht="15.75" customHeight="1" x14ac:dyDescent="0.3"/>
    <row r="391" spans="1:13" ht="15.75" customHeight="1" x14ac:dyDescent="0.3"/>
    <row r="392" spans="1:13" ht="15.75" customHeight="1" x14ac:dyDescent="0.3"/>
    <row r="393" spans="1:13" ht="15.75" customHeight="1" x14ac:dyDescent="0.3"/>
    <row r="394" spans="1:13" ht="15.75" customHeight="1" x14ac:dyDescent="0.3"/>
    <row r="395" spans="1:13" ht="15.75" customHeight="1" x14ac:dyDescent="0.3"/>
    <row r="396" spans="1:13" ht="15.75" customHeight="1" x14ac:dyDescent="0.3"/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</sheetData>
  <mergeCells count="4">
    <mergeCell ref="D1:I2"/>
    <mergeCell ref="B380:C380"/>
    <mergeCell ref="D380:H380"/>
    <mergeCell ref="B385:C38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8"/>
  <sheetViews>
    <sheetView rightToLeft="1" zoomScale="87" zoomScaleNormal="87" workbookViewId="0">
      <selection activeCell="C5" sqref="C5:C370"/>
    </sheetView>
  </sheetViews>
  <sheetFormatPr defaultColWidth="14.33203125" defaultRowHeight="14.4" x14ac:dyDescent="0.3"/>
  <cols>
    <col min="1" max="1" width="15" customWidth="1"/>
    <col min="2" max="2" width="15.6640625" customWidth="1"/>
    <col min="3" max="3" width="19.109375" customWidth="1"/>
    <col min="4" max="4" width="14" customWidth="1"/>
    <col min="5" max="5" width="18.21875" customWidth="1"/>
    <col min="6" max="6" width="18" customWidth="1"/>
    <col min="7" max="7" width="15.33203125" customWidth="1"/>
    <col min="8" max="8" width="14.77734375" customWidth="1"/>
    <col min="9" max="9" width="17.6640625" customWidth="1"/>
    <col min="10" max="10" width="23.33203125" customWidth="1"/>
    <col min="11" max="11" width="14.77734375" customWidth="1"/>
    <col min="12" max="12" width="14.109375" customWidth="1"/>
    <col min="13" max="13" width="18.21875" customWidth="1"/>
  </cols>
  <sheetData>
    <row r="1" spans="1:18" x14ac:dyDescent="0.3">
      <c r="A1" s="1"/>
      <c r="B1" s="2"/>
      <c r="C1" s="2"/>
      <c r="D1" s="51" t="s">
        <v>39</v>
      </c>
      <c r="E1" s="52"/>
      <c r="F1" s="52"/>
      <c r="G1" s="52"/>
      <c r="H1" s="52"/>
      <c r="I1" s="53"/>
      <c r="J1" s="2"/>
      <c r="K1" s="2"/>
      <c r="L1" s="2"/>
      <c r="M1" s="3"/>
    </row>
    <row r="2" spans="1:18" ht="15" thickBot="1" x14ac:dyDescent="0.35">
      <c r="A2" s="4"/>
      <c r="B2" s="5"/>
      <c r="C2" s="5"/>
      <c r="D2" s="54"/>
      <c r="E2" s="55"/>
      <c r="F2" s="55"/>
      <c r="G2" s="55"/>
      <c r="H2" s="55"/>
      <c r="I2" s="56"/>
      <c r="J2" s="5"/>
      <c r="K2" s="5"/>
      <c r="L2" s="5"/>
      <c r="M2" s="6"/>
    </row>
    <row r="3" spans="1:18" x14ac:dyDescent="0.3">
      <c r="A3" s="4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8" ht="16.8" x14ac:dyDescent="0.35">
      <c r="A4" s="7" t="s">
        <v>22</v>
      </c>
      <c r="B4" s="8" t="s">
        <v>23</v>
      </c>
      <c r="C4" s="8" t="s">
        <v>38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9" t="s">
        <v>5</v>
      </c>
      <c r="J4" s="27" t="s">
        <v>6</v>
      </c>
      <c r="K4" s="31" t="s">
        <v>26</v>
      </c>
      <c r="L4" s="5"/>
      <c r="M4" s="46" t="s">
        <v>29</v>
      </c>
      <c r="N4" s="46" t="s">
        <v>29</v>
      </c>
      <c r="O4" s="46" t="s">
        <v>30</v>
      </c>
      <c r="P4" s="46" t="s">
        <v>37</v>
      </c>
      <c r="Q4" s="46" t="s">
        <v>37</v>
      </c>
      <c r="R4" s="46" t="s">
        <v>33</v>
      </c>
    </row>
    <row r="5" spans="1:18" x14ac:dyDescent="0.3">
      <c r="A5" s="47">
        <v>37987</v>
      </c>
      <c r="B5" s="48">
        <v>0</v>
      </c>
      <c r="C5" s="49">
        <v>0</v>
      </c>
      <c r="D5" s="10">
        <f t="shared" ref="D5:D68" si="0">B5-$C$375</f>
        <v>-0.38980777739764078</v>
      </c>
      <c r="E5" s="10">
        <f t="shared" ref="E5:E68" si="1">C5-$D$375</f>
        <v>-0.52735136612021827</v>
      </c>
      <c r="F5" s="10">
        <f t="shared" ref="F5:G20" si="2">D5^2</f>
        <v>0.15195010331968867</v>
      </c>
      <c r="G5" s="10">
        <f t="shared" si="2"/>
        <v>0.27809946334886049</v>
      </c>
      <c r="H5" s="11">
        <f t="shared" ref="H5:H202" si="3">D5*E5</f>
        <v>0.20556566393493181</v>
      </c>
      <c r="I5" s="12">
        <f t="shared" ref="I5:I202" si="4">ABS(C5-B5)</f>
        <v>0</v>
      </c>
      <c r="J5" s="28">
        <f t="shared" ref="J5:J202" si="5">I5^2</f>
        <v>0</v>
      </c>
      <c r="K5" s="30">
        <f>C5-B5</f>
        <v>0</v>
      </c>
      <c r="L5" s="5"/>
      <c r="M5" s="30">
        <f>B5-C5</f>
        <v>0</v>
      </c>
      <c r="N5" s="42">
        <f>B5-C5</f>
        <v>0</v>
      </c>
      <c r="O5" s="43">
        <f>M5*N5</f>
        <v>0</v>
      </c>
      <c r="P5" s="43">
        <f>B5-0.340134371</f>
        <v>-0.34013437099999999</v>
      </c>
      <c r="Q5" s="43">
        <f>B5-0.340134371</f>
        <v>-0.34013437099999999</v>
      </c>
      <c r="R5" s="43">
        <f>P5*Q5</f>
        <v>0.11569139033556564</v>
      </c>
    </row>
    <row r="6" spans="1:18" x14ac:dyDescent="0.3">
      <c r="A6" s="47">
        <v>37988</v>
      </c>
      <c r="B6" s="48">
        <v>0</v>
      </c>
      <c r="C6" s="49">
        <v>0</v>
      </c>
      <c r="D6" s="10">
        <f t="shared" si="0"/>
        <v>-0.38980777739764078</v>
      </c>
      <c r="E6" s="10">
        <f t="shared" si="1"/>
        <v>-0.52735136612021827</v>
      </c>
      <c r="F6" s="10">
        <f t="shared" si="2"/>
        <v>0.15195010331968867</v>
      </c>
      <c r="G6" s="10">
        <f t="shared" si="2"/>
        <v>0.27809946334886049</v>
      </c>
      <c r="H6" s="11">
        <f t="shared" si="3"/>
        <v>0.20556566393493181</v>
      </c>
      <c r="I6" s="12">
        <f t="shared" si="4"/>
        <v>0</v>
      </c>
      <c r="J6" s="28">
        <f t="shared" si="5"/>
        <v>0</v>
      </c>
      <c r="K6" s="30">
        <f t="shared" ref="K6:K69" si="6">C6-B6</f>
        <v>0</v>
      </c>
      <c r="L6" s="5"/>
      <c r="M6" s="30">
        <f t="shared" ref="M6:M69" si="7">B6-C6</f>
        <v>0</v>
      </c>
      <c r="N6" s="42">
        <f t="shared" ref="N6:N69" si="8">B6-C6</f>
        <v>0</v>
      </c>
      <c r="O6" s="43">
        <f t="shared" ref="O6:O69" si="9">M6*N6</f>
        <v>0</v>
      </c>
      <c r="P6" s="43">
        <f t="shared" ref="P6:P69" si="10">B6-0.340134371</f>
        <v>-0.34013437099999999</v>
      </c>
      <c r="Q6" s="43">
        <f t="shared" ref="Q6:Q69" si="11">B6-0.340134371</f>
        <v>-0.34013437099999999</v>
      </c>
      <c r="R6" s="43">
        <f t="shared" ref="R6:R69" si="12">P6*Q6</f>
        <v>0.11569139033556564</v>
      </c>
    </row>
    <row r="7" spans="1:18" x14ac:dyDescent="0.3">
      <c r="A7" s="47">
        <v>37989</v>
      </c>
      <c r="B7" s="48">
        <v>0</v>
      </c>
      <c r="C7" s="49">
        <v>0</v>
      </c>
      <c r="D7" s="10">
        <f t="shared" si="0"/>
        <v>-0.38980777739764078</v>
      </c>
      <c r="E7" s="10">
        <f t="shared" si="1"/>
        <v>-0.52735136612021827</v>
      </c>
      <c r="F7" s="10">
        <f t="shared" si="2"/>
        <v>0.15195010331968867</v>
      </c>
      <c r="G7" s="10">
        <f t="shared" si="2"/>
        <v>0.27809946334886049</v>
      </c>
      <c r="H7" s="11">
        <f t="shared" si="3"/>
        <v>0.20556566393493181</v>
      </c>
      <c r="I7" s="12">
        <f t="shared" si="4"/>
        <v>0</v>
      </c>
      <c r="J7" s="28">
        <f t="shared" si="5"/>
        <v>0</v>
      </c>
      <c r="K7" s="30">
        <f t="shared" si="6"/>
        <v>0</v>
      </c>
      <c r="L7" s="5"/>
      <c r="M7" s="30">
        <f t="shared" si="7"/>
        <v>0</v>
      </c>
      <c r="N7" s="42">
        <f t="shared" si="8"/>
        <v>0</v>
      </c>
      <c r="O7" s="43">
        <f t="shared" si="9"/>
        <v>0</v>
      </c>
      <c r="P7" s="43">
        <f t="shared" si="10"/>
        <v>-0.34013437099999999</v>
      </c>
      <c r="Q7" s="43">
        <f t="shared" si="11"/>
        <v>-0.34013437099999999</v>
      </c>
      <c r="R7" s="43">
        <f t="shared" si="12"/>
        <v>0.11569139033556564</v>
      </c>
    </row>
    <row r="8" spans="1:18" x14ac:dyDescent="0.3">
      <c r="A8" s="47">
        <v>37990</v>
      </c>
      <c r="B8" s="48">
        <v>0</v>
      </c>
      <c r="C8" s="49">
        <v>0</v>
      </c>
      <c r="D8" s="10">
        <f t="shared" si="0"/>
        <v>-0.38980777739764078</v>
      </c>
      <c r="E8" s="10">
        <f t="shared" si="1"/>
        <v>-0.52735136612021827</v>
      </c>
      <c r="F8" s="10">
        <f t="shared" si="2"/>
        <v>0.15195010331968867</v>
      </c>
      <c r="G8" s="10">
        <f t="shared" si="2"/>
        <v>0.27809946334886049</v>
      </c>
      <c r="H8" s="11">
        <f t="shared" si="3"/>
        <v>0.20556566393493181</v>
      </c>
      <c r="I8" s="12">
        <f t="shared" si="4"/>
        <v>0</v>
      </c>
      <c r="J8" s="28">
        <f t="shared" si="5"/>
        <v>0</v>
      </c>
      <c r="K8" s="30">
        <f t="shared" si="6"/>
        <v>0</v>
      </c>
      <c r="L8" s="5"/>
      <c r="M8" s="30">
        <f t="shared" si="7"/>
        <v>0</v>
      </c>
      <c r="N8" s="42">
        <f t="shared" si="8"/>
        <v>0</v>
      </c>
      <c r="O8" s="43">
        <f t="shared" si="9"/>
        <v>0</v>
      </c>
      <c r="P8" s="43">
        <f t="shared" si="10"/>
        <v>-0.34013437099999999</v>
      </c>
      <c r="Q8" s="43">
        <f t="shared" si="11"/>
        <v>-0.34013437099999999</v>
      </c>
      <c r="R8" s="43">
        <f t="shared" si="12"/>
        <v>0.11569139033556564</v>
      </c>
    </row>
    <row r="9" spans="1:18" x14ac:dyDescent="0.3">
      <c r="A9" s="47">
        <v>37991</v>
      </c>
      <c r="B9" s="48">
        <v>0.37375363707542419</v>
      </c>
      <c r="C9" s="49">
        <v>0.56820000000000004</v>
      </c>
      <c r="D9" s="10">
        <f t="shared" si="0"/>
        <v>-1.6054140322216581E-2</v>
      </c>
      <c r="E9" s="10">
        <f t="shared" si="1"/>
        <v>4.0848633879781771E-2</v>
      </c>
      <c r="F9" s="10">
        <f t="shared" si="2"/>
        <v>2.5773542148542033E-4</v>
      </c>
      <c r="G9" s="10">
        <f t="shared" si="2"/>
        <v>1.6686108898444551E-3</v>
      </c>
      <c r="H9" s="11">
        <f t="shared" si="3"/>
        <v>-6.5578970027686692E-4</v>
      </c>
      <c r="I9" s="12">
        <f t="shared" si="4"/>
        <v>0.19444636292457584</v>
      </c>
      <c r="J9" s="28">
        <f t="shared" si="5"/>
        <v>3.7809388054595862E-2</v>
      </c>
      <c r="K9" s="30">
        <f t="shared" si="6"/>
        <v>0.19444636292457584</v>
      </c>
      <c r="L9" s="5"/>
      <c r="M9" s="30">
        <f t="shared" si="7"/>
        <v>-0.19444636292457584</v>
      </c>
      <c r="N9" s="42">
        <f t="shared" si="8"/>
        <v>-0.19444636292457584</v>
      </c>
      <c r="O9" s="43">
        <f t="shared" si="9"/>
        <v>3.7809388054595862E-2</v>
      </c>
      <c r="P9" s="43">
        <f t="shared" si="10"/>
        <v>3.3619266075424203E-2</v>
      </c>
      <c r="Q9" s="43">
        <f t="shared" si="11"/>
        <v>3.3619266075424203E-2</v>
      </c>
      <c r="R9" s="43">
        <f t="shared" si="12"/>
        <v>1.1302550514501687E-3</v>
      </c>
    </row>
    <row r="10" spans="1:18" x14ac:dyDescent="0.3">
      <c r="A10" s="47">
        <v>37992</v>
      </c>
      <c r="B10" s="48">
        <v>2.794851541519165</v>
      </c>
      <c r="C10" s="49">
        <v>3.6863000000000001</v>
      </c>
      <c r="D10" s="10">
        <f>B10-$C$375</f>
        <v>2.4050437641215243</v>
      </c>
      <c r="E10" s="10">
        <f t="shared" si="1"/>
        <v>3.1589486338797821</v>
      </c>
      <c r="F10" s="10">
        <f t="shared" si="2"/>
        <v>5.7842355073398304</v>
      </c>
      <c r="G10" s="10">
        <f t="shared" si="2"/>
        <v>9.9789564714909407</v>
      </c>
      <c r="H10" s="11">
        <f t="shared" si="3"/>
        <v>7.5974097130927785</v>
      </c>
      <c r="I10" s="12">
        <f t="shared" si="4"/>
        <v>0.89144845848083509</v>
      </c>
      <c r="J10" s="28">
        <f t="shared" si="5"/>
        <v>0.7946803541278572</v>
      </c>
      <c r="K10" s="30">
        <f t="shared" si="6"/>
        <v>0.89144845848083509</v>
      </c>
      <c r="L10" s="5"/>
      <c r="M10" s="30">
        <f t="shared" si="7"/>
        <v>-0.89144845848083509</v>
      </c>
      <c r="N10" s="42">
        <f t="shared" si="8"/>
        <v>-0.89144845848083509</v>
      </c>
      <c r="O10" s="43">
        <f t="shared" si="9"/>
        <v>0.7946803541278572</v>
      </c>
      <c r="P10" s="43">
        <f t="shared" si="10"/>
        <v>2.454717170519165</v>
      </c>
      <c r="Q10" s="43">
        <f t="shared" si="11"/>
        <v>2.454717170519165</v>
      </c>
      <c r="R10" s="43">
        <f t="shared" si="12"/>
        <v>6.0256363872416152</v>
      </c>
    </row>
    <row r="11" spans="1:18" x14ac:dyDescent="0.3">
      <c r="A11" s="47">
        <v>37993</v>
      </c>
      <c r="B11" s="48">
        <v>3.1939265727996826</v>
      </c>
      <c r="C11" s="49">
        <v>2.4773999999999998</v>
      </c>
      <c r="D11" s="10">
        <f>B11-$C$375</f>
        <v>2.8041187954020419</v>
      </c>
      <c r="E11" s="10">
        <f t="shared" si="1"/>
        <v>1.9500486338797816</v>
      </c>
      <c r="F11" s="10">
        <f t="shared" si="2"/>
        <v>7.8630822187269986</v>
      </c>
      <c r="G11" s="10">
        <f>E11^2</f>
        <v>3.8026896744964023</v>
      </c>
      <c r="H11" s="11">
        <f>D11*E11</f>
        <v>5.4681680262103702</v>
      </c>
      <c r="I11" s="12">
        <f t="shared" si="4"/>
        <v>0.71652657279968279</v>
      </c>
      <c r="J11" s="28">
        <f t="shared" si="5"/>
        <v>0.5134103295280591</v>
      </c>
      <c r="K11" s="30">
        <f t="shared" si="6"/>
        <v>-0.71652657279968279</v>
      </c>
      <c r="L11" s="5"/>
      <c r="M11" s="30">
        <f t="shared" si="7"/>
        <v>0.71652657279968279</v>
      </c>
      <c r="N11" s="42">
        <f t="shared" si="8"/>
        <v>0.71652657279968279</v>
      </c>
      <c r="O11" s="43">
        <f t="shared" si="9"/>
        <v>0.5134103295280591</v>
      </c>
      <c r="P11" s="43">
        <f t="shared" si="10"/>
        <v>2.8537922017996826</v>
      </c>
      <c r="Q11" s="43">
        <f t="shared" si="11"/>
        <v>2.8537922017996826</v>
      </c>
      <c r="R11" s="43">
        <f t="shared" si="12"/>
        <v>8.1441299310526798</v>
      </c>
    </row>
    <row r="12" spans="1:18" x14ac:dyDescent="0.3">
      <c r="A12" s="47">
        <v>37994</v>
      </c>
      <c r="B12" s="48">
        <v>2.9983377456665039</v>
      </c>
      <c r="C12" s="49">
        <v>4.2667000000000002</v>
      </c>
      <c r="D12" s="10">
        <f t="shared" si="0"/>
        <v>2.6085299682688632</v>
      </c>
      <c r="E12" s="10">
        <f t="shared" si="1"/>
        <v>3.7393486338797821</v>
      </c>
      <c r="F12" s="10">
        <f t="shared" si="2"/>
        <v>6.8044285953567565</v>
      </c>
      <c r="G12" s="10">
        <f t="shared" si="2"/>
        <v>13.982728205698592</v>
      </c>
      <c r="H12" s="11">
        <f t="shared" si="3"/>
        <v>9.7542029732806448</v>
      </c>
      <c r="I12" s="12">
        <f t="shared" si="4"/>
        <v>1.2683622543334963</v>
      </c>
      <c r="J12" s="28">
        <f t="shared" si="5"/>
        <v>1.6087428082179487</v>
      </c>
      <c r="K12" s="30">
        <f t="shared" si="6"/>
        <v>1.2683622543334963</v>
      </c>
      <c r="L12" s="5"/>
      <c r="M12" s="30">
        <f t="shared" si="7"/>
        <v>-1.2683622543334963</v>
      </c>
      <c r="N12" s="42">
        <f t="shared" si="8"/>
        <v>-1.2683622543334963</v>
      </c>
      <c r="O12" s="43">
        <f t="shared" si="9"/>
        <v>1.6087428082179487</v>
      </c>
      <c r="P12" s="43">
        <f t="shared" si="10"/>
        <v>2.6582033746665039</v>
      </c>
      <c r="Q12" s="43">
        <f t="shared" si="11"/>
        <v>2.6582033746665039</v>
      </c>
      <c r="R12" s="43">
        <f t="shared" si="12"/>
        <v>7.0660451810883895</v>
      </c>
    </row>
    <row r="13" spans="1:18" x14ac:dyDescent="0.3">
      <c r="A13" s="47">
        <v>37995</v>
      </c>
      <c r="B13" s="48">
        <v>1.9908638000488281</v>
      </c>
      <c r="C13" s="49">
        <v>4.8445</v>
      </c>
      <c r="D13" s="10">
        <f t="shared" si="0"/>
        <v>1.6010560226511874</v>
      </c>
      <c r="E13" s="10">
        <f t="shared" si="1"/>
        <v>4.317148633879782</v>
      </c>
      <c r="F13" s="10">
        <f t="shared" si="2"/>
        <v>2.5633803876676393</v>
      </c>
      <c r="G13" s="10">
        <f t="shared" si="2"/>
        <v>18.637772327010069</v>
      </c>
      <c r="H13" s="11">
        <f t="shared" si="3"/>
        <v>6.9119968209535712</v>
      </c>
      <c r="I13" s="12">
        <f t="shared" si="4"/>
        <v>2.8536361999511719</v>
      </c>
      <c r="J13" s="28">
        <f t="shared" si="5"/>
        <v>8.1432395616717645</v>
      </c>
      <c r="K13" s="30">
        <f t="shared" si="6"/>
        <v>2.8536361999511719</v>
      </c>
      <c r="L13" s="5"/>
      <c r="M13" s="30">
        <f t="shared" si="7"/>
        <v>-2.8536361999511719</v>
      </c>
      <c r="N13" s="42">
        <f t="shared" si="8"/>
        <v>-2.8536361999511719</v>
      </c>
      <c r="O13" s="43">
        <f t="shared" si="9"/>
        <v>8.1432395616717645</v>
      </c>
      <c r="P13" s="43">
        <f t="shared" si="10"/>
        <v>1.6507294290488281</v>
      </c>
      <c r="Q13" s="43">
        <f t="shared" si="11"/>
        <v>1.6507294290488281</v>
      </c>
      <c r="R13" s="43">
        <f t="shared" si="12"/>
        <v>2.72490764792787</v>
      </c>
    </row>
    <row r="14" spans="1:18" x14ac:dyDescent="0.3">
      <c r="A14" s="47">
        <v>37996</v>
      </c>
      <c r="B14" s="48">
        <v>0</v>
      </c>
      <c r="C14" s="49">
        <v>2.2261000000000002</v>
      </c>
      <c r="D14" s="10">
        <f t="shared" si="0"/>
        <v>-0.38980777739764078</v>
      </c>
      <c r="E14" s="10">
        <f t="shared" si="1"/>
        <v>1.6987486338797819</v>
      </c>
      <c r="F14" s="10">
        <f t="shared" si="2"/>
        <v>0.15195010331968867</v>
      </c>
      <c r="G14" s="10">
        <f t="shared" si="2"/>
        <v>2.8857469211084252</v>
      </c>
      <c r="H14" s="11">
        <f t="shared" si="3"/>
        <v>-0.66218542932995639</v>
      </c>
      <c r="I14" s="12">
        <f t="shared" si="4"/>
        <v>2.2261000000000002</v>
      </c>
      <c r="J14" s="28">
        <f t="shared" si="5"/>
        <v>4.9555212100000006</v>
      </c>
      <c r="K14" s="30">
        <f t="shared" si="6"/>
        <v>2.2261000000000002</v>
      </c>
      <c r="L14" s="5"/>
      <c r="M14" s="30">
        <f t="shared" si="7"/>
        <v>-2.2261000000000002</v>
      </c>
      <c r="N14" s="42">
        <f t="shared" si="8"/>
        <v>-2.2261000000000002</v>
      </c>
      <c r="O14" s="43">
        <f t="shared" si="9"/>
        <v>4.9555212100000006</v>
      </c>
      <c r="P14" s="43">
        <f t="shared" si="10"/>
        <v>-0.34013437099999999</v>
      </c>
      <c r="Q14" s="43">
        <f t="shared" si="11"/>
        <v>-0.34013437099999999</v>
      </c>
      <c r="R14" s="43">
        <f t="shared" si="12"/>
        <v>0.11569139033556564</v>
      </c>
    </row>
    <row r="15" spans="1:18" x14ac:dyDescent="0.3">
      <c r="A15" s="47">
        <v>37997</v>
      </c>
      <c r="B15" s="48">
        <v>2.6243629455566406</v>
      </c>
      <c r="C15" s="49">
        <v>2.8997000000000002</v>
      </c>
      <c r="D15" s="10">
        <f t="shared" si="0"/>
        <v>2.2345551681589999</v>
      </c>
      <c r="E15" s="10">
        <f t="shared" si="1"/>
        <v>2.3723486338797821</v>
      </c>
      <c r="F15" s="10">
        <f t="shared" si="2"/>
        <v>4.9932367995460964</v>
      </c>
      <c r="G15" s="10">
        <f t="shared" si="2"/>
        <v>5.6280380406712682</v>
      </c>
      <c r="H15" s="11">
        <f t="shared" si="3"/>
        <v>5.3011439005110104</v>
      </c>
      <c r="I15" s="12">
        <f t="shared" si="4"/>
        <v>0.27533705444335954</v>
      </c>
      <c r="J15" s="28">
        <f t="shared" si="5"/>
        <v>7.5810493549545541E-2</v>
      </c>
      <c r="K15" s="30">
        <f t="shared" si="6"/>
        <v>0.27533705444335954</v>
      </c>
      <c r="L15" s="5"/>
      <c r="M15" s="30">
        <f t="shared" si="7"/>
        <v>-0.27533705444335954</v>
      </c>
      <c r="N15" s="42">
        <f t="shared" si="8"/>
        <v>-0.27533705444335954</v>
      </c>
      <c r="O15" s="43">
        <f t="shared" si="9"/>
        <v>7.5810493549545541E-2</v>
      </c>
      <c r="P15" s="43">
        <f t="shared" si="10"/>
        <v>2.2842285745566406</v>
      </c>
      <c r="Q15" s="43">
        <f t="shared" si="11"/>
        <v>2.2842285745566406</v>
      </c>
      <c r="R15" s="43">
        <f t="shared" si="12"/>
        <v>5.2177001808210628</v>
      </c>
    </row>
    <row r="16" spans="1:18" x14ac:dyDescent="0.3">
      <c r="A16" s="47">
        <v>37998</v>
      </c>
      <c r="B16" s="48">
        <v>7.5829873085021973</v>
      </c>
      <c r="C16" s="49">
        <v>3.7869000000000002</v>
      </c>
      <c r="D16" s="10">
        <f t="shared" si="0"/>
        <v>7.1931795311045565</v>
      </c>
      <c r="E16" s="10">
        <f t="shared" si="1"/>
        <v>3.2595486338797821</v>
      </c>
      <c r="F16" s="10">
        <f t="shared" si="2"/>
        <v>51.741831766701566</v>
      </c>
      <c r="G16" s="10">
        <f t="shared" si="2"/>
        <v>10.624657296627554</v>
      </c>
      <c r="H16" s="11">
        <f t="shared" si="3"/>
        <v>23.446518513863868</v>
      </c>
      <c r="I16" s="12">
        <f t="shared" si="4"/>
        <v>3.7960873085021971</v>
      </c>
      <c r="J16" s="28">
        <f t="shared" si="5"/>
        <v>14.410278853771455</v>
      </c>
      <c r="K16" s="30">
        <f t="shared" si="6"/>
        <v>-3.7960873085021971</v>
      </c>
      <c r="L16" s="5"/>
      <c r="M16" s="30">
        <f t="shared" si="7"/>
        <v>3.7960873085021971</v>
      </c>
      <c r="N16" s="42">
        <f t="shared" si="8"/>
        <v>3.7960873085021971</v>
      </c>
      <c r="O16" s="43">
        <f t="shared" si="9"/>
        <v>14.410278853771455</v>
      </c>
      <c r="P16" s="43">
        <f t="shared" si="10"/>
        <v>7.2428529375021977</v>
      </c>
      <c r="Q16" s="43">
        <f t="shared" si="11"/>
        <v>7.2428529375021977</v>
      </c>
      <c r="R16" s="43">
        <f t="shared" si="12"/>
        <v>52.458918674284213</v>
      </c>
    </row>
    <row r="17" spans="1:18" x14ac:dyDescent="0.3">
      <c r="A17" s="47">
        <v>37999</v>
      </c>
      <c r="B17" s="48">
        <v>13.223211288452148</v>
      </c>
      <c r="C17" s="49">
        <v>7.3856999999999999</v>
      </c>
      <c r="D17" s="10">
        <f t="shared" si="0"/>
        <v>12.833403511054508</v>
      </c>
      <c r="E17" s="10">
        <f t="shared" si="1"/>
        <v>6.8583486338797819</v>
      </c>
      <c r="F17" s="10">
        <f t="shared" si="2"/>
        <v>164.69624567754616</v>
      </c>
      <c r="G17" s="10">
        <f t="shared" si="2"/>
        <v>47.036945983840667</v>
      </c>
      <c r="H17" s="11">
        <f t="shared" si="3"/>
        <v>88.015955438068673</v>
      </c>
      <c r="I17" s="12">
        <f t="shared" si="4"/>
        <v>5.8375112884521485</v>
      </c>
      <c r="J17" s="28">
        <f t="shared" si="5"/>
        <v>34.076538042806263</v>
      </c>
      <c r="K17" s="30">
        <f t="shared" si="6"/>
        <v>-5.8375112884521485</v>
      </c>
      <c r="L17" s="5"/>
      <c r="M17" s="30">
        <f t="shared" si="7"/>
        <v>5.8375112884521485</v>
      </c>
      <c r="N17" s="42">
        <f t="shared" si="8"/>
        <v>5.8375112884521485</v>
      </c>
      <c r="O17" s="43">
        <f t="shared" si="9"/>
        <v>34.076538042806263</v>
      </c>
      <c r="P17" s="43">
        <f t="shared" si="10"/>
        <v>12.883076917452149</v>
      </c>
      <c r="Q17" s="43">
        <f t="shared" si="11"/>
        <v>12.883076917452149</v>
      </c>
      <c r="R17" s="43">
        <f t="shared" si="12"/>
        <v>165.97367086098836</v>
      </c>
    </row>
    <row r="18" spans="1:18" x14ac:dyDescent="0.3">
      <c r="A18" s="47">
        <v>38000</v>
      </c>
      <c r="B18" s="48">
        <v>0</v>
      </c>
      <c r="C18" s="49">
        <v>6.0167000000000002</v>
      </c>
      <c r="D18" s="10">
        <f t="shared" si="0"/>
        <v>-0.38980777739764078</v>
      </c>
      <c r="E18" s="10">
        <f t="shared" si="1"/>
        <v>5.4893486338797821</v>
      </c>
      <c r="F18" s="10">
        <f t="shared" si="2"/>
        <v>0.15195010331968867</v>
      </c>
      <c r="G18" s="10">
        <f t="shared" si="2"/>
        <v>30.132948424277831</v>
      </c>
      <c r="H18" s="11">
        <f t="shared" si="3"/>
        <v>-2.1397907903334534</v>
      </c>
      <c r="I18" s="12">
        <f t="shared" si="4"/>
        <v>6.0167000000000002</v>
      </c>
      <c r="J18" s="28">
        <f t="shared" si="5"/>
        <v>36.200678889999999</v>
      </c>
      <c r="K18" s="30">
        <f t="shared" si="6"/>
        <v>6.0167000000000002</v>
      </c>
      <c r="L18" s="5"/>
      <c r="M18" s="30">
        <f t="shared" si="7"/>
        <v>-6.0167000000000002</v>
      </c>
      <c r="N18" s="42">
        <f t="shared" si="8"/>
        <v>-6.0167000000000002</v>
      </c>
      <c r="O18" s="43">
        <f t="shared" si="9"/>
        <v>36.200678889999999</v>
      </c>
      <c r="P18" s="43">
        <f t="shared" si="10"/>
        <v>-0.34013437099999999</v>
      </c>
      <c r="Q18" s="43">
        <f t="shared" si="11"/>
        <v>-0.34013437099999999</v>
      </c>
      <c r="R18" s="43">
        <f t="shared" si="12"/>
        <v>0.11569139033556564</v>
      </c>
    </row>
    <row r="19" spans="1:18" x14ac:dyDescent="0.3">
      <c r="A19" s="47">
        <v>38001</v>
      </c>
      <c r="B19" s="48">
        <v>0</v>
      </c>
      <c r="C19" s="49">
        <v>0</v>
      </c>
      <c r="D19" s="10">
        <f t="shared" si="0"/>
        <v>-0.38980777739764078</v>
      </c>
      <c r="E19" s="10">
        <f t="shared" si="1"/>
        <v>-0.52735136612021827</v>
      </c>
      <c r="F19" s="10">
        <f t="shared" si="2"/>
        <v>0.15195010331968867</v>
      </c>
      <c r="G19" s="10">
        <f t="shared" si="2"/>
        <v>0.27809946334886049</v>
      </c>
      <c r="H19" s="11">
        <f t="shared" si="3"/>
        <v>0.20556566393493181</v>
      </c>
      <c r="I19" s="12">
        <f t="shared" si="4"/>
        <v>0</v>
      </c>
      <c r="J19" s="28">
        <f t="shared" si="5"/>
        <v>0</v>
      </c>
      <c r="K19" s="30">
        <f t="shared" si="6"/>
        <v>0</v>
      </c>
      <c r="L19" s="5"/>
      <c r="M19" s="30">
        <f t="shared" si="7"/>
        <v>0</v>
      </c>
      <c r="N19" s="42">
        <f t="shared" si="8"/>
        <v>0</v>
      </c>
      <c r="O19" s="43">
        <f t="shared" si="9"/>
        <v>0</v>
      </c>
      <c r="P19" s="43">
        <f t="shared" si="10"/>
        <v>-0.34013437099999999</v>
      </c>
      <c r="Q19" s="43">
        <f t="shared" si="11"/>
        <v>-0.34013437099999999</v>
      </c>
      <c r="R19" s="43">
        <f t="shared" si="12"/>
        <v>0.11569139033556564</v>
      </c>
    </row>
    <row r="20" spans="1:18" x14ac:dyDescent="0.3">
      <c r="A20" s="47">
        <v>38002</v>
      </c>
      <c r="B20" s="48">
        <v>0</v>
      </c>
      <c r="C20" s="49">
        <v>0.18190000000000001</v>
      </c>
      <c r="D20" s="10">
        <f t="shared" si="0"/>
        <v>-0.38980777739764078</v>
      </c>
      <c r="E20" s="10">
        <f t="shared" si="1"/>
        <v>-0.34545136612021826</v>
      </c>
      <c r="F20" s="10">
        <f t="shared" si="2"/>
        <v>0.15195010331968867</v>
      </c>
      <c r="G20" s="10">
        <f t="shared" si="2"/>
        <v>0.11933664635432509</v>
      </c>
      <c r="H20" s="11">
        <f t="shared" si="3"/>
        <v>0.13465962922630095</v>
      </c>
      <c r="I20" s="12">
        <f t="shared" si="4"/>
        <v>0.18190000000000001</v>
      </c>
      <c r="J20" s="28">
        <f t="shared" si="5"/>
        <v>3.3087610000000003E-2</v>
      </c>
      <c r="K20" s="30">
        <f t="shared" si="6"/>
        <v>0.18190000000000001</v>
      </c>
      <c r="L20" s="5"/>
      <c r="M20" s="30">
        <f t="shared" si="7"/>
        <v>-0.18190000000000001</v>
      </c>
      <c r="N20" s="42">
        <f t="shared" si="8"/>
        <v>-0.18190000000000001</v>
      </c>
      <c r="O20" s="43">
        <f t="shared" si="9"/>
        <v>3.3087610000000003E-2</v>
      </c>
      <c r="P20" s="43">
        <f t="shared" si="10"/>
        <v>-0.34013437099999999</v>
      </c>
      <c r="Q20" s="43">
        <f t="shared" si="11"/>
        <v>-0.34013437099999999</v>
      </c>
      <c r="R20" s="43">
        <f t="shared" si="12"/>
        <v>0.11569139033556564</v>
      </c>
    </row>
    <row r="21" spans="1:18" x14ac:dyDescent="0.3">
      <c r="A21" s="47">
        <v>38003</v>
      </c>
      <c r="B21" s="48">
        <v>0</v>
      </c>
      <c r="C21" s="49">
        <v>0.23880000000000001</v>
      </c>
      <c r="D21" s="10">
        <f t="shared" si="0"/>
        <v>-0.38980777739764078</v>
      </c>
      <c r="E21" s="10">
        <f t="shared" si="1"/>
        <v>-0.28855136612021826</v>
      </c>
      <c r="F21" s="10">
        <f t="shared" ref="F21:G84" si="13">D21^2</f>
        <v>0.15195010331968867</v>
      </c>
      <c r="G21" s="10">
        <f t="shared" si="13"/>
        <v>8.3261890889844245E-2</v>
      </c>
      <c r="H21" s="11">
        <f t="shared" si="3"/>
        <v>0.11247956669237519</v>
      </c>
      <c r="I21" s="12">
        <f t="shared" si="4"/>
        <v>0.23880000000000001</v>
      </c>
      <c r="J21" s="28">
        <f t="shared" si="5"/>
        <v>5.7025440000000004E-2</v>
      </c>
      <c r="K21" s="30">
        <f t="shared" si="6"/>
        <v>0.23880000000000001</v>
      </c>
      <c r="L21" s="5"/>
      <c r="M21" s="30">
        <f t="shared" si="7"/>
        <v>-0.23880000000000001</v>
      </c>
      <c r="N21" s="42">
        <f t="shared" si="8"/>
        <v>-0.23880000000000001</v>
      </c>
      <c r="O21" s="43">
        <f t="shared" si="9"/>
        <v>5.7025440000000004E-2</v>
      </c>
      <c r="P21" s="43">
        <f t="shared" si="10"/>
        <v>-0.34013437099999999</v>
      </c>
      <c r="Q21" s="43">
        <f t="shared" si="11"/>
        <v>-0.34013437099999999</v>
      </c>
      <c r="R21" s="43">
        <f t="shared" si="12"/>
        <v>0.11569139033556564</v>
      </c>
    </row>
    <row r="22" spans="1:18" x14ac:dyDescent="0.3">
      <c r="A22" s="47">
        <v>38004</v>
      </c>
      <c r="B22" s="48">
        <v>0</v>
      </c>
      <c r="C22" s="49">
        <v>0</v>
      </c>
      <c r="D22" s="10">
        <f t="shared" si="0"/>
        <v>-0.38980777739764078</v>
      </c>
      <c r="E22" s="10">
        <f t="shared" si="1"/>
        <v>-0.52735136612021827</v>
      </c>
      <c r="F22" s="10">
        <f t="shared" si="13"/>
        <v>0.15195010331968867</v>
      </c>
      <c r="G22" s="10">
        <f t="shared" si="13"/>
        <v>0.27809946334886049</v>
      </c>
      <c r="H22" s="11">
        <f t="shared" si="3"/>
        <v>0.20556566393493181</v>
      </c>
      <c r="I22" s="12">
        <f t="shared" si="4"/>
        <v>0</v>
      </c>
      <c r="J22" s="28">
        <f t="shared" si="5"/>
        <v>0</v>
      </c>
      <c r="K22" s="30">
        <f t="shared" si="6"/>
        <v>0</v>
      </c>
      <c r="L22" s="5"/>
      <c r="M22" s="30">
        <f t="shared" si="7"/>
        <v>0</v>
      </c>
      <c r="N22" s="42">
        <f t="shared" si="8"/>
        <v>0</v>
      </c>
      <c r="O22" s="43">
        <f t="shared" si="9"/>
        <v>0</v>
      </c>
      <c r="P22" s="43">
        <f t="shared" si="10"/>
        <v>-0.34013437099999999</v>
      </c>
      <c r="Q22" s="43">
        <f t="shared" si="11"/>
        <v>-0.34013437099999999</v>
      </c>
      <c r="R22" s="43">
        <f t="shared" si="12"/>
        <v>0.11569139033556564</v>
      </c>
    </row>
    <row r="23" spans="1:18" x14ac:dyDescent="0.3">
      <c r="A23" s="47">
        <v>38005</v>
      </c>
      <c r="B23" s="48">
        <v>0</v>
      </c>
      <c r="C23" s="49">
        <v>0</v>
      </c>
      <c r="D23" s="10">
        <f t="shared" si="0"/>
        <v>-0.38980777739764078</v>
      </c>
      <c r="E23" s="10">
        <f t="shared" si="1"/>
        <v>-0.52735136612021827</v>
      </c>
      <c r="F23" s="10">
        <f t="shared" si="13"/>
        <v>0.15195010331968867</v>
      </c>
      <c r="G23" s="10">
        <f t="shared" si="13"/>
        <v>0.27809946334886049</v>
      </c>
      <c r="H23" s="11">
        <f t="shared" si="3"/>
        <v>0.20556566393493181</v>
      </c>
      <c r="I23" s="12">
        <f t="shared" si="4"/>
        <v>0</v>
      </c>
      <c r="J23" s="28">
        <f t="shared" si="5"/>
        <v>0</v>
      </c>
      <c r="K23" s="30">
        <f t="shared" si="6"/>
        <v>0</v>
      </c>
      <c r="L23" s="5"/>
      <c r="M23" s="30">
        <f t="shared" si="7"/>
        <v>0</v>
      </c>
      <c r="N23" s="42">
        <f t="shared" si="8"/>
        <v>0</v>
      </c>
      <c r="O23" s="43">
        <f t="shared" si="9"/>
        <v>0</v>
      </c>
      <c r="P23" s="43">
        <f t="shared" si="10"/>
        <v>-0.34013437099999999</v>
      </c>
      <c r="Q23" s="43">
        <f t="shared" si="11"/>
        <v>-0.34013437099999999</v>
      </c>
      <c r="R23" s="43">
        <f t="shared" si="12"/>
        <v>0.11569139033556564</v>
      </c>
    </row>
    <row r="24" spans="1:18" x14ac:dyDescent="0.3">
      <c r="A24" s="47">
        <v>38006</v>
      </c>
      <c r="B24" s="48">
        <v>0</v>
      </c>
      <c r="C24" s="49">
        <v>0</v>
      </c>
      <c r="D24" s="10">
        <f t="shared" si="0"/>
        <v>-0.38980777739764078</v>
      </c>
      <c r="E24" s="10">
        <f t="shared" si="1"/>
        <v>-0.52735136612021827</v>
      </c>
      <c r="F24" s="10">
        <f t="shared" si="13"/>
        <v>0.15195010331968867</v>
      </c>
      <c r="G24" s="10">
        <f t="shared" si="13"/>
        <v>0.27809946334886049</v>
      </c>
      <c r="H24" s="11">
        <f t="shared" si="3"/>
        <v>0.20556566393493181</v>
      </c>
      <c r="I24" s="12">
        <f t="shared" si="4"/>
        <v>0</v>
      </c>
      <c r="J24" s="28">
        <f t="shared" si="5"/>
        <v>0</v>
      </c>
      <c r="K24" s="30">
        <f t="shared" si="6"/>
        <v>0</v>
      </c>
      <c r="L24" s="5"/>
      <c r="M24" s="30">
        <f t="shared" si="7"/>
        <v>0</v>
      </c>
      <c r="N24" s="42">
        <f t="shared" si="8"/>
        <v>0</v>
      </c>
      <c r="O24" s="43">
        <f t="shared" si="9"/>
        <v>0</v>
      </c>
      <c r="P24" s="43">
        <f t="shared" si="10"/>
        <v>-0.34013437099999999</v>
      </c>
      <c r="Q24" s="43">
        <f t="shared" si="11"/>
        <v>-0.34013437099999999</v>
      </c>
      <c r="R24" s="43">
        <f t="shared" si="12"/>
        <v>0.11569139033556564</v>
      </c>
    </row>
    <row r="25" spans="1:18" x14ac:dyDescent="0.3">
      <c r="A25" s="47">
        <v>38007</v>
      </c>
      <c r="B25" s="48">
        <v>1.2432469129562378</v>
      </c>
      <c r="C25" s="49">
        <v>2.8999999999999998E-3</v>
      </c>
      <c r="D25" s="10">
        <f t="shared" si="0"/>
        <v>0.85343913555859707</v>
      </c>
      <c r="E25" s="10">
        <f t="shared" si="1"/>
        <v>-0.52445136612021825</v>
      </c>
      <c r="F25" s="10">
        <f t="shared" si="13"/>
        <v>0.72835835810300542</v>
      </c>
      <c r="G25" s="10">
        <f t="shared" si="13"/>
        <v>0.27504923542536319</v>
      </c>
      <c r="H25" s="11">
        <f t="shared" si="3"/>
        <v>-0.44758732054416439</v>
      </c>
      <c r="I25" s="12">
        <f t="shared" si="4"/>
        <v>1.2403469129562379</v>
      </c>
      <c r="J25" s="28">
        <f t="shared" si="5"/>
        <v>1.5384604644800692</v>
      </c>
      <c r="K25" s="30">
        <f t="shared" si="6"/>
        <v>-1.2403469129562379</v>
      </c>
      <c r="L25" s="5"/>
      <c r="M25" s="30">
        <f t="shared" si="7"/>
        <v>1.2403469129562379</v>
      </c>
      <c r="N25" s="42">
        <f t="shared" si="8"/>
        <v>1.2403469129562379</v>
      </c>
      <c r="O25" s="43">
        <f t="shared" si="9"/>
        <v>1.5384604644800692</v>
      </c>
      <c r="P25" s="43">
        <f t="shared" si="10"/>
        <v>0.9031125419562378</v>
      </c>
      <c r="Q25" s="43">
        <f t="shared" si="11"/>
        <v>0.9031125419562378</v>
      </c>
      <c r="R25" s="43">
        <f t="shared" si="12"/>
        <v>0.81561226343865734</v>
      </c>
    </row>
    <row r="26" spans="1:18" x14ac:dyDescent="0.3">
      <c r="A26" s="47">
        <v>38008</v>
      </c>
      <c r="B26" s="48">
        <v>3.0027130618691444E-2</v>
      </c>
      <c r="C26" s="49">
        <v>2.8511000000000002</v>
      </c>
      <c r="D26" s="10">
        <f t="shared" si="0"/>
        <v>-0.35978064677894933</v>
      </c>
      <c r="E26" s="10">
        <f t="shared" si="1"/>
        <v>2.3237486338797817</v>
      </c>
      <c r="F26" s="10">
        <f t="shared" si="13"/>
        <v>0.12944211379667911</v>
      </c>
      <c r="G26" s="10">
        <f t="shared" si="13"/>
        <v>5.3998077134581521</v>
      </c>
      <c r="H26" s="11">
        <f t="shared" si="3"/>
        <v>-0.83603978644896781</v>
      </c>
      <c r="I26" s="12">
        <f t="shared" si="4"/>
        <v>2.8210728693813087</v>
      </c>
      <c r="J26" s="28">
        <f t="shared" si="5"/>
        <v>7.9584521343592911</v>
      </c>
      <c r="K26" s="30">
        <f t="shared" si="6"/>
        <v>2.8210728693813087</v>
      </c>
      <c r="L26" s="5"/>
      <c r="M26" s="30">
        <f t="shared" si="7"/>
        <v>-2.8210728693813087</v>
      </c>
      <c r="N26" s="42">
        <f t="shared" si="8"/>
        <v>-2.8210728693813087</v>
      </c>
      <c r="O26" s="43">
        <f t="shared" si="9"/>
        <v>7.9584521343592911</v>
      </c>
      <c r="P26" s="43">
        <f t="shared" si="10"/>
        <v>-0.31010724038130855</v>
      </c>
      <c r="Q26" s="43">
        <f t="shared" si="11"/>
        <v>-0.31010724038130855</v>
      </c>
      <c r="R26" s="43">
        <f t="shared" si="12"/>
        <v>9.6166500536910685E-2</v>
      </c>
    </row>
    <row r="27" spans="1:18" x14ac:dyDescent="0.3">
      <c r="A27" s="47">
        <v>38009</v>
      </c>
      <c r="B27" s="48">
        <v>4.8039083480834961</v>
      </c>
      <c r="C27" s="49">
        <v>7.5148000000000001</v>
      </c>
      <c r="D27" s="10">
        <f t="shared" si="0"/>
        <v>4.4141005706858554</v>
      </c>
      <c r="E27" s="10">
        <f t="shared" si="1"/>
        <v>6.9874486338797821</v>
      </c>
      <c r="F27" s="10">
        <f t="shared" si="13"/>
        <v>19.484283848129195</v>
      </c>
      <c r="G27" s="10">
        <f t="shared" si="13"/>
        <v>48.824438411108432</v>
      </c>
      <c r="H27" s="11">
        <f t="shared" si="3"/>
        <v>30.843301002446847</v>
      </c>
      <c r="I27" s="12">
        <f t="shared" si="4"/>
        <v>2.7108916519165041</v>
      </c>
      <c r="J27" s="28">
        <f t="shared" si="5"/>
        <v>7.3489335484305922</v>
      </c>
      <c r="K27" s="30">
        <f t="shared" si="6"/>
        <v>2.7108916519165041</v>
      </c>
      <c r="L27" s="5"/>
      <c r="M27" s="30">
        <f t="shared" si="7"/>
        <v>-2.7108916519165041</v>
      </c>
      <c r="N27" s="42">
        <f t="shared" si="8"/>
        <v>-2.7108916519165041</v>
      </c>
      <c r="O27" s="43">
        <f t="shared" si="9"/>
        <v>7.3489335484305922</v>
      </c>
      <c r="P27" s="43">
        <f t="shared" si="10"/>
        <v>4.4637739770834965</v>
      </c>
      <c r="Q27" s="43">
        <f t="shared" si="11"/>
        <v>4.4637739770834965</v>
      </c>
      <c r="R27" s="43">
        <f t="shared" si="12"/>
        <v>19.925278118487817</v>
      </c>
    </row>
    <row r="28" spans="1:18" x14ac:dyDescent="0.3">
      <c r="A28" s="47">
        <v>38010</v>
      </c>
      <c r="B28" s="48">
        <v>0.4056854248046875</v>
      </c>
      <c r="C28" s="49">
        <v>4.8108000000000004</v>
      </c>
      <c r="D28" s="10">
        <f t="shared" si="0"/>
        <v>1.5877647407046724E-2</v>
      </c>
      <c r="E28" s="10">
        <f t="shared" si="1"/>
        <v>4.2834486338797824</v>
      </c>
      <c r="F28" s="10">
        <f t="shared" si="13"/>
        <v>2.5209968718249758E-4</v>
      </c>
      <c r="G28" s="10">
        <f t="shared" si="13"/>
        <v>18.347932199086575</v>
      </c>
      <c r="H28" s="11">
        <f t="shared" si="3"/>
        <v>6.8011087094939165E-2</v>
      </c>
      <c r="I28" s="12">
        <f t="shared" si="4"/>
        <v>4.4051145751953129</v>
      </c>
      <c r="J28" s="28">
        <f t="shared" si="5"/>
        <v>19.405034420598181</v>
      </c>
      <c r="K28" s="30">
        <f t="shared" si="6"/>
        <v>4.4051145751953129</v>
      </c>
      <c r="L28" s="5"/>
      <c r="M28" s="30">
        <f t="shared" si="7"/>
        <v>-4.4051145751953129</v>
      </c>
      <c r="N28" s="42">
        <f t="shared" si="8"/>
        <v>-4.4051145751953129</v>
      </c>
      <c r="O28" s="43">
        <f t="shared" si="9"/>
        <v>19.405034420598181</v>
      </c>
      <c r="P28" s="43">
        <f t="shared" si="10"/>
        <v>6.5551053804687509E-2</v>
      </c>
      <c r="Q28" s="43">
        <f t="shared" si="11"/>
        <v>6.5551053804687509E-2</v>
      </c>
      <c r="R28" s="43">
        <f t="shared" si="12"/>
        <v>4.2969406549050364E-3</v>
      </c>
    </row>
    <row r="29" spans="1:18" x14ac:dyDescent="0.3">
      <c r="A29" s="47">
        <v>38011</v>
      </c>
      <c r="B29" s="48">
        <v>3.0185763835906982</v>
      </c>
      <c r="C29" s="49">
        <v>2.0575000000000001</v>
      </c>
      <c r="D29" s="10">
        <f t="shared" si="0"/>
        <v>2.6287686061930575</v>
      </c>
      <c r="E29" s="10">
        <f t="shared" si="1"/>
        <v>1.5301486338797818</v>
      </c>
      <c r="F29" s="10">
        <f t="shared" si="13"/>
        <v>6.9104243849061904</v>
      </c>
      <c r="G29" s="10">
        <f t="shared" si="13"/>
        <v>2.3413548417641628</v>
      </c>
      <c r="H29" s="11">
        <f t="shared" si="3"/>
        <v>4.0224066915523649</v>
      </c>
      <c r="I29" s="12">
        <f t="shared" si="4"/>
        <v>0.96107638359069814</v>
      </c>
      <c r="J29" s="28">
        <f t="shared" si="5"/>
        <v>0.92366781509577478</v>
      </c>
      <c r="K29" s="30">
        <f t="shared" si="6"/>
        <v>-0.96107638359069814</v>
      </c>
      <c r="L29" s="5"/>
      <c r="M29" s="30">
        <f t="shared" si="7"/>
        <v>0.96107638359069814</v>
      </c>
      <c r="N29" s="42">
        <f t="shared" si="8"/>
        <v>0.96107638359069814</v>
      </c>
      <c r="O29" s="43">
        <f t="shared" si="9"/>
        <v>0.92366781509577478</v>
      </c>
      <c r="P29" s="43">
        <f t="shared" si="10"/>
        <v>2.6784420125906983</v>
      </c>
      <c r="Q29" s="43">
        <f t="shared" si="11"/>
        <v>2.6784420125906983</v>
      </c>
      <c r="R29" s="43">
        <f t="shared" si="12"/>
        <v>7.1740516148109101</v>
      </c>
    </row>
    <row r="30" spans="1:18" x14ac:dyDescent="0.3">
      <c r="A30" s="47">
        <v>38012</v>
      </c>
      <c r="B30" s="48">
        <v>1.5622665882110596</v>
      </c>
      <c r="C30" s="49">
        <v>1.8701000000000001</v>
      </c>
      <c r="D30" s="10">
        <f t="shared" si="0"/>
        <v>1.1724588108134189</v>
      </c>
      <c r="E30" s="10">
        <f t="shared" si="1"/>
        <v>1.3427486338797818</v>
      </c>
      <c r="F30" s="10">
        <f t="shared" si="13"/>
        <v>1.3746596630540162</v>
      </c>
      <c r="G30" s="10">
        <f t="shared" si="13"/>
        <v>1.8029738937860205</v>
      </c>
      <c r="H30" s="11">
        <f t="shared" si="3"/>
        <v>1.5743174665000317</v>
      </c>
      <c r="I30" s="12">
        <f t="shared" si="4"/>
        <v>0.30783341178894053</v>
      </c>
      <c r="J30" s="28">
        <f t="shared" si="5"/>
        <v>9.4761409413619421E-2</v>
      </c>
      <c r="K30" s="30">
        <f t="shared" si="6"/>
        <v>0.30783341178894053</v>
      </c>
      <c r="L30" s="5"/>
      <c r="M30" s="30">
        <f t="shared" si="7"/>
        <v>-0.30783341178894053</v>
      </c>
      <c r="N30" s="42">
        <f t="shared" si="8"/>
        <v>-0.30783341178894053</v>
      </c>
      <c r="O30" s="43">
        <f t="shared" si="9"/>
        <v>9.4761409413619421E-2</v>
      </c>
      <c r="P30" s="43">
        <f t="shared" si="10"/>
        <v>1.2221322172110596</v>
      </c>
      <c r="Q30" s="43">
        <f t="shared" si="11"/>
        <v>1.2221322172110596</v>
      </c>
      <c r="R30" s="43">
        <f t="shared" si="12"/>
        <v>1.4936071563452205</v>
      </c>
    </row>
    <row r="31" spans="1:18" x14ac:dyDescent="0.3">
      <c r="A31" s="47">
        <v>38013</v>
      </c>
      <c r="B31" s="48">
        <v>0</v>
      </c>
      <c r="C31" s="49">
        <v>1.464</v>
      </c>
      <c r="D31" s="10">
        <f t="shared" si="0"/>
        <v>-0.38980777739764078</v>
      </c>
      <c r="E31" s="10">
        <f t="shared" si="1"/>
        <v>0.9366486338797817</v>
      </c>
      <c r="F31" s="10">
        <f t="shared" si="13"/>
        <v>0.15195010331968867</v>
      </c>
      <c r="G31" s="10">
        <f t="shared" si="13"/>
        <v>0.87731066334886132</v>
      </c>
      <c r="H31" s="11">
        <f t="shared" si="3"/>
        <v>-0.36511292217521429</v>
      </c>
      <c r="I31" s="12">
        <f t="shared" si="4"/>
        <v>1.464</v>
      </c>
      <c r="J31" s="28">
        <f t="shared" si="5"/>
        <v>2.1432959999999999</v>
      </c>
      <c r="K31" s="30">
        <f t="shared" si="6"/>
        <v>1.464</v>
      </c>
      <c r="L31" s="5"/>
      <c r="M31" s="30">
        <f t="shared" si="7"/>
        <v>-1.464</v>
      </c>
      <c r="N31" s="42">
        <f t="shared" si="8"/>
        <v>-1.464</v>
      </c>
      <c r="O31" s="43">
        <f t="shared" si="9"/>
        <v>2.1432959999999999</v>
      </c>
      <c r="P31" s="43">
        <f t="shared" si="10"/>
        <v>-0.34013437099999999</v>
      </c>
      <c r="Q31" s="43">
        <f t="shared" si="11"/>
        <v>-0.34013437099999999</v>
      </c>
      <c r="R31" s="43">
        <f t="shared" si="12"/>
        <v>0.11569139033556564</v>
      </c>
    </row>
    <row r="32" spans="1:18" x14ac:dyDescent="0.3">
      <c r="A32" s="47">
        <v>38014</v>
      </c>
      <c r="B32" s="48">
        <v>0</v>
      </c>
      <c r="C32" s="49">
        <v>2.1999999999999999E-2</v>
      </c>
      <c r="D32" s="10">
        <f t="shared" si="0"/>
        <v>-0.38980777739764078</v>
      </c>
      <c r="E32" s="10">
        <f t="shared" si="1"/>
        <v>-0.50535136612021825</v>
      </c>
      <c r="F32" s="10">
        <f t="shared" si="13"/>
        <v>0.15195010331968867</v>
      </c>
      <c r="G32" s="10">
        <f t="shared" si="13"/>
        <v>0.25538000323957089</v>
      </c>
      <c r="H32" s="11">
        <f t="shared" si="3"/>
        <v>0.19698989283218371</v>
      </c>
      <c r="I32" s="12">
        <f t="shared" si="4"/>
        <v>2.1999999999999999E-2</v>
      </c>
      <c r="J32" s="28">
        <f t="shared" si="5"/>
        <v>4.8399999999999995E-4</v>
      </c>
      <c r="K32" s="30">
        <f t="shared" si="6"/>
        <v>2.1999999999999999E-2</v>
      </c>
      <c r="L32" s="5"/>
      <c r="M32" s="30">
        <f t="shared" si="7"/>
        <v>-2.1999999999999999E-2</v>
      </c>
      <c r="N32" s="42">
        <f t="shared" si="8"/>
        <v>-2.1999999999999999E-2</v>
      </c>
      <c r="O32" s="43">
        <f t="shared" si="9"/>
        <v>4.8399999999999995E-4</v>
      </c>
      <c r="P32" s="43">
        <f t="shared" si="10"/>
        <v>-0.34013437099999999</v>
      </c>
      <c r="Q32" s="43">
        <f t="shared" si="11"/>
        <v>-0.34013437099999999</v>
      </c>
      <c r="R32" s="43">
        <f t="shared" si="12"/>
        <v>0.11569139033556564</v>
      </c>
    </row>
    <row r="33" spans="1:18" x14ac:dyDescent="0.3">
      <c r="A33" s="47">
        <v>38015</v>
      </c>
      <c r="B33" s="48">
        <v>0</v>
      </c>
      <c r="C33" s="49">
        <v>0</v>
      </c>
      <c r="D33" s="10">
        <f t="shared" si="0"/>
        <v>-0.38980777739764078</v>
      </c>
      <c r="E33" s="10">
        <f t="shared" si="1"/>
        <v>-0.52735136612021827</v>
      </c>
      <c r="F33" s="10">
        <f t="shared" si="13"/>
        <v>0.15195010331968867</v>
      </c>
      <c r="G33" s="10">
        <f t="shared" si="13"/>
        <v>0.27809946334886049</v>
      </c>
      <c r="H33" s="11">
        <f t="shared" si="3"/>
        <v>0.20556566393493181</v>
      </c>
      <c r="I33" s="12">
        <f t="shared" si="4"/>
        <v>0</v>
      </c>
      <c r="J33" s="28">
        <f t="shared" si="5"/>
        <v>0</v>
      </c>
      <c r="K33" s="30">
        <f t="shared" si="6"/>
        <v>0</v>
      </c>
      <c r="L33" s="5"/>
      <c r="M33" s="30">
        <f t="shared" si="7"/>
        <v>0</v>
      </c>
      <c r="N33" s="42">
        <f t="shared" si="8"/>
        <v>0</v>
      </c>
      <c r="O33" s="43">
        <f t="shared" si="9"/>
        <v>0</v>
      </c>
      <c r="P33" s="43">
        <f t="shared" si="10"/>
        <v>-0.34013437099999999</v>
      </c>
      <c r="Q33" s="43">
        <f t="shared" si="11"/>
        <v>-0.34013437099999999</v>
      </c>
      <c r="R33" s="43">
        <f t="shared" si="12"/>
        <v>0.11569139033556564</v>
      </c>
    </row>
    <row r="34" spans="1:18" x14ac:dyDescent="0.3">
      <c r="A34" s="47">
        <v>38016</v>
      </c>
      <c r="B34" s="48">
        <v>0</v>
      </c>
      <c r="C34" s="49">
        <v>4.2900000000000001E-2</v>
      </c>
      <c r="D34" s="10">
        <f t="shared" si="0"/>
        <v>-0.38980777739764078</v>
      </c>
      <c r="E34" s="10">
        <f t="shared" si="1"/>
        <v>-0.48445136612021827</v>
      </c>
      <c r="F34" s="10">
        <f t="shared" si="13"/>
        <v>0.15195010331968867</v>
      </c>
      <c r="G34" s="10">
        <f t="shared" si="13"/>
        <v>0.23469312613574578</v>
      </c>
      <c r="H34" s="11">
        <f t="shared" si="3"/>
        <v>0.18884291028457301</v>
      </c>
      <c r="I34" s="12">
        <f t="shared" si="4"/>
        <v>4.2900000000000001E-2</v>
      </c>
      <c r="J34" s="28">
        <f t="shared" si="5"/>
        <v>1.84041E-3</v>
      </c>
      <c r="K34" s="30">
        <f t="shared" si="6"/>
        <v>4.2900000000000001E-2</v>
      </c>
      <c r="L34" s="5"/>
      <c r="M34" s="30">
        <f t="shared" si="7"/>
        <v>-4.2900000000000001E-2</v>
      </c>
      <c r="N34" s="42">
        <f t="shared" si="8"/>
        <v>-4.2900000000000001E-2</v>
      </c>
      <c r="O34" s="43">
        <f t="shared" si="9"/>
        <v>1.84041E-3</v>
      </c>
      <c r="P34" s="43">
        <f t="shared" si="10"/>
        <v>-0.34013437099999999</v>
      </c>
      <c r="Q34" s="43">
        <f t="shared" si="11"/>
        <v>-0.34013437099999999</v>
      </c>
      <c r="R34" s="43">
        <f t="shared" si="12"/>
        <v>0.11569139033556564</v>
      </c>
    </row>
    <row r="35" spans="1:18" x14ac:dyDescent="0.3">
      <c r="A35" s="47">
        <v>38017</v>
      </c>
      <c r="B35" s="48">
        <v>1.9000275135040283</v>
      </c>
      <c r="C35" s="49">
        <v>3.9529000000000001</v>
      </c>
      <c r="D35" s="10">
        <f t="shared" si="0"/>
        <v>1.5102197361063876</v>
      </c>
      <c r="E35" s="10">
        <f t="shared" si="1"/>
        <v>3.4255486338797816</v>
      </c>
      <c r="F35" s="10">
        <f t="shared" si="13"/>
        <v>2.2807636513252469</v>
      </c>
      <c r="G35" s="10">
        <f t="shared" si="13"/>
        <v>11.734383443075638</v>
      </c>
      <c r="H35" s="11">
        <f t="shared" si="3"/>
        <v>5.1733311538775206</v>
      </c>
      <c r="I35" s="12">
        <f t="shared" si="4"/>
        <v>2.0528724864959718</v>
      </c>
      <c r="J35" s="28">
        <f t="shared" si="5"/>
        <v>4.2142854458121537</v>
      </c>
      <c r="K35" s="30">
        <f t="shared" si="6"/>
        <v>2.0528724864959718</v>
      </c>
      <c r="L35" s="5"/>
      <c r="M35" s="30">
        <f t="shared" si="7"/>
        <v>-2.0528724864959718</v>
      </c>
      <c r="N35" s="42">
        <f t="shared" si="8"/>
        <v>-2.0528724864959718</v>
      </c>
      <c r="O35" s="43">
        <f t="shared" si="9"/>
        <v>4.2142854458121537</v>
      </c>
      <c r="P35" s="43">
        <f t="shared" si="10"/>
        <v>1.5598931425040283</v>
      </c>
      <c r="Q35" s="43">
        <f t="shared" si="11"/>
        <v>1.5598931425040283</v>
      </c>
      <c r="R35" s="43">
        <f t="shared" si="12"/>
        <v>2.433266616031093</v>
      </c>
    </row>
    <row r="36" spans="1:18" x14ac:dyDescent="0.3">
      <c r="A36" s="47">
        <v>38018</v>
      </c>
      <c r="B36" s="48">
        <v>0</v>
      </c>
      <c r="C36" s="49">
        <v>1.0308999999999999</v>
      </c>
      <c r="D36" s="10">
        <f t="shared" si="0"/>
        <v>-0.38980777739764078</v>
      </c>
      <c r="E36" s="10">
        <f t="shared" si="1"/>
        <v>0.50354863387978166</v>
      </c>
      <c r="F36" s="10">
        <f t="shared" si="13"/>
        <v>0.15195010331968867</v>
      </c>
      <c r="G36" s="10">
        <f t="shared" si="13"/>
        <v>0.25356122668219438</v>
      </c>
      <c r="H36" s="11">
        <f t="shared" si="3"/>
        <v>-0.19628717378429605</v>
      </c>
      <c r="I36" s="12">
        <f t="shared" si="4"/>
        <v>1.0308999999999999</v>
      </c>
      <c r="J36" s="28">
        <f t="shared" si="5"/>
        <v>1.0627548099999999</v>
      </c>
      <c r="K36" s="30">
        <f t="shared" si="6"/>
        <v>1.0308999999999999</v>
      </c>
      <c r="L36" s="5"/>
      <c r="M36" s="30">
        <f t="shared" si="7"/>
        <v>-1.0308999999999999</v>
      </c>
      <c r="N36" s="42">
        <f t="shared" si="8"/>
        <v>-1.0308999999999999</v>
      </c>
      <c r="O36" s="43">
        <f t="shared" si="9"/>
        <v>1.0627548099999999</v>
      </c>
      <c r="P36" s="43">
        <f t="shared" si="10"/>
        <v>-0.34013437099999999</v>
      </c>
      <c r="Q36" s="43">
        <f t="shared" si="11"/>
        <v>-0.34013437099999999</v>
      </c>
      <c r="R36" s="43">
        <f t="shared" si="12"/>
        <v>0.11569139033556564</v>
      </c>
    </row>
    <row r="37" spans="1:18" x14ac:dyDescent="0.3">
      <c r="A37" s="47">
        <v>38019</v>
      </c>
      <c r="B37" s="48">
        <v>0</v>
      </c>
      <c r="C37" s="49">
        <v>1.8499999999999999E-2</v>
      </c>
      <c r="D37" s="10">
        <f t="shared" si="0"/>
        <v>-0.38980777739764078</v>
      </c>
      <c r="E37" s="10">
        <f t="shared" si="1"/>
        <v>-0.50885136612021831</v>
      </c>
      <c r="F37" s="10">
        <f t="shared" si="13"/>
        <v>0.15195010331968867</v>
      </c>
      <c r="G37" s="10">
        <f t="shared" si="13"/>
        <v>0.25892971280241245</v>
      </c>
      <c r="H37" s="11">
        <f t="shared" si="3"/>
        <v>0.19835422005307546</v>
      </c>
      <c r="I37" s="12">
        <f t="shared" si="4"/>
        <v>1.8499999999999999E-2</v>
      </c>
      <c r="J37" s="28">
        <f t="shared" si="5"/>
        <v>3.4224999999999994E-4</v>
      </c>
      <c r="K37" s="30">
        <f t="shared" si="6"/>
        <v>1.8499999999999999E-2</v>
      </c>
      <c r="L37" s="5"/>
      <c r="M37" s="30">
        <f t="shared" si="7"/>
        <v>-1.8499999999999999E-2</v>
      </c>
      <c r="N37" s="42">
        <f t="shared" si="8"/>
        <v>-1.8499999999999999E-2</v>
      </c>
      <c r="O37" s="43">
        <f t="shared" si="9"/>
        <v>3.4224999999999994E-4</v>
      </c>
      <c r="P37" s="43">
        <f t="shared" si="10"/>
        <v>-0.34013437099999999</v>
      </c>
      <c r="Q37" s="43">
        <f t="shared" si="11"/>
        <v>-0.34013437099999999</v>
      </c>
      <c r="R37" s="43">
        <f t="shared" si="12"/>
        <v>0.11569139033556564</v>
      </c>
    </row>
    <row r="38" spans="1:18" x14ac:dyDescent="0.3">
      <c r="A38" s="47">
        <v>38020</v>
      </c>
      <c r="B38" s="48">
        <v>0</v>
      </c>
      <c r="C38" s="49">
        <v>0.3508</v>
      </c>
      <c r="D38" s="10">
        <f t="shared" si="0"/>
        <v>-0.38980777739764078</v>
      </c>
      <c r="E38" s="10">
        <f t="shared" si="1"/>
        <v>-0.17655136612021827</v>
      </c>
      <c r="F38" s="10">
        <f t="shared" si="13"/>
        <v>0.15195010331968867</v>
      </c>
      <c r="G38" s="10">
        <f t="shared" si="13"/>
        <v>3.1170384878915356E-2</v>
      </c>
      <c r="H38" s="11">
        <f t="shared" si="3"/>
        <v>6.8821095623839423E-2</v>
      </c>
      <c r="I38" s="12">
        <f t="shared" si="4"/>
        <v>0.3508</v>
      </c>
      <c r="J38" s="28">
        <f t="shared" si="5"/>
        <v>0.12306064</v>
      </c>
      <c r="K38" s="30">
        <f t="shared" si="6"/>
        <v>0.3508</v>
      </c>
      <c r="L38" s="5"/>
      <c r="M38" s="30">
        <f t="shared" si="7"/>
        <v>-0.3508</v>
      </c>
      <c r="N38" s="42">
        <f t="shared" si="8"/>
        <v>-0.3508</v>
      </c>
      <c r="O38" s="43">
        <f t="shared" si="9"/>
        <v>0.12306064</v>
      </c>
      <c r="P38" s="43">
        <f t="shared" si="10"/>
        <v>-0.34013437099999999</v>
      </c>
      <c r="Q38" s="43">
        <f t="shared" si="11"/>
        <v>-0.34013437099999999</v>
      </c>
      <c r="R38" s="43">
        <f t="shared" si="12"/>
        <v>0.11569139033556564</v>
      </c>
    </row>
    <row r="39" spans="1:18" x14ac:dyDescent="0.3">
      <c r="A39" s="47">
        <v>38021</v>
      </c>
      <c r="B39" s="48">
        <v>10.30665397644043</v>
      </c>
      <c r="C39" s="49">
        <v>30.1707</v>
      </c>
      <c r="D39" s="10">
        <f t="shared" si="0"/>
        <v>9.916846199042789</v>
      </c>
      <c r="E39" s="10">
        <f t="shared" si="1"/>
        <v>29.643348633879782</v>
      </c>
      <c r="F39" s="10">
        <f t="shared" si="13"/>
        <v>98.343838535469416</v>
      </c>
      <c r="G39" s="10">
        <f t="shared" si="13"/>
        <v>878.72811822974234</v>
      </c>
      <c r="H39" s="11">
        <f t="shared" si="3"/>
        <v>293.96852922679096</v>
      </c>
      <c r="I39" s="12">
        <f t="shared" si="4"/>
        <v>19.86404602355957</v>
      </c>
      <c r="J39" s="28">
        <f t="shared" si="5"/>
        <v>394.58032442609277</v>
      </c>
      <c r="K39" s="30">
        <f t="shared" si="6"/>
        <v>19.86404602355957</v>
      </c>
      <c r="L39" s="5"/>
      <c r="M39" s="30">
        <f t="shared" si="7"/>
        <v>-19.86404602355957</v>
      </c>
      <c r="N39" s="42">
        <f t="shared" si="8"/>
        <v>-19.86404602355957</v>
      </c>
      <c r="O39" s="43">
        <f t="shared" si="9"/>
        <v>394.58032442609277</v>
      </c>
      <c r="P39" s="43">
        <f t="shared" si="10"/>
        <v>9.9665196054404301</v>
      </c>
      <c r="Q39" s="43">
        <f t="shared" si="11"/>
        <v>9.9665196054404301</v>
      </c>
      <c r="R39" s="43">
        <f t="shared" si="12"/>
        <v>99.331513045628469</v>
      </c>
    </row>
    <row r="40" spans="1:18" x14ac:dyDescent="0.3">
      <c r="A40" s="47">
        <v>38022</v>
      </c>
      <c r="B40" s="48">
        <v>5.659782886505127</v>
      </c>
      <c r="C40" s="49">
        <v>10.7967</v>
      </c>
      <c r="D40" s="10">
        <f t="shared" si="0"/>
        <v>5.2699751091074862</v>
      </c>
      <c r="E40" s="10">
        <f t="shared" si="1"/>
        <v>10.269348633879781</v>
      </c>
      <c r="F40" s="10">
        <f t="shared" si="13"/>
        <v>27.772637650612463</v>
      </c>
      <c r="G40" s="10">
        <f t="shared" si="13"/>
        <v>105.45952136416854</v>
      </c>
      <c r="H40" s="11">
        <f t="shared" si="3"/>
        <v>54.119211687293415</v>
      </c>
      <c r="I40" s="12">
        <f t="shared" si="4"/>
        <v>5.1369171134948726</v>
      </c>
      <c r="J40" s="28">
        <f t="shared" si="5"/>
        <v>26.387917430916495</v>
      </c>
      <c r="K40" s="30">
        <f t="shared" si="6"/>
        <v>5.1369171134948726</v>
      </c>
      <c r="L40" s="5"/>
      <c r="M40" s="30">
        <f t="shared" si="7"/>
        <v>-5.1369171134948726</v>
      </c>
      <c r="N40" s="42">
        <f t="shared" si="8"/>
        <v>-5.1369171134948726</v>
      </c>
      <c r="O40" s="43">
        <f t="shared" si="9"/>
        <v>26.387917430916495</v>
      </c>
      <c r="P40" s="43">
        <f t="shared" si="10"/>
        <v>5.3196485155051274</v>
      </c>
      <c r="Q40" s="43">
        <f t="shared" si="11"/>
        <v>5.3196485155051274</v>
      </c>
      <c r="R40" s="43">
        <f t="shared" si="12"/>
        <v>28.298660328515904</v>
      </c>
    </row>
    <row r="41" spans="1:18" x14ac:dyDescent="0.3">
      <c r="A41" s="47">
        <v>38023</v>
      </c>
      <c r="B41" s="48">
        <v>0</v>
      </c>
      <c r="C41" s="49">
        <v>0.31259999999999999</v>
      </c>
      <c r="D41" s="10">
        <f t="shared" si="0"/>
        <v>-0.38980777739764078</v>
      </c>
      <c r="E41" s="10">
        <f t="shared" si="1"/>
        <v>-0.21475136612021828</v>
      </c>
      <c r="F41" s="10">
        <f t="shared" si="13"/>
        <v>0.15195010331968867</v>
      </c>
      <c r="G41" s="10">
        <f t="shared" si="13"/>
        <v>4.6118149250500035E-2</v>
      </c>
      <c r="H41" s="11">
        <f t="shared" si="3"/>
        <v>8.37117527204293E-2</v>
      </c>
      <c r="I41" s="12">
        <f t="shared" si="4"/>
        <v>0.31259999999999999</v>
      </c>
      <c r="J41" s="28">
        <f t="shared" si="5"/>
        <v>9.7718759999999988E-2</v>
      </c>
      <c r="K41" s="30">
        <f t="shared" si="6"/>
        <v>0.31259999999999999</v>
      </c>
      <c r="L41" s="5"/>
      <c r="M41" s="30">
        <f t="shared" si="7"/>
        <v>-0.31259999999999999</v>
      </c>
      <c r="N41" s="42">
        <f t="shared" si="8"/>
        <v>-0.31259999999999999</v>
      </c>
      <c r="O41" s="43">
        <f t="shared" si="9"/>
        <v>9.7718759999999988E-2</v>
      </c>
      <c r="P41" s="43">
        <f t="shared" si="10"/>
        <v>-0.34013437099999999</v>
      </c>
      <c r="Q41" s="43">
        <f t="shared" si="11"/>
        <v>-0.34013437099999999</v>
      </c>
      <c r="R41" s="43">
        <f t="shared" si="12"/>
        <v>0.11569139033556564</v>
      </c>
    </row>
    <row r="42" spans="1:18" x14ac:dyDescent="0.3">
      <c r="A42" s="47">
        <v>38024</v>
      </c>
      <c r="B42" s="48">
        <v>0</v>
      </c>
      <c r="C42" s="49">
        <v>1.6999999999999999E-3</v>
      </c>
      <c r="D42" s="10">
        <f t="shared" si="0"/>
        <v>-0.38980777739764078</v>
      </c>
      <c r="E42" s="10">
        <f t="shared" si="1"/>
        <v>-0.52565136612021823</v>
      </c>
      <c r="F42" s="10">
        <f t="shared" si="13"/>
        <v>0.15195010331968867</v>
      </c>
      <c r="G42" s="10">
        <f t="shared" si="13"/>
        <v>0.27630935870405171</v>
      </c>
      <c r="H42" s="11">
        <f t="shared" si="3"/>
        <v>0.2049029907133558</v>
      </c>
      <c r="I42" s="12">
        <f t="shared" si="4"/>
        <v>1.6999999999999999E-3</v>
      </c>
      <c r="J42" s="28">
        <f t="shared" si="5"/>
        <v>2.8899999999999999E-6</v>
      </c>
      <c r="K42" s="30">
        <f t="shared" si="6"/>
        <v>1.6999999999999999E-3</v>
      </c>
      <c r="L42" s="5"/>
      <c r="M42" s="30">
        <f t="shared" si="7"/>
        <v>-1.6999999999999999E-3</v>
      </c>
      <c r="N42" s="42">
        <f t="shared" si="8"/>
        <v>-1.6999999999999999E-3</v>
      </c>
      <c r="O42" s="43">
        <f t="shared" si="9"/>
        <v>2.8899999999999999E-6</v>
      </c>
      <c r="P42" s="43">
        <f t="shared" si="10"/>
        <v>-0.34013437099999999</v>
      </c>
      <c r="Q42" s="43">
        <f t="shared" si="11"/>
        <v>-0.34013437099999999</v>
      </c>
      <c r="R42" s="43">
        <f t="shared" si="12"/>
        <v>0.11569139033556564</v>
      </c>
    </row>
    <row r="43" spans="1:18" x14ac:dyDescent="0.3">
      <c r="A43" s="47">
        <v>38025</v>
      </c>
      <c r="B43" s="48">
        <v>0</v>
      </c>
      <c r="C43" s="49">
        <v>2.5899999999999999E-2</v>
      </c>
      <c r="D43" s="10">
        <f t="shared" si="0"/>
        <v>-0.38980777739764078</v>
      </c>
      <c r="E43" s="10">
        <f t="shared" si="1"/>
        <v>-0.50145136612021823</v>
      </c>
      <c r="F43" s="10">
        <f t="shared" si="13"/>
        <v>0.15195010331968867</v>
      </c>
      <c r="G43" s="10">
        <f t="shared" si="13"/>
        <v>0.25145347258383316</v>
      </c>
      <c r="H43" s="11">
        <f t="shared" si="3"/>
        <v>0.19546964250033289</v>
      </c>
      <c r="I43" s="12">
        <f t="shared" si="4"/>
        <v>2.5899999999999999E-2</v>
      </c>
      <c r="J43" s="28">
        <f t="shared" si="5"/>
        <v>6.7080999999999998E-4</v>
      </c>
      <c r="K43" s="30">
        <f t="shared" si="6"/>
        <v>2.5899999999999999E-2</v>
      </c>
      <c r="L43" s="5"/>
      <c r="M43" s="30">
        <f t="shared" si="7"/>
        <v>-2.5899999999999999E-2</v>
      </c>
      <c r="N43" s="42">
        <f t="shared" si="8"/>
        <v>-2.5899999999999999E-2</v>
      </c>
      <c r="O43" s="43">
        <f t="shared" si="9"/>
        <v>6.7080999999999998E-4</v>
      </c>
      <c r="P43" s="43">
        <f t="shared" si="10"/>
        <v>-0.34013437099999999</v>
      </c>
      <c r="Q43" s="43">
        <f t="shared" si="11"/>
        <v>-0.34013437099999999</v>
      </c>
      <c r="R43" s="43">
        <f t="shared" si="12"/>
        <v>0.11569139033556564</v>
      </c>
    </row>
    <row r="44" spans="1:18" x14ac:dyDescent="0.3">
      <c r="A44" s="47">
        <v>38026</v>
      </c>
      <c r="B44" s="48">
        <v>0</v>
      </c>
      <c r="C44" s="49">
        <v>1.06E-2</v>
      </c>
      <c r="D44" s="10">
        <f t="shared" si="0"/>
        <v>-0.38980777739764078</v>
      </c>
      <c r="E44" s="10">
        <f t="shared" si="1"/>
        <v>-0.51675136612021821</v>
      </c>
      <c r="F44" s="10">
        <f t="shared" si="13"/>
        <v>0.15195010331968867</v>
      </c>
      <c r="G44" s="10">
        <f t="shared" si="13"/>
        <v>0.26703197438711179</v>
      </c>
      <c r="H44" s="11">
        <f t="shared" si="3"/>
        <v>0.20143370149451678</v>
      </c>
      <c r="I44" s="12">
        <f t="shared" si="4"/>
        <v>1.06E-2</v>
      </c>
      <c r="J44" s="28">
        <f t="shared" si="5"/>
        <v>1.1236E-4</v>
      </c>
      <c r="K44" s="30">
        <f t="shared" si="6"/>
        <v>1.06E-2</v>
      </c>
      <c r="L44" s="5"/>
      <c r="M44" s="30">
        <f t="shared" si="7"/>
        <v>-1.06E-2</v>
      </c>
      <c r="N44" s="42">
        <f t="shared" si="8"/>
        <v>-1.06E-2</v>
      </c>
      <c r="O44" s="43">
        <f t="shared" si="9"/>
        <v>1.1236E-4</v>
      </c>
      <c r="P44" s="43">
        <f t="shared" si="10"/>
        <v>-0.34013437099999999</v>
      </c>
      <c r="Q44" s="43">
        <f t="shared" si="11"/>
        <v>-0.34013437099999999</v>
      </c>
      <c r="R44" s="43">
        <f t="shared" si="12"/>
        <v>0.11569139033556564</v>
      </c>
    </row>
    <row r="45" spans="1:18" x14ac:dyDescent="0.3">
      <c r="A45" s="47">
        <v>38027</v>
      </c>
      <c r="B45" s="48">
        <v>9.1667555272579193E-2</v>
      </c>
      <c r="C45" s="49">
        <v>0.13420000000000001</v>
      </c>
      <c r="D45" s="10">
        <f t="shared" si="0"/>
        <v>-0.29814022212506158</v>
      </c>
      <c r="E45" s="10">
        <f t="shared" si="1"/>
        <v>-0.39315136612021828</v>
      </c>
      <c r="F45" s="10">
        <f t="shared" si="13"/>
        <v>8.8887592048781064E-2</v>
      </c>
      <c r="G45" s="10">
        <f t="shared" si="13"/>
        <v>0.15456799668219393</v>
      </c>
      <c r="H45" s="11">
        <f t="shared" si="3"/>
        <v>0.11721423562385329</v>
      </c>
      <c r="I45" s="12">
        <f t="shared" si="4"/>
        <v>4.2532444727420821E-2</v>
      </c>
      <c r="J45" s="28">
        <f t="shared" si="5"/>
        <v>1.8090088544911072E-3</v>
      </c>
      <c r="K45" s="30">
        <f t="shared" si="6"/>
        <v>4.2532444727420821E-2</v>
      </c>
      <c r="L45" s="5"/>
      <c r="M45" s="30">
        <f t="shared" si="7"/>
        <v>-4.2532444727420821E-2</v>
      </c>
      <c r="N45" s="42">
        <f t="shared" si="8"/>
        <v>-4.2532444727420821E-2</v>
      </c>
      <c r="O45" s="43">
        <f t="shared" si="9"/>
        <v>1.8090088544911072E-3</v>
      </c>
      <c r="P45" s="43">
        <f t="shared" si="10"/>
        <v>-0.2484668157274208</v>
      </c>
      <c r="Q45" s="43">
        <f t="shared" si="11"/>
        <v>-0.2484668157274208</v>
      </c>
      <c r="R45" s="43">
        <f t="shared" si="12"/>
        <v>6.1735758517724081E-2</v>
      </c>
    </row>
    <row r="46" spans="1:18" x14ac:dyDescent="0.3">
      <c r="A46" s="47">
        <v>38028</v>
      </c>
      <c r="B46" s="48">
        <v>0</v>
      </c>
      <c r="C46" s="49">
        <v>0.41260000000000002</v>
      </c>
      <c r="D46" s="10">
        <f t="shared" si="0"/>
        <v>-0.38980777739764078</v>
      </c>
      <c r="E46" s="10">
        <f t="shared" si="1"/>
        <v>-0.11475136612021825</v>
      </c>
      <c r="F46" s="10">
        <f t="shared" si="13"/>
        <v>0.15195010331968867</v>
      </c>
      <c r="G46" s="10">
        <f t="shared" si="13"/>
        <v>1.3167876026456372E-2</v>
      </c>
      <c r="H46" s="11">
        <f t="shared" si="3"/>
        <v>4.4730974980665208E-2</v>
      </c>
      <c r="I46" s="12">
        <f t="shared" si="4"/>
        <v>0.41260000000000002</v>
      </c>
      <c r="J46" s="28">
        <f t="shared" si="5"/>
        <v>0.17023876000000002</v>
      </c>
      <c r="K46" s="30">
        <f t="shared" si="6"/>
        <v>0.41260000000000002</v>
      </c>
      <c r="L46" s="5"/>
      <c r="M46" s="30">
        <f t="shared" si="7"/>
        <v>-0.41260000000000002</v>
      </c>
      <c r="N46" s="42">
        <f t="shared" si="8"/>
        <v>-0.41260000000000002</v>
      </c>
      <c r="O46" s="43">
        <f t="shared" si="9"/>
        <v>0.17023876000000002</v>
      </c>
      <c r="P46" s="43">
        <f t="shared" si="10"/>
        <v>-0.34013437099999999</v>
      </c>
      <c r="Q46" s="43">
        <f t="shared" si="11"/>
        <v>-0.34013437099999999</v>
      </c>
      <c r="R46" s="43">
        <f t="shared" si="12"/>
        <v>0.11569139033556564</v>
      </c>
    </row>
    <row r="47" spans="1:18" x14ac:dyDescent="0.3">
      <c r="A47" s="47">
        <v>38029</v>
      </c>
      <c r="B47" s="48">
        <v>0</v>
      </c>
      <c r="C47" s="49">
        <v>0</v>
      </c>
      <c r="D47" s="10">
        <f t="shared" si="0"/>
        <v>-0.38980777739764078</v>
      </c>
      <c r="E47" s="10">
        <f t="shared" si="1"/>
        <v>-0.52735136612021827</v>
      </c>
      <c r="F47" s="10">
        <f t="shared" si="13"/>
        <v>0.15195010331968867</v>
      </c>
      <c r="G47" s="10">
        <f t="shared" si="13"/>
        <v>0.27809946334886049</v>
      </c>
      <c r="H47" s="11">
        <f t="shared" si="3"/>
        <v>0.20556566393493181</v>
      </c>
      <c r="I47" s="12">
        <f t="shared" si="4"/>
        <v>0</v>
      </c>
      <c r="J47" s="28">
        <f t="shared" si="5"/>
        <v>0</v>
      </c>
      <c r="K47" s="30">
        <f t="shared" si="6"/>
        <v>0</v>
      </c>
      <c r="L47" s="5"/>
      <c r="M47" s="30">
        <f t="shared" si="7"/>
        <v>0</v>
      </c>
      <c r="N47" s="42">
        <f t="shared" si="8"/>
        <v>0</v>
      </c>
      <c r="O47" s="43">
        <f t="shared" si="9"/>
        <v>0</v>
      </c>
      <c r="P47" s="43">
        <f t="shared" si="10"/>
        <v>-0.34013437099999999</v>
      </c>
      <c r="Q47" s="43">
        <f t="shared" si="11"/>
        <v>-0.34013437099999999</v>
      </c>
      <c r="R47" s="43">
        <f t="shared" si="12"/>
        <v>0.11569139033556564</v>
      </c>
    </row>
    <row r="48" spans="1:18" x14ac:dyDescent="0.3">
      <c r="A48" s="47">
        <v>38030</v>
      </c>
      <c r="B48" s="48">
        <v>7.5338869094848633</v>
      </c>
      <c r="C48" s="49">
        <v>3.6191</v>
      </c>
      <c r="D48" s="10">
        <f t="shared" si="0"/>
        <v>7.1440791320872226</v>
      </c>
      <c r="E48" s="10">
        <f t="shared" si="1"/>
        <v>3.0917486338797815</v>
      </c>
      <c r="F48" s="10">
        <f t="shared" si="13"/>
        <v>51.037866645524126</v>
      </c>
      <c r="G48" s="10">
        <f t="shared" si="13"/>
        <v>9.5589096150974946</v>
      </c>
      <c r="H48" s="11">
        <f t="shared" si="3"/>
        <v>22.087696896959727</v>
      </c>
      <c r="I48" s="12">
        <f t="shared" si="4"/>
        <v>3.9147869094848633</v>
      </c>
      <c r="J48" s="28">
        <f t="shared" si="5"/>
        <v>15.325556546674047</v>
      </c>
      <c r="K48" s="30">
        <f t="shared" si="6"/>
        <v>-3.9147869094848633</v>
      </c>
      <c r="L48" s="5"/>
      <c r="M48" s="30">
        <f t="shared" si="7"/>
        <v>3.9147869094848633</v>
      </c>
      <c r="N48" s="42">
        <f t="shared" si="8"/>
        <v>3.9147869094848633</v>
      </c>
      <c r="O48" s="43">
        <f t="shared" si="9"/>
        <v>15.325556546674047</v>
      </c>
      <c r="P48" s="43">
        <f t="shared" si="10"/>
        <v>7.1937525384848637</v>
      </c>
      <c r="Q48" s="43">
        <f t="shared" si="11"/>
        <v>7.1937525384848637</v>
      </c>
      <c r="R48" s="43">
        <f t="shared" si="12"/>
        <v>51.750075584957422</v>
      </c>
    </row>
    <row r="49" spans="1:18" x14ac:dyDescent="0.3">
      <c r="A49" s="47">
        <v>38031</v>
      </c>
      <c r="B49" s="48">
        <v>11.905324935913086</v>
      </c>
      <c r="C49" s="49">
        <v>13.269399999999999</v>
      </c>
      <c r="D49" s="10">
        <f t="shared" si="0"/>
        <v>11.515517158515445</v>
      </c>
      <c r="E49" s="10">
        <f t="shared" si="1"/>
        <v>12.742048633879781</v>
      </c>
      <c r="F49" s="10">
        <f t="shared" si="13"/>
        <v>132.60713542806363</v>
      </c>
      <c r="G49" s="10">
        <f t="shared" si="13"/>
        <v>162.35980338815759</v>
      </c>
      <c r="H49" s="11">
        <f t="shared" si="3"/>
        <v>146.73127967808091</v>
      </c>
      <c r="I49" s="12">
        <f t="shared" si="4"/>
        <v>1.3640750640869133</v>
      </c>
      <c r="J49" s="28">
        <f t="shared" si="5"/>
        <v>1.8607007804637166</v>
      </c>
      <c r="K49" s="30">
        <f t="shared" si="6"/>
        <v>1.3640750640869133</v>
      </c>
      <c r="L49" s="5"/>
      <c r="M49" s="30">
        <f t="shared" si="7"/>
        <v>-1.3640750640869133</v>
      </c>
      <c r="N49" s="42">
        <f t="shared" si="8"/>
        <v>-1.3640750640869133</v>
      </c>
      <c r="O49" s="43">
        <f t="shared" si="9"/>
        <v>1.8607007804637166</v>
      </c>
      <c r="P49" s="43">
        <f t="shared" si="10"/>
        <v>11.565190564913086</v>
      </c>
      <c r="Q49" s="43">
        <f t="shared" si="11"/>
        <v>11.565190564913086</v>
      </c>
      <c r="R49" s="43">
        <f t="shared" si="12"/>
        <v>133.75363280275468</v>
      </c>
    </row>
    <row r="50" spans="1:18" x14ac:dyDescent="0.3">
      <c r="A50" s="47">
        <v>38032</v>
      </c>
      <c r="B50" s="48">
        <v>0.39036214351654053</v>
      </c>
      <c r="C50" s="49">
        <v>3.3631000000000002</v>
      </c>
      <c r="D50" s="10">
        <f t="shared" si="0"/>
        <v>5.5436611889975174E-4</v>
      </c>
      <c r="E50" s="10">
        <f t="shared" si="1"/>
        <v>2.8357486338797822</v>
      </c>
      <c r="F50" s="10">
        <f t="shared" si="13"/>
        <v>3.0732179378397369E-7</v>
      </c>
      <c r="G50" s="10">
        <f t="shared" si="13"/>
        <v>8.0414703145510504</v>
      </c>
      <c r="H50" s="11">
        <f t="shared" si="3"/>
        <v>1.5720429643392079E-3</v>
      </c>
      <c r="I50" s="12">
        <f t="shared" si="4"/>
        <v>2.9727378564834597</v>
      </c>
      <c r="J50" s="28">
        <f t="shared" si="5"/>
        <v>8.837170363369875</v>
      </c>
      <c r="K50" s="30">
        <f t="shared" si="6"/>
        <v>2.9727378564834597</v>
      </c>
      <c r="L50" s="5"/>
      <c r="M50" s="30">
        <f t="shared" si="7"/>
        <v>-2.9727378564834597</v>
      </c>
      <c r="N50" s="42">
        <f t="shared" si="8"/>
        <v>-2.9727378564834597</v>
      </c>
      <c r="O50" s="43">
        <f t="shared" si="9"/>
        <v>8.837170363369875</v>
      </c>
      <c r="P50" s="43">
        <f t="shared" si="10"/>
        <v>5.0227772516540536E-2</v>
      </c>
      <c r="Q50" s="43">
        <f t="shared" si="11"/>
        <v>5.0227772516540536E-2</v>
      </c>
      <c r="R50" s="43">
        <f t="shared" si="12"/>
        <v>2.5228291319733449E-3</v>
      </c>
    </row>
    <row r="51" spans="1:18" x14ac:dyDescent="0.3">
      <c r="A51" s="47">
        <v>38033</v>
      </c>
      <c r="B51" s="48">
        <v>0</v>
      </c>
      <c r="C51" s="49">
        <v>7.4000000000000003E-3</v>
      </c>
      <c r="D51" s="10">
        <f t="shared" si="0"/>
        <v>-0.38980777739764078</v>
      </c>
      <c r="E51" s="10">
        <f t="shared" si="1"/>
        <v>-0.51995136612021831</v>
      </c>
      <c r="F51" s="10">
        <f t="shared" si="13"/>
        <v>0.15195010331968867</v>
      </c>
      <c r="G51" s="10">
        <f t="shared" si="13"/>
        <v>0.27034942313028132</v>
      </c>
      <c r="H51" s="11">
        <f t="shared" si="3"/>
        <v>0.20268108638218929</v>
      </c>
      <c r="I51" s="12">
        <f t="shared" si="4"/>
        <v>7.4000000000000003E-3</v>
      </c>
      <c r="J51" s="28">
        <f t="shared" si="5"/>
        <v>5.4760000000000004E-5</v>
      </c>
      <c r="K51" s="30">
        <f t="shared" si="6"/>
        <v>7.4000000000000003E-3</v>
      </c>
      <c r="L51" s="5"/>
      <c r="M51" s="30">
        <f t="shared" si="7"/>
        <v>-7.4000000000000003E-3</v>
      </c>
      <c r="N51" s="42">
        <f t="shared" si="8"/>
        <v>-7.4000000000000003E-3</v>
      </c>
      <c r="O51" s="43">
        <f t="shared" si="9"/>
        <v>5.4760000000000004E-5</v>
      </c>
      <c r="P51" s="43">
        <f t="shared" si="10"/>
        <v>-0.34013437099999999</v>
      </c>
      <c r="Q51" s="43">
        <f t="shared" si="11"/>
        <v>-0.34013437099999999</v>
      </c>
      <c r="R51" s="43">
        <f t="shared" si="12"/>
        <v>0.11569139033556564</v>
      </c>
    </row>
    <row r="52" spans="1:18" x14ac:dyDescent="0.3">
      <c r="A52" s="47">
        <v>38034</v>
      </c>
      <c r="B52" s="48">
        <v>0</v>
      </c>
      <c r="C52" s="49">
        <v>1.3299999999999999E-2</v>
      </c>
      <c r="D52" s="10">
        <f t="shared" si="0"/>
        <v>-0.38980777739764078</v>
      </c>
      <c r="E52" s="10">
        <f t="shared" si="1"/>
        <v>-0.51405136612021829</v>
      </c>
      <c r="F52" s="10">
        <f t="shared" si="13"/>
        <v>0.15195010331968867</v>
      </c>
      <c r="G52" s="10">
        <f t="shared" si="13"/>
        <v>0.2642488070100627</v>
      </c>
      <c r="H52" s="11">
        <f t="shared" si="3"/>
        <v>0.20038122049554319</v>
      </c>
      <c r="I52" s="12">
        <f t="shared" si="4"/>
        <v>1.3299999999999999E-2</v>
      </c>
      <c r="J52" s="28">
        <f t="shared" si="5"/>
        <v>1.7689E-4</v>
      </c>
      <c r="K52" s="30">
        <f t="shared" si="6"/>
        <v>1.3299999999999999E-2</v>
      </c>
      <c r="L52" s="5"/>
      <c r="M52" s="30">
        <f t="shared" si="7"/>
        <v>-1.3299999999999999E-2</v>
      </c>
      <c r="N52" s="42">
        <f t="shared" si="8"/>
        <v>-1.3299999999999999E-2</v>
      </c>
      <c r="O52" s="43">
        <f t="shared" si="9"/>
        <v>1.7689E-4</v>
      </c>
      <c r="P52" s="43">
        <f t="shared" si="10"/>
        <v>-0.34013437099999999</v>
      </c>
      <c r="Q52" s="43">
        <f t="shared" si="11"/>
        <v>-0.34013437099999999</v>
      </c>
      <c r="R52" s="43">
        <f t="shared" si="12"/>
        <v>0.11569139033556564</v>
      </c>
    </row>
    <row r="53" spans="1:18" x14ac:dyDescent="0.3">
      <c r="A53" s="47">
        <v>38035</v>
      </c>
      <c r="B53" s="48">
        <v>0.78885006904602051</v>
      </c>
      <c r="C53" s="49">
        <v>0.67310000000000003</v>
      </c>
      <c r="D53" s="10">
        <f t="shared" si="0"/>
        <v>0.39904229164837973</v>
      </c>
      <c r="E53" s="10">
        <f t="shared" si="1"/>
        <v>0.14574863387978176</v>
      </c>
      <c r="F53" s="10">
        <f t="shared" si="13"/>
        <v>0.15923475052399055</v>
      </c>
      <c r="G53" s="10">
        <f t="shared" si="13"/>
        <v>2.1242664277822669E-2</v>
      </c>
      <c r="H53" s="11">
        <f t="shared" si="3"/>
        <v>5.8159868868008793E-2</v>
      </c>
      <c r="I53" s="12">
        <f t="shared" si="4"/>
        <v>0.11575006904602048</v>
      </c>
      <c r="J53" s="28">
        <f t="shared" si="5"/>
        <v>1.3398078484158507E-2</v>
      </c>
      <c r="K53" s="30">
        <f t="shared" si="6"/>
        <v>-0.11575006904602048</v>
      </c>
      <c r="L53" s="5"/>
      <c r="M53" s="30">
        <f t="shared" si="7"/>
        <v>0.11575006904602048</v>
      </c>
      <c r="N53" s="42">
        <f t="shared" si="8"/>
        <v>0.11575006904602048</v>
      </c>
      <c r="O53" s="43">
        <f t="shared" si="9"/>
        <v>1.3398078484158507E-2</v>
      </c>
      <c r="P53" s="43">
        <f t="shared" si="10"/>
        <v>0.44871569804602052</v>
      </c>
      <c r="Q53" s="43">
        <f t="shared" si="11"/>
        <v>0.44871569804602052</v>
      </c>
      <c r="R53" s="43">
        <f t="shared" si="12"/>
        <v>0.20134577767292747</v>
      </c>
    </row>
    <row r="54" spans="1:18" x14ac:dyDescent="0.3">
      <c r="A54" s="47">
        <v>38036</v>
      </c>
      <c r="B54" s="48">
        <v>0.10435318946838379</v>
      </c>
      <c r="C54" s="49">
        <v>0.72829999999999995</v>
      </c>
      <c r="D54" s="10">
        <f t="shared" si="0"/>
        <v>-0.28545458792925699</v>
      </c>
      <c r="E54" s="10">
        <f t="shared" si="1"/>
        <v>0.20094863387978168</v>
      </c>
      <c r="F54" s="10">
        <f t="shared" si="13"/>
        <v>8.1484321769861909E-2</v>
      </c>
      <c r="G54" s="10">
        <f t="shared" si="13"/>
        <v>4.0380353458150539E-2</v>
      </c>
      <c r="H54" s="11">
        <f t="shared" si="3"/>
        <v>-5.7361709479100208E-2</v>
      </c>
      <c r="I54" s="12">
        <f t="shared" si="4"/>
        <v>0.62394681053161616</v>
      </c>
      <c r="J54" s="28">
        <f t="shared" si="5"/>
        <v>0.38930962237257649</v>
      </c>
      <c r="K54" s="30">
        <f t="shared" si="6"/>
        <v>0.62394681053161616</v>
      </c>
      <c r="L54" s="5"/>
      <c r="M54" s="30">
        <f t="shared" si="7"/>
        <v>-0.62394681053161616</v>
      </c>
      <c r="N54" s="42">
        <f t="shared" si="8"/>
        <v>-0.62394681053161616</v>
      </c>
      <c r="O54" s="43">
        <f t="shared" si="9"/>
        <v>0.38930962237257649</v>
      </c>
      <c r="P54" s="43">
        <f t="shared" si="10"/>
        <v>-0.2357811815316162</v>
      </c>
      <c r="Q54" s="43">
        <f t="shared" si="11"/>
        <v>-0.2357811815316162</v>
      </c>
      <c r="R54" s="43">
        <f t="shared" si="12"/>
        <v>5.5592765564444951E-2</v>
      </c>
    </row>
    <row r="55" spans="1:18" x14ac:dyDescent="0.3">
      <c r="A55" s="47">
        <v>38037</v>
      </c>
      <c r="B55" s="48">
        <v>0</v>
      </c>
      <c r="C55" s="49">
        <v>0</v>
      </c>
      <c r="D55" s="10">
        <f t="shared" si="0"/>
        <v>-0.38980777739764078</v>
      </c>
      <c r="E55" s="10">
        <f t="shared" si="1"/>
        <v>-0.52735136612021827</v>
      </c>
      <c r="F55" s="10">
        <f t="shared" si="13"/>
        <v>0.15195010331968867</v>
      </c>
      <c r="G55" s="10">
        <f t="shared" si="13"/>
        <v>0.27809946334886049</v>
      </c>
      <c r="H55" s="11">
        <f t="shared" si="3"/>
        <v>0.20556566393493181</v>
      </c>
      <c r="I55" s="12">
        <f t="shared" si="4"/>
        <v>0</v>
      </c>
      <c r="J55" s="28">
        <f t="shared" si="5"/>
        <v>0</v>
      </c>
      <c r="K55" s="30">
        <f t="shared" si="6"/>
        <v>0</v>
      </c>
      <c r="L55" s="5"/>
      <c r="M55" s="30">
        <f t="shared" si="7"/>
        <v>0</v>
      </c>
      <c r="N55" s="42">
        <f t="shared" si="8"/>
        <v>0</v>
      </c>
      <c r="O55" s="43">
        <f t="shared" si="9"/>
        <v>0</v>
      </c>
      <c r="P55" s="43">
        <f t="shared" si="10"/>
        <v>-0.34013437099999999</v>
      </c>
      <c r="Q55" s="43">
        <f t="shared" si="11"/>
        <v>-0.34013437099999999</v>
      </c>
      <c r="R55" s="43">
        <f t="shared" si="12"/>
        <v>0.11569139033556564</v>
      </c>
    </row>
    <row r="56" spans="1:18" x14ac:dyDescent="0.3">
      <c r="A56" s="47">
        <v>38038</v>
      </c>
      <c r="B56" s="48">
        <v>0</v>
      </c>
      <c r="C56" s="49">
        <v>0</v>
      </c>
      <c r="D56" s="10">
        <f t="shared" si="0"/>
        <v>-0.38980777739764078</v>
      </c>
      <c r="E56" s="10">
        <f t="shared" si="1"/>
        <v>-0.52735136612021827</v>
      </c>
      <c r="F56" s="10">
        <f t="shared" si="13"/>
        <v>0.15195010331968867</v>
      </c>
      <c r="G56" s="10">
        <f t="shared" si="13"/>
        <v>0.27809946334886049</v>
      </c>
      <c r="H56" s="11">
        <f t="shared" si="3"/>
        <v>0.20556566393493181</v>
      </c>
      <c r="I56" s="12">
        <f t="shared" si="4"/>
        <v>0</v>
      </c>
      <c r="J56" s="28">
        <f t="shared" si="5"/>
        <v>0</v>
      </c>
      <c r="K56" s="30">
        <f t="shared" si="6"/>
        <v>0</v>
      </c>
      <c r="L56" s="5"/>
      <c r="M56" s="30">
        <f t="shared" si="7"/>
        <v>0</v>
      </c>
      <c r="N56" s="42">
        <f t="shared" si="8"/>
        <v>0</v>
      </c>
      <c r="O56" s="43">
        <f t="shared" si="9"/>
        <v>0</v>
      </c>
      <c r="P56" s="43">
        <f t="shared" si="10"/>
        <v>-0.34013437099999999</v>
      </c>
      <c r="Q56" s="43">
        <f t="shared" si="11"/>
        <v>-0.34013437099999999</v>
      </c>
      <c r="R56" s="43">
        <f t="shared" si="12"/>
        <v>0.11569139033556564</v>
      </c>
    </row>
    <row r="57" spans="1:18" x14ac:dyDescent="0.3">
      <c r="A57" s="47">
        <v>38039</v>
      </c>
      <c r="B57" s="48">
        <v>0</v>
      </c>
      <c r="C57" s="49">
        <v>0</v>
      </c>
      <c r="D57" s="10">
        <f t="shared" si="0"/>
        <v>-0.38980777739764078</v>
      </c>
      <c r="E57" s="10">
        <f t="shared" si="1"/>
        <v>-0.52735136612021827</v>
      </c>
      <c r="F57" s="10">
        <f t="shared" si="13"/>
        <v>0.15195010331968867</v>
      </c>
      <c r="G57" s="10">
        <f t="shared" si="13"/>
        <v>0.27809946334886049</v>
      </c>
      <c r="H57" s="11">
        <f t="shared" si="3"/>
        <v>0.20556566393493181</v>
      </c>
      <c r="I57" s="12">
        <f t="shared" si="4"/>
        <v>0</v>
      </c>
      <c r="J57" s="28">
        <f t="shared" si="5"/>
        <v>0</v>
      </c>
      <c r="K57" s="30">
        <f t="shared" si="6"/>
        <v>0</v>
      </c>
      <c r="L57" s="5"/>
      <c r="M57" s="30">
        <f t="shared" si="7"/>
        <v>0</v>
      </c>
      <c r="N57" s="42">
        <f t="shared" si="8"/>
        <v>0</v>
      </c>
      <c r="O57" s="43">
        <f t="shared" si="9"/>
        <v>0</v>
      </c>
      <c r="P57" s="43">
        <f t="shared" si="10"/>
        <v>-0.34013437099999999</v>
      </c>
      <c r="Q57" s="43">
        <f t="shared" si="11"/>
        <v>-0.34013437099999999</v>
      </c>
      <c r="R57" s="43">
        <f t="shared" si="12"/>
        <v>0.11569139033556564</v>
      </c>
    </row>
    <row r="58" spans="1:18" x14ac:dyDescent="0.3">
      <c r="A58" s="47">
        <v>38040</v>
      </c>
      <c r="B58" s="48">
        <v>0</v>
      </c>
      <c r="C58" s="49">
        <v>0</v>
      </c>
      <c r="D58" s="10">
        <f t="shared" si="0"/>
        <v>-0.38980777739764078</v>
      </c>
      <c r="E58" s="10">
        <f t="shared" si="1"/>
        <v>-0.52735136612021827</v>
      </c>
      <c r="F58" s="10">
        <f t="shared" si="13"/>
        <v>0.15195010331968867</v>
      </c>
      <c r="G58" s="10">
        <f t="shared" si="13"/>
        <v>0.27809946334886049</v>
      </c>
      <c r="H58" s="11">
        <f t="shared" si="3"/>
        <v>0.20556566393493181</v>
      </c>
      <c r="I58" s="12">
        <f t="shared" si="4"/>
        <v>0</v>
      </c>
      <c r="J58" s="28">
        <f t="shared" si="5"/>
        <v>0</v>
      </c>
      <c r="K58" s="30">
        <f t="shared" si="6"/>
        <v>0</v>
      </c>
      <c r="L58" s="5"/>
      <c r="M58" s="30">
        <f t="shared" si="7"/>
        <v>0</v>
      </c>
      <c r="N58" s="42">
        <f t="shared" si="8"/>
        <v>0</v>
      </c>
      <c r="O58" s="43">
        <f t="shared" si="9"/>
        <v>0</v>
      </c>
      <c r="P58" s="43">
        <f t="shared" si="10"/>
        <v>-0.34013437099999999</v>
      </c>
      <c r="Q58" s="43">
        <f t="shared" si="11"/>
        <v>-0.34013437099999999</v>
      </c>
      <c r="R58" s="43">
        <f t="shared" si="12"/>
        <v>0.11569139033556564</v>
      </c>
    </row>
    <row r="59" spans="1:18" x14ac:dyDescent="0.3">
      <c r="A59" s="47">
        <v>38041</v>
      </c>
      <c r="B59" s="48">
        <v>0</v>
      </c>
      <c r="C59" s="49">
        <v>0</v>
      </c>
      <c r="D59" s="10">
        <f t="shared" si="0"/>
        <v>-0.38980777739764078</v>
      </c>
      <c r="E59" s="10">
        <f t="shared" si="1"/>
        <v>-0.52735136612021827</v>
      </c>
      <c r="F59" s="10">
        <f t="shared" si="13"/>
        <v>0.15195010331968867</v>
      </c>
      <c r="G59" s="10">
        <f t="shared" si="13"/>
        <v>0.27809946334886049</v>
      </c>
      <c r="H59" s="11">
        <f t="shared" si="3"/>
        <v>0.20556566393493181</v>
      </c>
      <c r="I59" s="12">
        <f t="shared" si="4"/>
        <v>0</v>
      </c>
      <c r="J59" s="28">
        <f t="shared" si="5"/>
        <v>0</v>
      </c>
      <c r="K59" s="30">
        <f t="shared" si="6"/>
        <v>0</v>
      </c>
      <c r="L59" s="5"/>
      <c r="M59" s="30">
        <f t="shared" si="7"/>
        <v>0</v>
      </c>
      <c r="N59" s="42">
        <f t="shared" si="8"/>
        <v>0</v>
      </c>
      <c r="O59" s="43">
        <f t="shared" si="9"/>
        <v>0</v>
      </c>
      <c r="P59" s="43">
        <f t="shared" si="10"/>
        <v>-0.34013437099999999</v>
      </c>
      <c r="Q59" s="43">
        <f t="shared" si="11"/>
        <v>-0.34013437099999999</v>
      </c>
      <c r="R59" s="43">
        <f t="shared" si="12"/>
        <v>0.11569139033556564</v>
      </c>
    </row>
    <row r="60" spans="1:18" x14ac:dyDescent="0.3">
      <c r="A60" s="47">
        <v>38042</v>
      </c>
      <c r="B60" s="48">
        <v>0</v>
      </c>
      <c r="C60" s="49">
        <v>0</v>
      </c>
      <c r="D60" s="10">
        <f t="shared" si="0"/>
        <v>-0.38980777739764078</v>
      </c>
      <c r="E60" s="10">
        <f t="shared" si="1"/>
        <v>-0.52735136612021827</v>
      </c>
      <c r="F60" s="10">
        <f t="shared" si="13"/>
        <v>0.15195010331968867</v>
      </c>
      <c r="G60" s="10">
        <f t="shared" si="13"/>
        <v>0.27809946334886049</v>
      </c>
      <c r="H60" s="11">
        <f t="shared" si="3"/>
        <v>0.20556566393493181</v>
      </c>
      <c r="I60" s="12">
        <f t="shared" si="4"/>
        <v>0</v>
      </c>
      <c r="J60" s="28">
        <f t="shared" si="5"/>
        <v>0</v>
      </c>
      <c r="K60" s="30">
        <f t="shared" si="6"/>
        <v>0</v>
      </c>
      <c r="L60" s="5"/>
      <c r="M60" s="30">
        <f t="shared" si="7"/>
        <v>0</v>
      </c>
      <c r="N60" s="42">
        <f t="shared" si="8"/>
        <v>0</v>
      </c>
      <c r="O60" s="43">
        <f t="shared" si="9"/>
        <v>0</v>
      </c>
      <c r="P60" s="43">
        <f t="shared" si="10"/>
        <v>-0.34013437099999999</v>
      </c>
      <c r="Q60" s="43">
        <f t="shared" si="11"/>
        <v>-0.34013437099999999</v>
      </c>
      <c r="R60" s="43">
        <f t="shared" si="12"/>
        <v>0.11569139033556564</v>
      </c>
    </row>
    <row r="61" spans="1:18" x14ac:dyDescent="0.3">
      <c r="A61" s="47">
        <v>38043</v>
      </c>
      <c r="B61" s="48">
        <v>0</v>
      </c>
      <c r="C61" s="49">
        <v>0</v>
      </c>
      <c r="D61" s="10">
        <f t="shared" si="0"/>
        <v>-0.38980777739764078</v>
      </c>
      <c r="E61" s="10">
        <f t="shared" si="1"/>
        <v>-0.52735136612021827</v>
      </c>
      <c r="F61" s="10">
        <f t="shared" si="13"/>
        <v>0.15195010331968867</v>
      </c>
      <c r="G61" s="10">
        <f t="shared" si="13"/>
        <v>0.27809946334886049</v>
      </c>
      <c r="H61" s="11">
        <f t="shared" si="3"/>
        <v>0.20556566393493181</v>
      </c>
      <c r="I61" s="12">
        <f t="shared" si="4"/>
        <v>0</v>
      </c>
      <c r="J61" s="28">
        <f t="shared" si="5"/>
        <v>0</v>
      </c>
      <c r="K61" s="30">
        <f t="shared" si="6"/>
        <v>0</v>
      </c>
      <c r="L61" s="5"/>
      <c r="M61" s="30">
        <f t="shared" si="7"/>
        <v>0</v>
      </c>
      <c r="N61" s="42">
        <f t="shared" si="8"/>
        <v>0</v>
      </c>
      <c r="O61" s="43">
        <f t="shared" si="9"/>
        <v>0</v>
      </c>
      <c r="P61" s="43">
        <f t="shared" si="10"/>
        <v>-0.34013437099999999</v>
      </c>
      <c r="Q61" s="43">
        <f t="shared" si="11"/>
        <v>-0.34013437099999999</v>
      </c>
      <c r="R61" s="43">
        <f t="shared" si="12"/>
        <v>0.11569139033556564</v>
      </c>
    </row>
    <row r="62" spans="1:18" x14ac:dyDescent="0.3">
      <c r="A62" s="47">
        <v>38044</v>
      </c>
      <c r="B62" s="48">
        <v>0</v>
      </c>
      <c r="C62" s="49">
        <v>0</v>
      </c>
      <c r="D62" s="10">
        <f t="shared" si="0"/>
        <v>-0.38980777739764078</v>
      </c>
      <c r="E62" s="10">
        <f t="shared" si="1"/>
        <v>-0.52735136612021827</v>
      </c>
      <c r="F62" s="10">
        <f t="shared" si="13"/>
        <v>0.15195010331968867</v>
      </c>
      <c r="G62" s="10">
        <f t="shared" si="13"/>
        <v>0.27809946334886049</v>
      </c>
      <c r="H62" s="11">
        <f t="shared" si="3"/>
        <v>0.20556566393493181</v>
      </c>
      <c r="I62" s="12">
        <f t="shared" si="4"/>
        <v>0</v>
      </c>
      <c r="J62" s="28">
        <f t="shared" si="5"/>
        <v>0</v>
      </c>
      <c r="K62" s="30">
        <f t="shared" si="6"/>
        <v>0</v>
      </c>
      <c r="L62" s="5"/>
      <c r="M62" s="30">
        <f t="shared" si="7"/>
        <v>0</v>
      </c>
      <c r="N62" s="42">
        <f t="shared" si="8"/>
        <v>0</v>
      </c>
      <c r="O62" s="43">
        <f t="shared" si="9"/>
        <v>0</v>
      </c>
      <c r="P62" s="43">
        <f t="shared" si="10"/>
        <v>-0.34013437099999999</v>
      </c>
      <c r="Q62" s="43">
        <f t="shared" si="11"/>
        <v>-0.34013437099999999</v>
      </c>
      <c r="R62" s="43">
        <f t="shared" si="12"/>
        <v>0.11569139033556564</v>
      </c>
    </row>
    <row r="63" spans="1:18" x14ac:dyDescent="0.3">
      <c r="A63" s="47">
        <v>38045</v>
      </c>
      <c r="B63" s="48">
        <v>0</v>
      </c>
      <c r="C63" s="49">
        <v>0</v>
      </c>
      <c r="D63" s="10">
        <f t="shared" si="0"/>
        <v>-0.38980777739764078</v>
      </c>
      <c r="E63" s="10">
        <f t="shared" si="1"/>
        <v>-0.52735136612021827</v>
      </c>
      <c r="F63" s="10">
        <f t="shared" si="13"/>
        <v>0.15195010331968867</v>
      </c>
      <c r="G63" s="10">
        <f t="shared" si="13"/>
        <v>0.27809946334886049</v>
      </c>
      <c r="H63" s="11">
        <f t="shared" si="3"/>
        <v>0.20556566393493181</v>
      </c>
      <c r="I63" s="12">
        <f t="shared" si="4"/>
        <v>0</v>
      </c>
      <c r="J63" s="28">
        <f t="shared" si="5"/>
        <v>0</v>
      </c>
      <c r="K63" s="30">
        <f t="shared" si="6"/>
        <v>0</v>
      </c>
      <c r="L63" s="5"/>
      <c r="M63" s="30">
        <f t="shared" si="7"/>
        <v>0</v>
      </c>
      <c r="N63" s="42">
        <f t="shared" si="8"/>
        <v>0</v>
      </c>
      <c r="O63" s="43">
        <f t="shared" si="9"/>
        <v>0</v>
      </c>
      <c r="P63" s="43">
        <f t="shared" si="10"/>
        <v>-0.34013437099999999</v>
      </c>
      <c r="Q63" s="43">
        <f t="shared" si="11"/>
        <v>-0.34013437099999999</v>
      </c>
      <c r="R63" s="43">
        <f t="shared" si="12"/>
        <v>0.11569139033556564</v>
      </c>
    </row>
    <row r="64" spans="1:18" x14ac:dyDescent="0.3">
      <c r="A64" s="47">
        <v>38046</v>
      </c>
      <c r="B64" s="48">
        <v>0</v>
      </c>
      <c r="C64" s="49">
        <v>0</v>
      </c>
      <c r="D64" s="10">
        <f t="shared" si="0"/>
        <v>-0.38980777739764078</v>
      </c>
      <c r="E64" s="10">
        <f t="shared" si="1"/>
        <v>-0.52735136612021827</v>
      </c>
      <c r="F64" s="10">
        <f t="shared" si="13"/>
        <v>0.15195010331968867</v>
      </c>
      <c r="G64" s="10">
        <f t="shared" si="13"/>
        <v>0.27809946334886049</v>
      </c>
      <c r="H64" s="11">
        <f t="shared" si="3"/>
        <v>0.20556566393493181</v>
      </c>
      <c r="I64" s="12">
        <f t="shared" si="4"/>
        <v>0</v>
      </c>
      <c r="J64" s="28">
        <f t="shared" si="5"/>
        <v>0</v>
      </c>
      <c r="K64" s="30">
        <f t="shared" si="6"/>
        <v>0</v>
      </c>
      <c r="L64" s="5"/>
      <c r="M64" s="30">
        <f t="shared" si="7"/>
        <v>0</v>
      </c>
      <c r="N64" s="42">
        <f t="shared" si="8"/>
        <v>0</v>
      </c>
      <c r="O64" s="43">
        <f t="shared" si="9"/>
        <v>0</v>
      </c>
      <c r="P64" s="43">
        <f t="shared" si="10"/>
        <v>-0.34013437099999999</v>
      </c>
      <c r="Q64" s="43">
        <f t="shared" si="11"/>
        <v>-0.34013437099999999</v>
      </c>
      <c r="R64" s="43">
        <f t="shared" si="12"/>
        <v>0.11569139033556564</v>
      </c>
    </row>
    <row r="65" spans="1:18" x14ac:dyDescent="0.3">
      <c r="A65" s="47">
        <v>38047</v>
      </c>
      <c r="B65" s="48">
        <v>0</v>
      </c>
      <c r="C65" s="49">
        <v>0</v>
      </c>
      <c r="D65" s="10">
        <f t="shared" si="0"/>
        <v>-0.38980777739764078</v>
      </c>
      <c r="E65" s="10">
        <f t="shared" si="1"/>
        <v>-0.52735136612021827</v>
      </c>
      <c r="F65" s="10">
        <f t="shared" si="13"/>
        <v>0.15195010331968867</v>
      </c>
      <c r="G65" s="10">
        <f t="shared" si="13"/>
        <v>0.27809946334886049</v>
      </c>
      <c r="H65" s="11">
        <f t="shared" si="3"/>
        <v>0.20556566393493181</v>
      </c>
      <c r="I65" s="12">
        <f t="shared" si="4"/>
        <v>0</v>
      </c>
      <c r="J65" s="28">
        <f t="shared" si="5"/>
        <v>0</v>
      </c>
      <c r="K65" s="30">
        <f t="shared" si="6"/>
        <v>0</v>
      </c>
      <c r="L65" s="5"/>
      <c r="M65" s="30">
        <f t="shared" si="7"/>
        <v>0</v>
      </c>
      <c r="N65" s="42">
        <f t="shared" si="8"/>
        <v>0</v>
      </c>
      <c r="O65" s="43">
        <f t="shared" si="9"/>
        <v>0</v>
      </c>
      <c r="P65" s="43">
        <f t="shared" si="10"/>
        <v>-0.34013437099999999</v>
      </c>
      <c r="Q65" s="43">
        <f t="shared" si="11"/>
        <v>-0.34013437099999999</v>
      </c>
      <c r="R65" s="43">
        <f t="shared" si="12"/>
        <v>0.11569139033556564</v>
      </c>
    </row>
    <row r="66" spans="1:18" x14ac:dyDescent="0.3">
      <c r="A66" s="47">
        <v>38048</v>
      </c>
      <c r="B66" s="48">
        <v>0</v>
      </c>
      <c r="C66" s="49">
        <v>0</v>
      </c>
      <c r="D66" s="10">
        <f t="shared" si="0"/>
        <v>-0.38980777739764078</v>
      </c>
      <c r="E66" s="10">
        <f t="shared" si="1"/>
        <v>-0.52735136612021827</v>
      </c>
      <c r="F66" s="10">
        <f t="shared" si="13"/>
        <v>0.15195010331968867</v>
      </c>
      <c r="G66" s="10">
        <f t="shared" si="13"/>
        <v>0.27809946334886049</v>
      </c>
      <c r="H66" s="11">
        <f t="shared" si="3"/>
        <v>0.20556566393493181</v>
      </c>
      <c r="I66" s="12">
        <f t="shared" si="4"/>
        <v>0</v>
      </c>
      <c r="J66" s="28">
        <f t="shared" si="5"/>
        <v>0</v>
      </c>
      <c r="K66" s="30">
        <f t="shared" si="6"/>
        <v>0</v>
      </c>
      <c r="L66" s="5"/>
      <c r="M66" s="30">
        <f t="shared" si="7"/>
        <v>0</v>
      </c>
      <c r="N66" s="42">
        <f t="shared" si="8"/>
        <v>0</v>
      </c>
      <c r="O66" s="43">
        <f t="shared" si="9"/>
        <v>0</v>
      </c>
      <c r="P66" s="43">
        <f t="shared" si="10"/>
        <v>-0.34013437099999999</v>
      </c>
      <c r="Q66" s="43">
        <f t="shared" si="11"/>
        <v>-0.34013437099999999</v>
      </c>
      <c r="R66" s="43">
        <f t="shared" si="12"/>
        <v>0.11569139033556564</v>
      </c>
    </row>
    <row r="67" spans="1:18" x14ac:dyDescent="0.3">
      <c r="A67" s="47">
        <v>38049</v>
      </c>
      <c r="B67" s="48">
        <v>0</v>
      </c>
      <c r="C67" s="49">
        <v>0</v>
      </c>
      <c r="D67" s="10">
        <f t="shared" si="0"/>
        <v>-0.38980777739764078</v>
      </c>
      <c r="E67" s="10">
        <f t="shared" si="1"/>
        <v>-0.52735136612021827</v>
      </c>
      <c r="F67" s="10">
        <f t="shared" si="13"/>
        <v>0.15195010331968867</v>
      </c>
      <c r="G67" s="10">
        <f t="shared" si="13"/>
        <v>0.27809946334886049</v>
      </c>
      <c r="H67" s="11">
        <f t="shared" si="3"/>
        <v>0.20556566393493181</v>
      </c>
      <c r="I67" s="12">
        <f t="shared" si="4"/>
        <v>0</v>
      </c>
      <c r="J67" s="28">
        <f t="shared" si="5"/>
        <v>0</v>
      </c>
      <c r="K67" s="30">
        <f t="shared" si="6"/>
        <v>0</v>
      </c>
      <c r="L67" s="5"/>
      <c r="M67" s="30">
        <f t="shared" si="7"/>
        <v>0</v>
      </c>
      <c r="N67" s="42">
        <f t="shared" si="8"/>
        <v>0</v>
      </c>
      <c r="O67" s="43">
        <f t="shared" si="9"/>
        <v>0</v>
      </c>
      <c r="P67" s="43">
        <f t="shared" si="10"/>
        <v>-0.34013437099999999</v>
      </c>
      <c r="Q67" s="43">
        <f t="shared" si="11"/>
        <v>-0.34013437099999999</v>
      </c>
      <c r="R67" s="43">
        <f t="shared" si="12"/>
        <v>0.11569139033556564</v>
      </c>
    </row>
    <row r="68" spans="1:18" x14ac:dyDescent="0.3">
      <c r="A68" s="47">
        <v>38050</v>
      </c>
      <c r="B68" s="48">
        <v>0</v>
      </c>
      <c r="C68" s="49">
        <v>0</v>
      </c>
      <c r="D68" s="10">
        <f t="shared" si="0"/>
        <v>-0.38980777739764078</v>
      </c>
      <c r="E68" s="10">
        <f t="shared" si="1"/>
        <v>-0.52735136612021827</v>
      </c>
      <c r="F68" s="10">
        <f t="shared" si="13"/>
        <v>0.15195010331968867</v>
      </c>
      <c r="G68" s="10">
        <f t="shared" si="13"/>
        <v>0.27809946334886049</v>
      </c>
      <c r="H68" s="11">
        <f t="shared" si="3"/>
        <v>0.20556566393493181</v>
      </c>
      <c r="I68" s="12">
        <f t="shared" si="4"/>
        <v>0</v>
      </c>
      <c r="J68" s="28">
        <f t="shared" si="5"/>
        <v>0</v>
      </c>
      <c r="K68" s="30">
        <f t="shared" si="6"/>
        <v>0</v>
      </c>
      <c r="L68" s="5"/>
      <c r="M68" s="30">
        <f t="shared" si="7"/>
        <v>0</v>
      </c>
      <c r="N68" s="42">
        <f t="shared" si="8"/>
        <v>0</v>
      </c>
      <c r="O68" s="43">
        <f t="shared" si="9"/>
        <v>0</v>
      </c>
      <c r="P68" s="43">
        <f t="shared" si="10"/>
        <v>-0.34013437099999999</v>
      </c>
      <c r="Q68" s="43">
        <f t="shared" si="11"/>
        <v>-0.34013437099999999</v>
      </c>
      <c r="R68" s="43">
        <f t="shared" si="12"/>
        <v>0.11569139033556564</v>
      </c>
    </row>
    <row r="69" spans="1:18" x14ac:dyDescent="0.3">
      <c r="A69" s="47">
        <v>38051</v>
      </c>
      <c r="B69" s="48">
        <v>1.1068876981735229</v>
      </c>
      <c r="C69" s="49">
        <v>0.96619999999999995</v>
      </c>
      <c r="D69" s="10">
        <f t="shared" ref="D69:D132" si="14">B69-$C$375</f>
        <v>0.71707992077588223</v>
      </c>
      <c r="E69" s="10">
        <f t="shared" ref="E69:E132" si="15">C69-$D$375</f>
        <v>0.43884863387978168</v>
      </c>
      <c r="F69" s="10">
        <f t="shared" si="13"/>
        <v>0.51420361277994553</v>
      </c>
      <c r="G69" s="10">
        <f t="shared" si="13"/>
        <v>0.19258812345815066</v>
      </c>
      <c r="H69" s="11">
        <f t="shared" si="3"/>
        <v>0.31468954361511797</v>
      </c>
      <c r="I69" s="12">
        <f t="shared" si="4"/>
        <v>0.140687698173523</v>
      </c>
      <c r="J69" s="28">
        <f t="shared" si="5"/>
        <v>1.9793028417364307E-2</v>
      </c>
      <c r="K69" s="30">
        <f t="shared" si="6"/>
        <v>-0.140687698173523</v>
      </c>
      <c r="L69" s="5"/>
      <c r="M69" s="30">
        <f t="shared" si="7"/>
        <v>0.140687698173523</v>
      </c>
      <c r="N69" s="42">
        <f t="shared" si="8"/>
        <v>0.140687698173523</v>
      </c>
      <c r="O69" s="43">
        <f t="shared" si="9"/>
        <v>1.9793028417364307E-2</v>
      </c>
      <c r="P69" s="43">
        <f t="shared" si="10"/>
        <v>0.76675332717352296</v>
      </c>
      <c r="Q69" s="43">
        <f t="shared" si="11"/>
        <v>0.76675332717352296</v>
      </c>
      <c r="R69" s="43">
        <f t="shared" si="12"/>
        <v>0.58791066473166753</v>
      </c>
    </row>
    <row r="70" spans="1:18" x14ac:dyDescent="0.3">
      <c r="A70" s="47">
        <v>38052</v>
      </c>
      <c r="B70" s="48">
        <v>0.44278484582901001</v>
      </c>
      <c r="C70" s="49">
        <v>0.2883</v>
      </c>
      <c r="D70" s="10">
        <f t="shared" si="14"/>
        <v>5.2977068431369234E-2</v>
      </c>
      <c r="E70" s="10">
        <f t="shared" si="15"/>
        <v>-0.23905136612021827</v>
      </c>
      <c r="F70" s="10">
        <f t="shared" si="13"/>
        <v>2.8065697795819785E-3</v>
      </c>
      <c r="G70" s="10">
        <f t="shared" si="13"/>
        <v>5.7145555643942636E-2</v>
      </c>
      <c r="H70" s="11">
        <f t="shared" si="3"/>
        <v>-1.2664240581563103E-2</v>
      </c>
      <c r="I70" s="12">
        <f t="shared" si="4"/>
        <v>0.15448484582901001</v>
      </c>
      <c r="J70" s="28">
        <f t="shared" si="5"/>
        <v>2.386556759081299E-2</v>
      </c>
      <c r="K70" s="30">
        <f t="shared" ref="K70:K133" si="16">C70-B70</f>
        <v>-0.15448484582901001</v>
      </c>
      <c r="L70" s="5"/>
      <c r="M70" s="30">
        <f t="shared" ref="M70:M133" si="17">B70-C70</f>
        <v>0.15448484582901001</v>
      </c>
      <c r="N70" s="42">
        <f t="shared" ref="N70:N133" si="18">B70-C70</f>
        <v>0.15448484582901001</v>
      </c>
      <c r="O70" s="43">
        <f t="shared" ref="O70:O133" si="19">M70*N70</f>
        <v>2.386556759081299E-2</v>
      </c>
      <c r="P70" s="43">
        <f t="shared" ref="P70:P133" si="20">B70-0.340134371</f>
        <v>0.10265047482901002</v>
      </c>
      <c r="Q70" s="43">
        <f t="shared" ref="Q70:Q133" si="21">B70-0.340134371</f>
        <v>0.10265047482901002</v>
      </c>
      <c r="R70" s="43">
        <f t="shared" ref="R70:R133" si="22">P70*Q70</f>
        <v>1.053711998262122E-2</v>
      </c>
    </row>
    <row r="71" spans="1:18" x14ac:dyDescent="0.3">
      <c r="A71" s="47">
        <v>38053</v>
      </c>
      <c r="B71" s="48">
        <v>0</v>
      </c>
      <c r="C71" s="49">
        <v>0</v>
      </c>
      <c r="D71" s="10">
        <f t="shared" si="14"/>
        <v>-0.38980777739764078</v>
      </c>
      <c r="E71" s="10">
        <f t="shared" si="15"/>
        <v>-0.52735136612021827</v>
      </c>
      <c r="F71" s="10">
        <f t="shared" si="13"/>
        <v>0.15195010331968867</v>
      </c>
      <c r="G71" s="10">
        <f t="shared" si="13"/>
        <v>0.27809946334886049</v>
      </c>
      <c r="H71" s="11">
        <f t="shared" si="3"/>
        <v>0.20556566393493181</v>
      </c>
      <c r="I71" s="12">
        <f t="shared" si="4"/>
        <v>0</v>
      </c>
      <c r="J71" s="28">
        <f t="shared" si="5"/>
        <v>0</v>
      </c>
      <c r="K71" s="30">
        <f t="shared" si="16"/>
        <v>0</v>
      </c>
      <c r="L71" s="5"/>
      <c r="M71" s="30">
        <f t="shared" si="17"/>
        <v>0</v>
      </c>
      <c r="N71" s="42">
        <f t="shared" si="18"/>
        <v>0</v>
      </c>
      <c r="O71" s="43">
        <f t="shared" si="19"/>
        <v>0</v>
      </c>
      <c r="P71" s="43">
        <f t="shared" si="20"/>
        <v>-0.34013437099999999</v>
      </c>
      <c r="Q71" s="43">
        <f t="shared" si="21"/>
        <v>-0.34013437099999999</v>
      </c>
      <c r="R71" s="43">
        <f t="shared" si="22"/>
        <v>0.11569139033556564</v>
      </c>
    </row>
    <row r="72" spans="1:18" x14ac:dyDescent="0.3">
      <c r="A72" s="47">
        <v>38054</v>
      </c>
      <c r="B72" s="48">
        <v>0</v>
      </c>
      <c r="C72" s="49">
        <v>0</v>
      </c>
      <c r="D72" s="10">
        <f t="shared" si="14"/>
        <v>-0.38980777739764078</v>
      </c>
      <c r="E72" s="10">
        <f t="shared" si="15"/>
        <v>-0.52735136612021827</v>
      </c>
      <c r="F72" s="10">
        <f t="shared" si="13"/>
        <v>0.15195010331968867</v>
      </c>
      <c r="G72" s="10">
        <f t="shared" si="13"/>
        <v>0.27809946334886049</v>
      </c>
      <c r="H72" s="11">
        <f t="shared" si="3"/>
        <v>0.20556566393493181</v>
      </c>
      <c r="I72" s="12">
        <f t="shared" si="4"/>
        <v>0</v>
      </c>
      <c r="J72" s="28">
        <f t="shared" si="5"/>
        <v>0</v>
      </c>
      <c r="K72" s="30">
        <f t="shared" si="16"/>
        <v>0</v>
      </c>
      <c r="L72" s="5"/>
      <c r="M72" s="30">
        <f t="shared" si="17"/>
        <v>0</v>
      </c>
      <c r="N72" s="42">
        <f t="shared" si="18"/>
        <v>0</v>
      </c>
      <c r="O72" s="43">
        <f t="shared" si="19"/>
        <v>0</v>
      </c>
      <c r="P72" s="43">
        <f t="shared" si="20"/>
        <v>-0.34013437099999999</v>
      </c>
      <c r="Q72" s="43">
        <f t="shared" si="21"/>
        <v>-0.34013437099999999</v>
      </c>
      <c r="R72" s="43">
        <f t="shared" si="22"/>
        <v>0.11569139033556564</v>
      </c>
    </row>
    <row r="73" spans="1:18" x14ac:dyDescent="0.3">
      <c r="A73" s="47">
        <v>38055</v>
      </c>
      <c r="B73" s="48">
        <v>0</v>
      </c>
      <c r="C73" s="49">
        <v>0</v>
      </c>
      <c r="D73" s="10">
        <f t="shared" si="14"/>
        <v>-0.38980777739764078</v>
      </c>
      <c r="E73" s="10">
        <f t="shared" si="15"/>
        <v>-0.52735136612021827</v>
      </c>
      <c r="F73" s="10">
        <f t="shared" si="13"/>
        <v>0.15195010331968867</v>
      </c>
      <c r="G73" s="10">
        <f t="shared" si="13"/>
        <v>0.27809946334886049</v>
      </c>
      <c r="H73" s="11">
        <f t="shared" si="3"/>
        <v>0.20556566393493181</v>
      </c>
      <c r="I73" s="12">
        <f t="shared" si="4"/>
        <v>0</v>
      </c>
      <c r="J73" s="28">
        <f t="shared" si="5"/>
        <v>0</v>
      </c>
      <c r="K73" s="30">
        <f t="shared" si="16"/>
        <v>0</v>
      </c>
      <c r="L73" s="5"/>
      <c r="M73" s="30">
        <f t="shared" si="17"/>
        <v>0</v>
      </c>
      <c r="N73" s="42">
        <f t="shared" si="18"/>
        <v>0</v>
      </c>
      <c r="O73" s="43">
        <f t="shared" si="19"/>
        <v>0</v>
      </c>
      <c r="P73" s="43">
        <f t="shared" si="20"/>
        <v>-0.34013437099999999</v>
      </c>
      <c r="Q73" s="43">
        <f t="shared" si="21"/>
        <v>-0.34013437099999999</v>
      </c>
      <c r="R73" s="43">
        <f t="shared" si="22"/>
        <v>0.11569139033556564</v>
      </c>
    </row>
    <row r="74" spans="1:18" x14ac:dyDescent="0.3">
      <c r="A74" s="47">
        <v>38056</v>
      </c>
      <c r="B74" s="48">
        <v>0</v>
      </c>
      <c r="C74" s="49">
        <v>0</v>
      </c>
      <c r="D74" s="10">
        <f t="shared" si="14"/>
        <v>-0.38980777739764078</v>
      </c>
      <c r="E74" s="10">
        <f t="shared" si="15"/>
        <v>-0.52735136612021827</v>
      </c>
      <c r="F74" s="10">
        <f t="shared" si="13"/>
        <v>0.15195010331968867</v>
      </c>
      <c r="G74" s="10">
        <f t="shared" si="13"/>
        <v>0.27809946334886049</v>
      </c>
      <c r="H74" s="11">
        <f t="shared" si="3"/>
        <v>0.20556566393493181</v>
      </c>
      <c r="I74" s="12">
        <f t="shared" si="4"/>
        <v>0</v>
      </c>
      <c r="J74" s="28">
        <f t="shared" si="5"/>
        <v>0</v>
      </c>
      <c r="K74" s="30">
        <f t="shared" si="16"/>
        <v>0</v>
      </c>
      <c r="L74" s="5"/>
      <c r="M74" s="30">
        <f t="shared" si="17"/>
        <v>0</v>
      </c>
      <c r="N74" s="42">
        <f t="shared" si="18"/>
        <v>0</v>
      </c>
      <c r="O74" s="43">
        <f t="shared" si="19"/>
        <v>0</v>
      </c>
      <c r="P74" s="43">
        <f t="shared" si="20"/>
        <v>-0.34013437099999999</v>
      </c>
      <c r="Q74" s="43">
        <f t="shared" si="21"/>
        <v>-0.34013437099999999</v>
      </c>
      <c r="R74" s="43">
        <f t="shared" si="22"/>
        <v>0.11569139033556564</v>
      </c>
    </row>
    <row r="75" spans="1:18" x14ac:dyDescent="0.3">
      <c r="A75" s="47">
        <v>38057</v>
      </c>
      <c r="B75" s="48">
        <v>0</v>
      </c>
      <c r="C75" s="49">
        <v>0</v>
      </c>
      <c r="D75" s="10">
        <f t="shared" si="14"/>
        <v>-0.38980777739764078</v>
      </c>
      <c r="E75" s="10">
        <f t="shared" si="15"/>
        <v>-0.52735136612021827</v>
      </c>
      <c r="F75" s="10">
        <f t="shared" si="13"/>
        <v>0.15195010331968867</v>
      </c>
      <c r="G75" s="10">
        <f t="shared" si="13"/>
        <v>0.27809946334886049</v>
      </c>
      <c r="H75" s="11">
        <f t="shared" si="3"/>
        <v>0.20556566393493181</v>
      </c>
      <c r="I75" s="12">
        <f t="shared" si="4"/>
        <v>0</v>
      </c>
      <c r="J75" s="28">
        <f t="shared" si="5"/>
        <v>0</v>
      </c>
      <c r="K75" s="30">
        <f t="shared" si="16"/>
        <v>0</v>
      </c>
      <c r="L75" s="5"/>
      <c r="M75" s="30">
        <f t="shared" si="17"/>
        <v>0</v>
      </c>
      <c r="N75" s="42">
        <f t="shared" si="18"/>
        <v>0</v>
      </c>
      <c r="O75" s="43">
        <f t="shared" si="19"/>
        <v>0</v>
      </c>
      <c r="P75" s="43">
        <f t="shared" si="20"/>
        <v>-0.34013437099999999</v>
      </c>
      <c r="Q75" s="43">
        <f t="shared" si="21"/>
        <v>-0.34013437099999999</v>
      </c>
      <c r="R75" s="43">
        <f t="shared" si="22"/>
        <v>0.11569139033556564</v>
      </c>
    </row>
    <row r="76" spans="1:18" x14ac:dyDescent="0.3">
      <c r="A76" s="47">
        <v>38058</v>
      </c>
      <c r="B76" s="48">
        <v>0</v>
      </c>
      <c r="C76" s="49">
        <v>0</v>
      </c>
      <c r="D76" s="10">
        <f t="shared" si="14"/>
        <v>-0.38980777739764078</v>
      </c>
      <c r="E76" s="10">
        <f t="shared" si="15"/>
        <v>-0.52735136612021827</v>
      </c>
      <c r="F76" s="10">
        <f t="shared" si="13"/>
        <v>0.15195010331968867</v>
      </c>
      <c r="G76" s="10">
        <f t="shared" si="13"/>
        <v>0.27809946334886049</v>
      </c>
      <c r="H76" s="11">
        <f t="shared" si="3"/>
        <v>0.20556566393493181</v>
      </c>
      <c r="I76" s="12">
        <f t="shared" si="4"/>
        <v>0</v>
      </c>
      <c r="J76" s="28">
        <f t="shared" si="5"/>
        <v>0</v>
      </c>
      <c r="K76" s="30">
        <f t="shared" si="16"/>
        <v>0</v>
      </c>
      <c r="L76" s="5"/>
      <c r="M76" s="30">
        <f t="shared" si="17"/>
        <v>0</v>
      </c>
      <c r="N76" s="42">
        <f t="shared" si="18"/>
        <v>0</v>
      </c>
      <c r="O76" s="43">
        <f t="shared" si="19"/>
        <v>0</v>
      </c>
      <c r="P76" s="43">
        <f t="shared" si="20"/>
        <v>-0.34013437099999999</v>
      </c>
      <c r="Q76" s="43">
        <f t="shared" si="21"/>
        <v>-0.34013437099999999</v>
      </c>
      <c r="R76" s="43">
        <f t="shared" si="22"/>
        <v>0.11569139033556564</v>
      </c>
    </row>
    <row r="77" spans="1:18" x14ac:dyDescent="0.3">
      <c r="A77" s="47">
        <v>38059</v>
      </c>
      <c r="B77" s="48">
        <v>0</v>
      </c>
      <c r="C77" s="49">
        <v>0.29680000000000001</v>
      </c>
      <c r="D77" s="10">
        <f t="shared" si="14"/>
        <v>-0.38980777739764078</v>
      </c>
      <c r="E77" s="10">
        <f t="shared" si="15"/>
        <v>-0.23055136612021826</v>
      </c>
      <c r="F77" s="10">
        <f t="shared" si="13"/>
        <v>0.15195010331968867</v>
      </c>
      <c r="G77" s="10">
        <f t="shared" si="13"/>
        <v>5.3153932419898922E-2</v>
      </c>
      <c r="H77" s="11">
        <f t="shared" si="3"/>
        <v>8.9870715603312015E-2</v>
      </c>
      <c r="I77" s="12">
        <f t="shared" si="4"/>
        <v>0.29680000000000001</v>
      </c>
      <c r="J77" s="28">
        <f t="shared" si="5"/>
        <v>8.809024E-2</v>
      </c>
      <c r="K77" s="30">
        <f t="shared" si="16"/>
        <v>0.29680000000000001</v>
      </c>
      <c r="L77" s="5"/>
      <c r="M77" s="30">
        <f t="shared" si="17"/>
        <v>-0.29680000000000001</v>
      </c>
      <c r="N77" s="42">
        <f t="shared" si="18"/>
        <v>-0.29680000000000001</v>
      </c>
      <c r="O77" s="43">
        <f t="shared" si="19"/>
        <v>8.809024E-2</v>
      </c>
      <c r="P77" s="43">
        <f t="shared" si="20"/>
        <v>-0.34013437099999999</v>
      </c>
      <c r="Q77" s="43">
        <f t="shared" si="21"/>
        <v>-0.34013437099999999</v>
      </c>
      <c r="R77" s="43">
        <f t="shared" si="22"/>
        <v>0.11569139033556564</v>
      </c>
    </row>
    <row r="78" spans="1:18" x14ac:dyDescent="0.3">
      <c r="A78" s="47">
        <v>38060</v>
      </c>
      <c r="B78" s="48">
        <v>0</v>
      </c>
      <c r="C78" s="49">
        <v>0</v>
      </c>
      <c r="D78" s="10">
        <f t="shared" si="14"/>
        <v>-0.38980777739764078</v>
      </c>
      <c r="E78" s="10">
        <f t="shared" si="15"/>
        <v>-0.52735136612021827</v>
      </c>
      <c r="F78" s="10">
        <f t="shared" si="13"/>
        <v>0.15195010331968867</v>
      </c>
      <c r="G78" s="10">
        <f t="shared" si="13"/>
        <v>0.27809946334886049</v>
      </c>
      <c r="H78" s="11">
        <f t="shared" si="3"/>
        <v>0.20556566393493181</v>
      </c>
      <c r="I78" s="12">
        <f t="shared" si="4"/>
        <v>0</v>
      </c>
      <c r="J78" s="28">
        <f t="shared" si="5"/>
        <v>0</v>
      </c>
      <c r="K78" s="30">
        <f t="shared" si="16"/>
        <v>0</v>
      </c>
      <c r="L78" s="5"/>
      <c r="M78" s="30">
        <f t="shared" si="17"/>
        <v>0</v>
      </c>
      <c r="N78" s="42">
        <f t="shared" si="18"/>
        <v>0</v>
      </c>
      <c r="O78" s="43">
        <f t="shared" si="19"/>
        <v>0</v>
      </c>
      <c r="P78" s="43">
        <f t="shared" si="20"/>
        <v>-0.34013437099999999</v>
      </c>
      <c r="Q78" s="43">
        <f t="shared" si="21"/>
        <v>-0.34013437099999999</v>
      </c>
      <c r="R78" s="43">
        <f t="shared" si="22"/>
        <v>0.11569139033556564</v>
      </c>
    </row>
    <row r="79" spans="1:18" x14ac:dyDescent="0.3">
      <c r="A79" s="47">
        <v>38061</v>
      </c>
      <c r="B79" s="48">
        <v>0</v>
      </c>
      <c r="C79" s="49">
        <v>0</v>
      </c>
      <c r="D79" s="10">
        <f t="shared" si="14"/>
        <v>-0.38980777739764078</v>
      </c>
      <c r="E79" s="10">
        <f t="shared" si="15"/>
        <v>-0.52735136612021827</v>
      </c>
      <c r="F79" s="10">
        <f t="shared" si="13"/>
        <v>0.15195010331968867</v>
      </c>
      <c r="G79" s="10">
        <f t="shared" si="13"/>
        <v>0.27809946334886049</v>
      </c>
      <c r="H79" s="11">
        <f t="shared" si="3"/>
        <v>0.20556566393493181</v>
      </c>
      <c r="I79" s="12">
        <f t="shared" si="4"/>
        <v>0</v>
      </c>
      <c r="J79" s="28">
        <f t="shared" si="5"/>
        <v>0</v>
      </c>
      <c r="K79" s="30">
        <f t="shared" si="16"/>
        <v>0</v>
      </c>
      <c r="L79" s="5"/>
      <c r="M79" s="30">
        <f t="shared" si="17"/>
        <v>0</v>
      </c>
      <c r="N79" s="42">
        <f t="shared" si="18"/>
        <v>0</v>
      </c>
      <c r="O79" s="43">
        <f t="shared" si="19"/>
        <v>0</v>
      </c>
      <c r="P79" s="43">
        <f t="shared" si="20"/>
        <v>-0.34013437099999999</v>
      </c>
      <c r="Q79" s="43">
        <f t="shared" si="21"/>
        <v>-0.34013437099999999</v>
      </c>
      <c r="R79" s="43">
        <f t="shared" si="22"/>
        <v>0.11569139033556564</v>
      </c>
    </row>
    <row r="80" spans="1:18" x14ac:dyDescent="0.3">
      <c r="A80" s="47">
        <v>38062</v>
      </c>
      <c r="B80" s="48">
        <v>0</v>
      </c>
      <c r="C80" s="49">
        <v>0</v>
      </c>
      <c r="D80" s="10">
        <f t="shared" si="14"/>
        <v>-0.38980777739764078</v>
      </c>
      <c r="E80" s="10">
        <f t="shared" si="15"/>
        <v>-0.52735136612021827</v>
      </c>
      <c r="F80" s="10">
        <f t="shared" si="13"/>
        <v>0.15195010331968867</v>
      </c>
      <c r="G80" s="10">
        <f t="shared" si="13"/>
        <v>0.27809946334886049</v>
      </c>
      <c r="H80" s="11">
        <f t="shared" si="3"/>
        <v>0.20556566393493181</v>
      </c>
      <c r="I80" s="12">
        <f t="shared" si="4"/>
        <v>0</v>
      </c>
      <c r="J80" s="28">
        <f t="shared" si="5"/>
        <v>0</v>
      </c>
      <c r="K80" s="30">
        <f t="shared" si="16"/>
        <v>0</v>
      </c>
      <c r="L80" s="5"/>
      <c r="M80" s="30">
        <f t="shared" si="17"/>
        <v>0</v>
      </c>
      <c r="N80" s="42">
        <f t="shared" si="18"/>
        <v>0</v>
      </c>
      <c r="O80" s="43">
        <f t="shared" si="19"/>
        <v>0</v>
      </c>
      <c r="P80" s="43">
        <f t="shared" si="20"/>
        <v>-0.34013437099999999</v>
      </c>
      <c r="Q80" s="43">
        <f t="shared" si="21"/>
        <v>-0.34013437099999999</v>
      </c>
      <c r="R80" s="43">
        <f t="shared" si="22"/>
        <v>0.11569139033556564</v>
      </c>
    </row>
    <row r="81" spans="1:18" x14ac:dyDescent="0.3">
      <c r="A81" s="47">
        <v>38063</v>
      </c>
      <c r="B81" s="48">
        <v>0</v>
      </c>
      <c r="C81" s="49">
        <v>2.4500000000000001E-2</v>
      </c>
      <c r="D81" s="10">
        <f t="shared" si="14"/>
        <v>-0.38980777739764078</v>
      </c>
      <c r="E81" s="10">
        <f t="shared" si="15"/>
        <v>-0.5028513661202183</v>
      </c>
      <c r="F81" s="10">
        <f t="shared" si="13"/>
        <v>0.15195010331968867</v>
      </c>
      <c r="G81" s="10">
        <f t="shared" si="13"/>
        <v>0.25285949640896982</v>
      </c>
      <c r="H81" s="11">
        <f t="shared" si="3"/>
        <v>0.19601537338868963</v>
      </c>
      <c r="I81" s="12">
        <f t="shared" si="4"/>
        <v>2.4500000000000001E-2</v>
      </c>
      <c r="J81" s="28">
        <f t="shared" si="5"/>
        <v>6.0025000000000009E-4</v>
      </c>
      <c r="K81" s="30">
        <f t="shared" si="16"/>
        <v>2.4500000000000001E-2</v>
      </c>
      <c r="L81" s="5"/>
      <c r="M81" s="30">
        <f t="shared" si="17"/>
        <v>-2.4500000000000001E-2</v>
      </c>
      <c r="N81" s="42">
        <f t="shared" si="18"/>
        <v>-2.4500000000000001E-2</v>
      </c>
      <c r="O81" s="43">
        <f t="shared" si="19"/>
        <v>6.0025000000000009E-4</v>
      </c>
      <c r="P81" s="43">
        <f t="shared" si="20"/>
        <v>-0.34013437099999999</v>
      </c>
      <c r="Q81" s="43">
        <f t="shared" si="21"/>
        <v>-0.34013437099999999</v>
      </c>
      <c r="R81" s="43">
        <f t="shared" si="22"/>
        <v>0.11569139033556564</v>
      </c>
    </row>
    <row r="82" spans="1:18" x14ac:dyDescent="0.3">
      <c r="A82" s="47">
        <v>38064</v>
      </c>
      <c r="B82" s="48">
        <v>0</v>
      </c>
      <c r="C82" s="49">
        <v>0</v>
      </c>
      <c r="D82" s="10">
        <f t="shared" si="14"/>
        <v>-0.38980777739764078</v>
      </c>
      <c r="E82" s="10">
        <f t="shared" si="15"/>
        <v>-0.52735136612021827</v>
      </c>
      <c r="F82" s="10">
        <f t="shared" si="13"/>
        <v>0.15195010331968867</v>
      </c>
      <c r="G82" s="10">
        <f t="shared" si="13"/>
        <v>0.27809946334886049</v>
      </c>
      <c r="H82" s="11">
        <f t="shared" si="3"/>
        <v>0.20556566393493181</v>
      </c>
      <c r="I82" s="12">
        <f t="shared" si="4"/>
        <v>0</v>
      </c>
      <c r="J82" s="28">
        <f t="shared" si="5"/>
        <v>0</v>
      </c>
      <c r="K82" s="30">
        <f t="shared" si="16"/>
        <v>0</v>
      </c>
      <c r="L82" s="5"/>
      <c r="M82" s="30">
        <f t="shared" si="17"/>
        <v>0</v>
      </c>
      <c r="N82" s="42">
        <f t="shared" si="18"/>
        <v>0</v>
      </c>
      <c r="O82" s="43">
        <f t="shared" si="19"/>
        <v>0</v>
      </c>
      <c r="P82" s="43">
        <f t="shared" si="20"/>
        <v>-0.34013437099999999</v>
      </c>
      <c r="Q82" s="43">
        <f t="shared" si="21"/>
        <v>-0.34013437099999999</v>
      </c>
      <c r="R82" s="43">
        <f t="shared" si="22"/>
        <v>0.11569139033556564</v>
      </c>
    </row>
    <row r="83" spans="1:18" x14ac:dyDescent="0.3">
      <c r="A83" s="47">
        <v>38065</v>
      </c>
      <c r="B83" s="48">
        <v>0</v>
      </c>
      <c r="C83" s="49">
        <v>0</v>
      </c>
      <c r="D83" s="10">
        <f t="shared" si="14"/>
        <v>-0.38980777739764078</v>
      </c>
      <c r="E83" s="10">
        <f t="shared" si="15"/>
        <v>-0.52735136612021827</v>
      </c>
      <c r="F83" s="10">
        <f t="shared" si="13"/>
        <v>0.15195010331968867</v>
      </c>
      <c r="G83" s="10">
        <f t="shared" si="13"/>
        <v>0.27809946334886049</v>
      </c>
      <c r="H83" s="11">
        <f t="shared" si="3"/>
        <v>0.20556566393493181</v>
      </c>
      <c r="I83" s="12">
        <f t="shared" si="4"/>
        <v>0</v>
      </c>
      <c r="J83" s="28">
        <f t="shared" si="5"/>
        <v>0</v>
      </c>
      <c r="K83" s="30">
        <f t="shared" si="16"/>
        <v>0</v>
      </c>
      <c r="L83" s="5"/>
      <c r="M83" s="30">
        <f t="shared" si="17"/>
        <v>0</v>
      </c>
      <c r="N83" s="42">
        <f t="shared" si="18"/>
        <v>0</v>
      </c>
      <c r="O83" s="43">
        <f t="shared" si="19"/>
        <v>0</v>
      </c>
      <c r="P83" s="43">
        <f t="shared" si="20"/>
        <v>-0.34013437099999999</v>
      </c>
      <c r="Q83" s="43">
        <f t="shared" si="21"/>
        <v>-0.34013437099999999</v>
      </c>
      <c r="R83" s="43">
        <f t="shared" si="22"/>
        <v>0.11569139033556564</v>
      </c>
    </row>
    <row r="84" spans="1:18" x14ac:dyDescent="0.3">
      <c r="A84" s="47">
        <v>38066</v>
      </c>
      <c r="B84" s="48">
        <v>0</v>
      </c>
      <c r="C84" s="49">
        <v>8.0000000000000004E-4</v>
      </c>
      <c r="D84" s="10">
        <f t="shared" si="14"/>
        <v>-0.38980777739764078</v>
      </c>
      <c r="E84" s="10">
        <f t="shared" si="15"/>
        <v>-0.52655136612021824</v>
      </c>
      <c r="F84" s="10">
        <f t="shared" si="13"/>
        <v>0.15195010331968867</v>
      </c>
      <c r="G84" s="10">
        <f t="shared" si="13"/>
        <v>0.27725634116306813</v>
      </c>
      <c r="H84" s="11">
        <f t="shared" si="3"/>
        <v>0.20525381771301368</v>
      </c>
      <c r="I84" s="12">
        <f t="shared" si="4"/>
        <v>8.0000000000000004E-4</v>
      </c>
      <c r="J84" s="28">
        <f t="shared" si="5"/>
        <v>6.4000000000000001E-7</v>
      </c>
      <c r="K84" s="30">
        <f t="shared" si="16"/>
        <v>8.0000000000000004E-4</v>
      </c>
      <c r="L84" s="5"/>
      <c r="M84" s="30">
        <f t="shared" si="17"/>
        <v>-8.0000000000000004E-4</v>
      </c>
      <c r="N84" s="42">
        <f t="shared" si="18"/>
        <v>-8.0000000000000004E-4</v>
      </c>
      <c r="O84" s="43">
        <f t="shared" si="19"/>
        <v>6.4000000000000001E-7</v>
      </c>
      <c r="P84" s="43">
        <f t="shared" si="20"/>
        <v>-0.34013437099999999</v>
      </c>
      <c r="Q84" s="43">
        <f t="shared" si="21"/>
        <v>-0.34013437099999999</v>
      </c>
      <c r="R84" s="43">
        <f t="shared" si="22"/>
        <v>0.11569139033556564</v>
      </c>
    </row>
    <row r="85" spans="1:18" x14ac:dyDescent="0.3">
      <c r="A85" s="47">
        <v>38067</v>
      </c>
      <c r="B85" s="48">
        <v>0</v>
      </c>
      <c r="C85" s="49">
        <v>0</v>
      </c>
      <c r="D85" s="10">
        <f t="shared" si="14"/>
        <v>-0.38980777739764078</v>
      </c>
      <c r="E85" s="10">
        <f t="shared" si="15"/>
        <v>-0.52735136612021827</v>
      </c>
      <c r="F85" s="10">
        <f t="shared" ref="F85:G148" si="23">D85^2</f>
        <v>0.15195010331968867</v>
      </c>
      <c r="G85" s="10">
        <f t="shared" si="23"/>
        <v>0.27809946334886049</v>
      </c>
      <c r="H85" s="11">
        <f t="shared" si="3"/>
        <v>0.20556566393493181</v>
      </c>
      <c r="I85" s="12">
        <f t="shared" si="4"/>
        <v>0</v>
      </c>
      <c r="J85" s="28">
        <f t="shared" si="5"/>
        <v>0</v>
      </c>
      <c r="K85" s="30">
        <f t="shared" si="16"/>
        <v>0</v>
      </c>
      <c r="L85" s="5"/>
      <c r="M85" s="30">
        <f t="shared" si="17"/>
        <v>0</v>
      </c>
      <c r="N85" s="42">
        <f t="shared" si="18"/>
        <v>0</v>
      </c>
      <c r="O85" s="43">
        <f t="shared" si="19"/>
        <v>0</v>
      </c>
      <c r="P85" s="43">
        <f t="shared" si="20"/>
        <v>-0.34013437099999999</v>
      </c>
      <c r="Q85" s="43">
        <f t="shared" si="21"/>
        <v>-0.34013437099999999</v>
      </c>
      <c r="R85" s="43">
        <f t="shared" si="22"/>
        <v>0.11569139033556564</v>
      </c>
    </row>
    <row r="86" spans="1:18" x14ac:dyDescent="0.3">
      <c r="A86" s="47">
        <v>38068</v>
      </c>
      <c r="B86" s="48">
        <v>0</v>
      </c>
      <c r="C86" s="49">
        <v>0</v>
      </c>
      <c r="D86" s="10">
        <f t="shared" si="14"/>
        <v>-0.38980777739764078</v>
      </c>
      <c r="E86" s="10">
        <f t="shared" si="15"/>
        <v>-0.52735136612021827</v>
      </c>
      <c r="F86" s="10">
        <f t="shared" si="23"/>
        <v>0.15195010331968867</v>
      </c>
      <c r="G86" s="10">
        <f t="shared" si="23"/>
        <v>0.27809946334886049</v>
      </c>
      <c r="H86" s="11">
        <f t="shared" si="3"/>
        <v>0.20556566393493181</v>
      </c>
      <c r="I86" s="12">
        <f t="shared" si="4"/>
        <v>0</v>
      </c>
      <c r="J86" s="28">
        <f t="shared" si="5"/>
        <v>0</v>
      </c>
      <c r="K86" s="30">
        <f t="shared" si="16"/>
        <v>0</v>
      </c>
      <c r="L86" s="5"/>
      <c r="M86" s="30">
        <f t="shared" si="17"/>
        <v>0</v>
      </c>
      <c r="N86" s="42">
        <f t="shared" si="18"/>
        <v>0</v>
      </c>
      <c r="O86" s="43">
        <f t="shared" si="19"/>
        <v>0</v>
      </c>
      <c r="P86" s="43">
        <f t="shared" si="20"/>
        <v>-0.34013437099999999</v>
      </c>
      <c r="Q86" s="43">
        <f t="shared" si="21"/>
        <v>-0.34013437099999999</v>
      </c>
      <c r="R86" s="43">
        <f t="shared" si="22"/>
        <v>0.11569139033556564</v>
      </c>
    </row>
    <row r="87" spans="1:18" x14ac:dyDescent="0.3">
      <c r="A87" s="47">
        <v>38069</v>
      </c>
      <c r="B87" s="48">
        <v>0</v>
      </c>
      <c r="C87" s="49">
        <v>0</v>
      </c>
      <c r="D87" s="10">
        <f t="shared" si="14"/>
        <v>-0.38980777739764078</v>
      </c>
      <c r="E87" s="10">
        <f t="shared" si="15"/>
        <v>-0.52735136612021827</v>
      </c>
      <c r="F87" s="10">
        <f t="shared" si="23"/>
        <v>0.15195010331968867</v>
      </c>
      <c r="G87" s="10">
        <f t="shared" si="23"/>
        <v>0.27809946334886049</v>
      </c>
      <c r="H87" s="11">
        <f t="shared" si="3"/>
        <v>0.20556566393493181</v>
      </c>
      <c r="I87" s="12">
        <f t="shared" si="4"/>
        <v>0</v>
      </c>
      <c r="J87" s="28">
        <f t="shared" si="5"/>
        <v>0</v>
      </c>
      <c r="K87" s="30">
        <f t="shared" si="16"/>
        <v>0</v>
      </c>
      <c r="L87" s="5"/>
      <c r="M87" s="30">
        <f t="shared" si="17"/>
        <v>0</v>
      </c>
      <c r="N87" s="42">
        <f t="shared" si="18"/>
        <v>0</v>
      </c>
      <c r="O87" s="43">
        <f t="shared" si="19"/>
        <v>0</v>
      </c>
      <c r="P87" s="43">
        <f t="shared" si="20"/>
        <v>-0.34013437099999999</v>
      </c>
      <c r="Q87" s="43">
        <f t="shared" si="21"/>
        <v>-0.34013437099999999</v>
      </c>
      <c r="R87" s="43">
        <f t="shared" si="22"/>
        <v>0.11569139033556564</v>
      </c>
    </row>
    <row r="88" spans="1:18" x14ac:dyDescent="0.3">
      <c r="A88" s="47">
        <v>38070</v>
      </c>
      <c r="B88" s="48">
        <v>0</v>
      </c>
      <c r="C88" s="49">
        <v>0</v>
      </c>
      <c r="D88" s="10">
        <f t="shared" si="14"/>
        <v>-0.38980777739764078</v>
      </c>
      <c r="E88" s="10">
        <f t="shared" si="15"/>
        <v>-0.52735136612021827</v>
      </c>
      <c r="F88" s="10">
        <f t="shared" si="23"/>
        <v>0.15195010331968867</v>
      </c>
      <c r="G88" s="10">
        <f t="shared" si="23"/>
        <v>0.27809946334886049</v>
      </c>
      <c r="H88" s="11">
        <f t="shared" si="3"/>
        <v>0.20556566393493181</v>
      </c>
      <c r="I88" s="12">
        <f t="shared" si="4"/>
        <v>0</v>
      </c>
      <c r="J88" s="28">
        <f t="shared" si="5"/>
        <v>0</v>
      </c>
      <c r="K88" s="30">
        <f t="shared" si="16"/>
        <v>0</v>
      </c>
      <c r="L88" s="5"/>
      <c r="M88" s="30">
        <f t="shared" si="17"/>
        <v>0</v>
      </c>
      <c r="N88" s="42">
        <f t="shared" si="18"/>
        <v>0</v>
      </c>
      <c r="O88" s="43">
        <f t="shared" si="19"/>
        <v>0</v>
      </c>
      <c r="P88" s="43">
        <f t="shared" si="20"/>
        <v>-0.34013437099999999</v>
      </c>
      <c r="Q88" s="43">
        <f t="shared" si="21"/>
        <v>-0.34013437099999999</v>
      </c>
      <c r="R88" s="43">
        <f t="shared" si="22"/>
        <v>0.11569139033556564</v>
      </c>
    </row>
    <row r="89" spans="1:18" x14ac:dyDescent="0.3">
      <c r="A89" s="47">
        <v>38071</v>
      </c>
      <c r="B89" s="48">
        <v>0</v>
      </c>
      <c r="C89" s="49">
        <v>5.0000000000000001E-4</v>
      </c>
      <c r="D89" s="10">
        <f t="shared" si="14"/>
        <v>-0.38980777739764078</v>
      </c>
      <c r="E89" s="10">
        <f t="shared" si="15"/>
        <v>-0.52685136612021832</v>
      </c>
      <c r="F89" s="10">
        <f t="shared" si="23"/>
        <v>0.15195010331968867</v>
      </c>
      <c r="G89" s="10">
        <f t="shared" si="23"/>
        <v>0.27757236198274032</v>
      </c>
      <c r="H89" s="11">
        <f t="shared" si="3"/>
        <v>0.205370760046233</v>
      </c>
      <c r="I89" s="12">
        <f t="shared" si="4"/>
        <v>5.0000000000000001E-4</v>
      </c>
      <c r="J89" s="28">
        <f t="shared" si="5"/>
        <v>2.4999999999999999E-7</v>
      </c>
      <c r="K89" s="30">
        <f t="shared" si="16"/>
        <v>5.0000000000000001E-4</v>
      </c>
      <c r="L89" s="5"/>
      <c r="M89" s="30">
        <f t="shared" si="17"/>
        <v>-5.0000000000000001E-4</v>
      </c>
      <c r="N89" s="42">
        <f t="shared" si="18"/>
        <v>-5.0000000000000001E-4</v>
      </c>
      <c r="O89" s="43">
        <f t="shared" si="19"/>
        <v>2.4999999999999999E-7</v>
      </c>
      <c r="P89" s="43">
        <f t="shared" si="20"/>
        <v>-0.34013437099999999</v>
      </c>
      <c r="Q89" s="43">
        <f t="shared" si="21"/>
        <v>-0.34013437099999999</v>
      </c>
      <c r="R89" s="43">
        <f t="shared" si="22"/>
        <v>0.11569139033556564</v>
      </c>
    </row>
    <row r="90" spans="1:18" x14ac:dyDescent="0.3">
      <c r="A90" s="47">
        <v>38072</v>
      </c>
      <c r="B90" s="48">
        <v>0</v>
      </c>
      <c r="C90" s="49">
        <v>2E-3</v>
      </c>
      <c r="D90" s="10">
        <f t="shared" si="14"/>
        <v>-0.38980777739764078</v>
      </c>
      <c r="E90" s="10">
        <f t="shared" si="15"/>
        <v>-0.52535136612021827</v>
      </c>
      <c r="F90" s="10">
        <f t="shared" si="23"/>
        <v>0.15195010331968867</v>
      </c>
      <c r="G90" s="10">
        <f t="shared" si="23"/>
        <v>0.27599405788437964</v>
      </c>
      <c r="H90" s="11">
        <f t="shared" si="3"/>
        <v>0.20478604838013653</v>
      </c>
      <c r="I90" s="12">
        <f t="shared" si="4"/>
        <v>2E-3</v>
      </c>
      <c r="J90" s="28">
        <f t="shared" si="5"/>
        <v>3.9999999999999998E-6</v>
      </c>
      <c r="K90" s="30">
        <f t="shared" si="16"/>
        <v>2E-3</v>
      </c>
      <c r="L90" s="5"/>
      <c r="M90" s="30">
        <f t="shared" si="17"/>
        <v>-2E-3</v>
      </c>
      <c r="N90" s="42">
        <f t="shared" si="18"/>
        <v>-2E-3</v>
      </c>
      <c r="O90" s="43">
        <f t="shared" si="19"/>
        <v>3.9999999999999998E-6</v>
      </c>
      <c r="P90" s="43">
        <f t="shared" si="20"/>
        <v>-0.34013437099999999</v>
      </c>
      <c r="Q90" s="43">
        <f t="shared" si="21"/>
        <v>-0.34013437099999999</v>
      </c>
      <c r="R90" s="43">
        <f t="shared" si="22"/>
        <v>0.11569139033556564</v>
      </c>
    </row>
    <row r="91" spans="1:18" x14ac:dyDescent="0.3">
      <c r="A91" s="47">
        <v>38073</v>
      </c>
      <c r="B91" s="48">
        <v>0</v>
      </c>
      <c r="C91" s="49">
        <v>1.5E-3</v>
      </c>
      <c r="D91" s="10">
        <f t="shared" si="14"/>
        <v>-0.38980777739764078</v>
      </c>
      <c r="E91" s="10">
        <f t="shared" si="15"/>
        <v>-0.52585136612021832</v>
      </c>
      <c r="F91" s="10">
        <f t="shared" si="23"/>
        <v>0.15195010331968867</v>
      </c>
      <c r="G91" s="10">
        <f t="shared" si="23"/>
        <v>0.27651965925049987</v>
      </c>
      <c r="H91" s="11">
        <f t="shared" si="3"/>
        <v>0.20498095226883536</v>
      </c>
      <c r="I91" s="12">
        <f t="shared" si="4"/>
        <v>1.5E-3</v>
      </c>
      <c r="J91" s="28">
        <f t="shared" si="5"/>
        <v>2.2500000000000001E-6</v>
      </c>
      <c r="K91" s="30">
        <f t="shared" si="16"/>
        <v>1.5E-3</v>
      </c>
      <c r="L91" s="5"/>
      <c r="M91" s="30">
        <f t="shared" si="17"/>
        <v>-1.5E-3</v>
      </c>
      <c r="N91" s="42">
        <f t="shared" si="18"/>
        <v>-1.5E-3</v>
      </c>
      <c r="O91" s="43">
        <f t="shared" si="19"/>
        <v>2.2500000000000001E-6</v>
      </c>
      <c r="P91" s="43">
        <f t="shared" si="20"/>
        <v>-0.34013437099999999</v>
      </c>
      <c r="Q91" s="43">
        <f t="shared" si="21"/>
        <v>-0.34013437099999999</v>
      </c>
      <c r="R91" s="43">
        <f t="shared" si="22"/>
        <v>0.11569139033556564</v>
      </c>
    </row>
    <row r="92" spans="1:18" x14ac:dyDescent="0.3">
      <c r="A92" s="47">
        <v>38074</v>
      </c>
      <c r="B92" s="48">
        <v>0</v>
      </c>
      <c r="C92" s="49">
        <v>0</v>
      </c>
      <c r="D92" s="10">
        <f t="shared" si="14"/>
        <v>-0.38980777739764078</v>
      </c>
      <c r="E92" s="10">
        <f t="shared" si="15"/>
        <v>-0.52735136612021827</v>
      </c>
      <c r="F92" s="10">
        <f t="shared" si="23"/>
        <v>0.15195010331968867</v>
      </c>
      <c r="G92" s="10">
        <f t="shared" si="23"/>
        <v>0.27809946334886049</v>
      </c>
      <c r="H92" s="11">
        <f t="shared" si="3"/>
        <v>0.20556566393493181</v>
      </c>
      <c r="I92" s="12">
        <f t="shared" si="4"/>
        <v>0</v>
      </c>
      <c r="J92" s="28">
        <f t="shared" si="5"/>
        <v>0</v>
      </c>
      <c r="K92" s="30">
        <f t="shared" si="16"/>
        <v>0</v>
      </c>
      <c r="L92" s="5"/>
      <c r="M92" s="30">
        <f t="shared" si="17"/>
        <v>0</v>
      </c>
      <c r="N92" s="42">
        <f t="shared" si="18"/>
        <v>0</v>
      </c>
      <c r="O92" s="43">
        <f t="shared" si="19"/>
        <v>0</v>
      </c>
      <c r="P92" s="43">
        <f t="shared" si="20"/>
        <v>-0.34013437099999999</v>
      </c>
      <c r="Q92" s="43">
        <f t="shared" si="21"/>
        <v>-0.34013437099999999</v>
      </c>
      <c r="R92" s="43">
        <f t="shared" si="22"/>
        <v>0.11569139033556564</v>
      </c>
    </row>
    <row r="93" spans="1:18" x14ac:dyDescent="0.3">
      <c r="A93" s="47">
        <v>38075</v>
      </c>
      <c r="B93" s="48">
        <v>0</v>
      </c>
      <c r="C93" s="49">
        <v>4.4000000000000003E-3</v>
      </c>
      <c r="D93" s="10">
        <f t="shared" si="14"/>
        <v>-0.38980777739764078</v>
      </c>
      <c r="E93" s="10">
        <f t="shared" si="15"/>
        <v>-0.52295136612021831</v>
      </c>
      <c r="F93" s="10">
        <f t="shared" si="23"/>
        <v>0.15195010331968867</v>
      </c>
      <c r="G93" s="10">
        <f t="shared" si="23"/>
        <v>0.2734781313270026</v>
      </c>
      <c r="H93" s="11">
        <f t="shared" si="3"/>
        <v>0.20385050971438221</v>
      </c>
      <c r="I93" s="12">
        <f t="shared" si="4"/>
        <v>4.4000000000000003E-3</v>
      </c>
      <c r="J93" s="28">
        <f t="shared" si="5"/>
        <v>1.9360000000000001E-5</v>
      </c>
      <c r="K93" s="30">
        <f t="shared" si="16"/>
        <v>4.4000000000000003E-3</v>
      </c>
      <c r="L93" s="5"/>
      <c r="M93" s="30">
        <f t="shared" si="17"/>
        <v>-4.4000000000000003E-3</v>
      </c>
      <c r="N93" s="42">
        <f t="shared" si="18"/>
        <v>-4.4000000000000003E-3</v>
      </c>
      <c r="O93" s="43">
        <f t="shared" si="19"/>
        <v>1.9360000000000001E-5</v>
      </c>
      <c r="P93" s="43">
        <f t="shared" si="20"/>
        <v>-0.34013437099999999</v>
      </c>
      <c r="Q93" s="43">
        <f t="shared" si="21"/>
        <v>-0.34013437099999999</v>
      </c>
      <c r="R93" s="43">
        <f t="shared" si="22"/>
        <v>0.11569139033556564</v>
      </c>
    </row>
    <row r="94" spans="1:18" x14ac:dyDescent="0.3">
      <c r="A94" s="47">
        <v>38076</v>
      </c>
      <c r="B94" s="48">
        <v>0</v>
      </c>
      <c r="C94" s="49">
        <v>0</v>
      </c>
      <c r="D94" s="10">
        <f t="shared" si="14"/>
        <v>-0.38980777739764078</v>
      </c>
      <c r="E94" s="10">
        <f t="shared" si="15"/>
        <v>-0.52735136612021827</v>
      </c>
      <c r="F94" s="10">
        <f t="shared" si="23"/>
        <v>0.15195010331968867</v>
      </c>
      <c r="G94" s="10">
        <f t="shared" si="23"/>
        <v>0.27809946334886049</v>
      </c>
      <c r="H94" s="11">
        <f t="shared" si="3"/>
        <v>0.20556566393493181</v>
      </c>
      <c r="I94" s="12">
        <f t="shared" si="4"/>
        <v>0</v>
      </c>
      <c r="J94" s="28">
        <f t="shared" si="5"/>
        <v>0</v>
      </c>
      <c r="K94" s="30">
        <f t="shared" si="16"/>
        <v>0</v>
      </c>
      <c r="L94" s="5"/>
      <c r="M94" s="30">
        <f t="shared" si="17"/>
        <v>0</v>
      </c>
      <c r="N94" s="42">
        <f t="shared" si="18"/>
        <v>0</v>
      </c>
      <c r="O94" s="43">
        <f t="shared" si="19"/>
        <v>0</v>
      </c>
      <c r="P94" s="43">
        <f t="shared" si="20"/>
        <v>-0.34013437099999999</v>
      </c>
      <c r="Q94" s="43">
        <f t="shared" si="21"/>
        <v>-0.34013437099999999</v>
      </c>
      <c r="R94" s="43">
        <f t="shared" si="22"/>
        <v>0.11569139033556564</v>
      </c>
    </row>
    <row r="95" spans="1:18" x14ac:dyDescent="0.3">
      <c r="A95" s="47">
        <v>38077</v>
      </c>
      <c r="B95" s="48">
        <v>0</v>
      </c>
      <c r="C95" s="49">
        <v>0</v>
      </c>
      <c r="D95" s="10">
        <f t="shared" si="14"/>
        <v>-0.38980777739764078</v>
      </c>
      <c r="E95" s="10">
        <f t="shared" si="15"/>
        <v>-0.52735136612021827</v>
      </c>
      <c r="F95" s="10">
        <f t="shared" si="23"/>
        <v>0.15195010331968867</v>
      </c>
      <c r="G95" s="10">
        <f t="shared" si="23"/>
        <v>0.27809946334886049</v>
      </c>
      <c r="H95" s="11">
        <f t="shared" si="3"/>
        <v>0.20556566393493181</v>
      </c>
      <c r="I95" s="12">
        <f t="shared" si="4"/>
        <v>0</v>
      </c>
      <c r="J95" s="28">
        <f t="shared" si="5"/>
        <v>0</v>
      </c>
      <c r="K95" s="30">
        <f t="shared" si="16"/>
        <v>0</v>
      </c>
      <c r="L95" s="5"/>
      <c r="M95" s="30">
        <f t="shared" si="17"/>
        <v>0</v>
      </c>
      <c r="N95" s="42">
        <f t="shared" si="18"/>
        <v>0</v>
      </c>
      <c r="O95" s="43">
        <f t="shared" si="19"/>
        <v>0</v>
      </c>
      <c r="P95" s="43">
        <f t="shared" si="20"/>
        <v>-0.34013437099999999</v>
      </c>
      <c r="Q95" s="43">
        <f t="shared" si="21"/>
        <v>-0.34013437099999999</v>
      </c>
      <c r="R95" s="43">
        <f t="shared" si="22"/>
        <v>0.11569139033556564</v>
      </c>
    </row>
    <row r="96" spans="1:18" x14ac:dyDescent="0.3">
      <c r="A96" s="47">
        <v>38078</v>
      </c>
      <c r="B96" s="48">
        <v>0</v>
      </c>
      <c r="C96" s="49">
        <v>0</v>
      </c>
      <c r="D96" s="10">
        <f t="shared" si="14"/>
        <v>-0.38980777739764078</v>
      </c>
      <c r="E96" s="10">
        <f t="shared" si="15"/>
        <v>-0.52735136612021827</v>
      </c>
      <c r="F96" s="10">
        <f t="shared" si="23"/>
        <v>0.15195010331968867</v>
      </c>
      <c r="G96" s="10">
        <f t="shared" si="23"/>
        <v>0.27809946334886049</v>
      </c>
      <c r="H96" s="11">
        <f t="shared" si="3"/>
        <v>0.20556566393493181</v>
      </c>
      <c r="I96" s="12">
        <f t="shared" si="4"/>
        <v>0</v>
      </c>
      <c r="J96" s="28">
        <f t="shared" si="5"/>
        <v>0</v>
      </c>
      <c r="K96" s="30">
        <f t="shared" si="16"/>
        <v>0</v>
      </c>
      <c r="L96" s="5"/>
      <c r="M96" s="30">
        <f t="shared" si="17"/>
        <v>0</v>
      </c>
      <c r="N96" s="42">
        <f t="shared" si="18"/>
        <v>0</v>
      </c>
      <c r="O96" s="43">
        <f t="shared" si="19"/>
        <v>0</v>
      </c>
      <c r="P96" s="43">
        <f t="shared" si="20"/>
        <v>-0.34013437099999999</v>
      </c>
      <c r="Q96" s="43">
        <f t="shared" si="21"/>
        <v>-0.34013437099999999</v>
      </c>
      <c r="R96" s="43">
        <f t="shared" si="22"/>
        <v>0.11569139033556564</v>
      </c>
    </row>
    <row r="97" spans="1:18" x14ac:dyDescent="0.3">
      <c r="A97" s="47">
        <v>38079</v>
      </c>
      <c r="B97" s="48">
        <v>0</v>
      </c>
      <c r="C97" s="49">
        <v>1.0500000000000001E-2</v>
      </c>
      <c r="D97" s="10">
        <f t="shared" si="14"/>
        <v>-0.38980777739764078</v>
      </c>
      <c r="E97" s="10">
        <f t="shared" si="15"/>
        <v>-0.51685136612021831</v>
      </c>
      <c r="F97" s="10">
        <f t="shared" si="23"/>
        <v>0.15195010331968867</v>
      </c>
      <c r="G97" s="10">
        <f t="shared" si="23"/>
        <v>0.26713533466033595</v>
      </c>
      <c r="H97" s="11">
        <f t="shared" si="3"/>
        <v>0.20147268227225659</v>
      </c>
      <c r="I97" s="12">
        <f t="shared" si="4"/>
        <v>1.0500000000000001E-2</v>
      </c>
      <c r="J97" s="28">
        <f t="shared" si="5"/>
        <v>1.1025000000000001E-4</v>
      </c>
      <c r="K97" s="30">
        <f t="shared" si="16"/>
        <v>1.0500000000000001E-2</v>
      </c>
      <c r="L97" s="5"/>
      <c r="M97" s="30">
        <f t="shared" si="17"/>
        <v>-1.0500000000000001E-2</v>
      </c>
      <c r="N97" s="42">
        <f t="shared" si="18"/>
        <v>-1.0500000000000001E-2</v>
      </c>
      <c r="O97" s="43">
        <f t="shared" si="19"/>
        <v>1.1025000000000001E-4</v>
      </c>
      <c r="P97" s="43">
        <f t="shared" si="20"/>
        <v>-0.34013437099999999</v>
      </c>
      <c r="Q97" s="43">
        <f t="shared" si="21"/>
        <v>-0.34013437099999999</v>
      </c>
      <c r="R97" s="43">
        <f t="shared" si="22"/>
        <v>0.11569139033556564</v>
      </c>
    </row>
    <row r="98" spans="1:18" x14ac:dyDescent="0.3">
      <c r="A98" s="47">
        <v>38080</v>
      </c>
      <c r="B98" s="48">
        <v>0</v>
      </c>
      <c r="C98" s="49">
        <v>0.74199999999999999</v>
      </c>
      <c r="D98" s="10">
        <f t="shared" si="14"/>
        <v>-0.38980777739764078</v>
      </c>
      <c r="E98" s="10">
        <f t="shared" si="15"/>
        <v>0.21464863387978173</v>
      </c>
      <c r="F98" s="10">
        <f t="shared" si="23"/>
        <v>0.15195010331968867</v>
      </c>
      <c r="G98" s="10">
        <f t="shared" si="23"/>
        <v>4.6074036026456579E-2</v>
      </c>
      <c r="H98" s="11">
        <f t="shared" si="3"/>
        <v>-8.3671706894117653E-2</v>
      </c>
      <c r="I98" s="12">
        <f t="shared" si="4"/>
        <v>0.74199999999999999</v>
      </c>
      <c r="J98" s="28">
        <f t="shared" si="5"/>
        <v>0.55056399999999994</v>
      </c>
      <c r="K98" s="30">
        <f t="shared" si="16"/>
        <v>0.74199999999999999</v>
      </c>
      <c r="L98" s="5"/>
      <c r="M98" s="30">
        <f t="shared" si="17"/>
        <v>-0.74199999999999999</v>
      </c>
      <c r="N98" s="42">
        <f t="shared" si="18"/>
        <v>-0.74199999999999999</v>
      </c>
      <c r="O98" s="43">
        <f t="shared" si="19"/>
        <v>0.55056399999999994</v>
      </c>
      <c r="P98" s="43">
        <f t="shared" si="20"/>
        <v>-0.34013437099999999</v>
      </c>
      <c r="Q98" s="43">
        <f t="shared" si="21"/>
        <v>-0.34013437099999999</v>
      </c>
      <c r="R98" s="43">
        <f t="shared" si="22"/>
        <v>0.11569139033556564</v>
      </c>
    </row>
    <row r="99" spans="1:18" x14ac:dyDescent="0.3">
      <c r="A99" s="47">
        <v>38081</v>
      </c>
      <c r="B99" s="48">
        <v>0</v>
      </c>
      <c r="C99" s="49">
        <v>1.6500000000000001E-2</v>
      </c>
      <c r="D99" s="10">
        <f t="shared" si="14"/>
        <v>-0.38980777739764078</v>
      </c>
      <c r="E99" s="10">
        <f t="shared" si="15"/>
        <v>-0.51085136612021831</v>
      </c>
      <c r="F99" s="10">
        <f t="shared" si="23"/>
        <v>0.15195010331968867</v>
      </c>
      <c r="G99" s="10">
        <f t="shared" si="23"/>
        <v>0.26096911826689334</v>
      </c>
      <c r="H99" s="11">
        <f t="shared" si="3"/>
        <v>0.19913383560787074</v>
      </c>
      <c r="I99" s="12">
        <f t="shared" si="4"/>
        <v>1.6500000000000001E-2</v>
      </c>
      <c r="J99" s="28">
        <f t="shared" si="5"/>
        <v>2.7225000000000003E-4</v>
      </c>
      <c r="K99" s="30">
        <f t="shared" si="16"/>
        <v>1.6500000000000001E-2</v>
      </c>
      <c r="L99" s="5"/>
      <c r="M99" s="30">
        <f t="shared" si="17"/>
        <v>-1.6500000000000001E-2</v>
      </c>
      <c r="N99" s="42">
        <f t="shared" si="18"/>
        <v>-1.6500000000000001E-2</v>
      </c>
      <c r="O99" s="43">
        <f t="shared" si="19"/>
        <v>2.7225000000000003E-4</v>
      </c>
      <c r="P99" s="43">
        <f t="shared" si="20"/>
        <v>-0.34013437099999999</v>
      </c>
      <c r="Q99" s="43">
        <f t="shared" si="21"/>
        <v>-0.34013437099999999</v>
      </c>
      <c r="R99" s="43">
        <f t="shared" si="22"/>
        <v>0.11569139033556564</v>
      </c>
    </row>
    <row r="100" spans="1:18" x14ac:dyDescent="0.3">
      <c r="A100" s="47">
        <v>38082</v>
      </c>
      <c r="B100" s="48">
        <v>0</v>
      </c>
      <c r="C100" s="49">
        <v>1.2999999999999999E-3</v>
      </c>
      <c r="D100" s="10">
        <f t="shared" si="14"/>
        <v>-0.38980777739764078</v>
      </c>
      <c r="E100" s="10">
        <f t="shared" si="15"/>
        <v>-0.5260513661202183</v>
      </c>
      <c r="F100" s="10">
        <f t="shared" si="23"/>
        <v>0.15195010331968867</v>
      </c>
      <c r="G100" s="10">
        <f t="shared" si="23"/>
        <v>0.27673003979694794</v>
      </c>
      <c r="H100" s="11">
        <f t="shared" si="3"/>
        <v>0.20505891382431488</v>
      </c>
      <c r="I100" s="12">
        <f t="shared" si="4"/>
        <v>1.2999999999999999E-3</v>
      </c>
      <c r="J100" s="28">
        <f t="shared" si="5"/>
        <v>1.6899999999999999E-6</v>
      </c>
      <c r="K100" s="30">
        <f t="shared" si="16"/>
        <v>1.2999999999999999E-3</v>
      </c>
      <c r="L100" s="5"/>
      <c r="M100" s="30">
        <f t="shared" si="17"/>
        <v>-1.2999999999999999E-3</v>
      </c>
      <c r="N100" s="42">
        <f t="shared" si="18"/>
        <v>-1.2999999999999999E-3</v>
      </c>
      <c r="O100" s="43">
        <f t="shared" si="19"/>
        <v>1.6899999999999999E-6</v>
      </c>
      <c r="P100" s="43">
        <f t="shared" si="20"/>
        <v>-0.34013437099999999</v>
      </c>
      <c r="Q100" s="43">
        <f t="shared" si="21"/>
        <v>-0.34013437099999999</v>
      </c>
      <c r="R100" s="43">
        <f t="shared" si="22"/>
        <v>0.11569139033556564</v>
      </c>
    </row>
    <row r="101" spans="1:18" x14ac:dyDescent="0.3">
      <c r="A101" s="47">
        <v>38083</v>
      </c>
      <c r="B101" s="48">
        <v>0</v>
      </c>
      <c r="C101" s="49">
        <v>7.6600000000000001E-2</v>
      </c>
      <c r="D101" s="10">
        <f t="shared" si="14"/>
        <v>-0.38980777739764078</v>
      </c>
      <c r="E101" s="10">
        <f t="shared" si="15"/>
        <v>-0.45075136612021827</v>
      </c>
      <c r="F101" s="10">
        <f t="shared" si="23"/>
        <v>0.15195010331968867</v>
      </c>
      <c r="G101" s="10">
        <f t="shared" si="23"/>
        <v>0.20317679405924305</v>
      </c>
      <c r="H101" s="11">
        <f t="shared" si="3"/>
        <v>0.17570638818627252</v>
      </c>
      <c r="I101" s="12">
        <f t="shared" si="4"/>
        <v>7.6600000000000001E-2</v>
      </c>
      <c r="J101" s="28">
        <f t="shared" si="5"/>
        <v>5.86756E-3</v>
      </c>
      <c r="K101" s="30">
        <f t="shared" si="16"/>
        <v>7.6600000000000001E-2</v>
      </c>
      <c r="L101" s="5"/>
      <c r="M101" s="30">
        <f t="shared" si="17"/>
        <v>-7.6600000000000001E-2</v>
      </c>
      <c r="N101" s="42">
        <f t="shared" si="18"/>
        <v>-7.6600000000000001E-2</v>
      </c>
      <c r="O101" s="43">
        <f t="shared" si="19"/>
        <v>5.86756E-3</v>
      </c>
      <c r="P101" s="43">
        <f t="shared" si="20"/>
        <v>-0.34013437099999999</v>
      </c>
      <c r="Q101" s="43">
        <f t="shared" si="21"/>
        <v>-0.34013437099999999</v>
      </c>
      <c r="R101" s="43">
        <f t="shared" si="22"/>
        <v>0.11569139033556564</v>
      </c>
    </row>
    <row r="102" spans="1:18" x14ac:dyDescent="0.3">
      <c r="A102" s="47">
        <v>38084</v>
      </c>
      <c r="B102" s="48">
        <v>0</v>
      </c>
      <c r="C102" s="49">
        <v>0</v>
      </c>
      <c r="D102" s="10">
        <f t="shared" si="14"/>
        <v>-0.38980777739764078</v>
      </c>
      <c r="E102" s="10">
        <f t="shared" si="15"/>
        <v>-0.52735136612021827</v>
      </c>
      <c r="F102" s="10">
        <f t="shared" si="23"/>
        <v>0.15195010331968867</v>
      </c>
      <c r="G102" s="10">
        <f t="shared" si="23"/>
        <v>0.27809946334886049</v>
      </c>
      <c r="H102" s="11">
        <f t="shared" si="3"/>
        <v>0.20556566393493181</v>
      </c>
      <c r="I102" s="12">
        <f t="shared" si="4"/>
        <v>0</v>
      </c>
      <c r="J102" s="28">
        <f t="shared" si="5"/>
        <v>0</v>
      </c>
      <c r="K102" s="30">
        <f t="shared" si="16"/>
        <v>0</v>
      </c>
      <c r="L102" s="5"/>
      <c r="M102" s="30">
        <f t="shared" si="17"/>
        <v>0</v>
      </c>
      <c r="N102" s="42">
        <f t="shared" si="18"/>
        <v>0</v>
      </c>
      <c r="O102" s="43">
        <f t="shared" si="19"/>
        <v>0</v>
      </c>
      <c r="P102" s="43">
        <f t="shared" si="20"/>
        <v>-0.34013437099999999</v>
      </c>
      <c r="Q102" s="43">
        <f t="shared" si="21"/>
        <v>-0.34013437099999999</v>
      </c>
      <c r="R102" s="43">
        <f t="shared" si="22"/>
        <v>0.11569139033556564</v>
      </c>
    </row>
    <row r="103" spans="1:18" x14ac:dyDescent="0.3">
      <c r="A103" s="47">
        <v>38085</v>
      </c>
      <c r="B103" s="48">
        <v>0</v>
      </c>
      <c r="C103" s="49">
        <v>0</v>
      </c>
      <c r="D103" s="10">
        <f t="shared" si="14"/>
        <v>-0.38980777739764078</v>
      </c>
      <c r="E103" s="10">
        <f t="shared" si="15"/>
        <v>-0.52735136612021827</v>
      </c>
      <c r="F103" s="10">
        <f t="shared" si="23"/>
        <v>0.15195010331968867</v>
      </c>
      <c r="G103" s="10">
        <f t="shared" si="23"/>
        <v>0.27809946334886049</v>
      </c>
      <c r="H103" s="11">
        <f t="shared" si="3"/>
        <v>0.20556566393493181</v>
      </c>
      <c r="I103" s="12">
        <f t="shared" si="4"/>
        <v>0</v>
      </c>
      <c r="J103" s="28">
        <f t="shared" si="5"/>
        <v>0</v>
      </c>
      <c r="K103" s="30">
        <f t="shared" si="16"/>
        <v>0</v>
      </c>
      <c r="L103" s="5"/>
      <c r="M103" s="30">
        <f t="shared" si="17"/>
        <v>0</v>
      </c>
      <c r="N103" s="42">
        <f t="shared" si="18"/>
        <v>0</v>
      </c>
      <c r="O103" s="43">
        <f t="shared" si="19"/>
        <v>0</v>
      </c>
      <c r="P103" s="43">
        <f t="shared" si="20"/>
        <v>-0.34013437099999999</v>
      </c>
      <c r="Q103" s="43">
        <f t="shared" si="21"/>
        <v>-0.34013437099999999</v>
      </c>
      <c r="R103" s="43">
        <f t="shared" si="22"/>
        <v>0.11569139033556564</v>
      </c>
    </row>
    <row r="104" spans="1:18" x14ac:dyDescent="0.3">
      <c r="A104" s="47">
        <v>38086</v>
      </c>
      <c r="B104" s="48">
        <v>0</v>
      </c>
      <c r="C104" s="49">
        <v>0</v>
      </c>
      <c r="D104" s="10">
        <f t="shared" si="14"/>
        <v>-0.38980777739764078</v>
      </c>
      <c r="E104" s="10">
        <f t="shared" si="15"/>
        <v>-0.52735136612021827</v>
      </c>
      <c r="F104" s="10">
        <f t="shared" si="23"/>
        <v>0.15195010331968867</v>
      </c>
      <c r="G104" s="10">
        <f t="shared" si="23"/>
        <v>0.27809946334886049</v>
      </c>
      <c r="H104" s="11">
        <f t="shared" si="3"/>
        <v>0.20556566393493181</v>
      </c>
      <c r="I104" s="12">
        <f t="shared" si="4"/>
        <v>0</v>
      </c>
      <c r="J104" s="28">
        <f t="shared" si="5"/>
        <v>0</v>
      </c>
      <c r="K104" s="30">
        <f t="shared" si="16"/>
        <v>0</v>
      </c>
      <c r="L104" s="5"/>
      <c r="M104" s="30">
        <f t="shared" si="17"/>
        <v>0</v>
      </c>
      <c r="N104" s="42">
        <f t="shared" si="18"/>
        <v>0</v>
      </c>
      <c r="O104" s="43">
        <f t="shared" si="19"/>
        <v>0</v>
      </c>
      <c r="P104" s="43">
        <f t="shared" si="20"/>
        <v>-0.34013437099999999</v>
      </c>
      <c r="Q104" s="43">
        <f t="shared" si="21"/>
        <v>-0.34013437099999999</v>
      </c>
      <c r="R104" s="43">
        <f t="shared" si="22"/>
        <v>0.11569139033556564</v>
      </c>
    </row>
    <row r="105" spans="1:18" x14ac:dyDescent="0.3">
      <c r="A105" s="47">
        <v>38087</v>
      </c>
      <c r="B105" s="48">
        <v>0</v>
      </c>
      <c r="C105" s="49">
        <v>0</v>
      </c>
      <c r="D105" s="10">
        <f t="shared" si="14"/>
        <v>-0.38980777739764078</v>
      </c>
      <c r="E105" s="10">
        <f t="shared" si="15"/>
        <v>-0.52735136612021827</v>
      </c>
      <c r="F105" s="10">
        <f t="shared" si="23"/>
        <v>0.15195010331968867</v>
      </c>
      <c r="G105" s="10">
        <f t="shared" si="23"/>
        <v>0.27809946334886049</v>
      </c>
      <c r="H105" s="11">
        <f t="shared" si="3"/>
        <v>0.20556566393493181</v>
      </c>
      <c r="I105" s="12">
        <f t="shared" si="4"/>
        <v>0</v>
      </c>
      <c r="J105" s="28">
        <f t="shared" si="5"/>
        <v>0</v>
      </c>
      <c r="K105" s="30">
        <f t="shared" si="16"/>
        <v>0</v>
      </c>
      <c r="L105" s="5"/>
      <c r="M105" s="30">
        <f t="shared" si="17"/>
        <v>0</v>
      </c>
      <c r="N105" s="42">
        <f t="shared" si="18"/>
        <v>0</v>
      </c>
      <c r="O105" s="43">
        <f t="shared" si="19"/>
        <v>0</v>
      </c>
      <c r="P105" s="43">
        <f t="shared" si="20"/>
        <v>-0.34013437099999999</v>
      </c>
      <c r="Q105" s="43">
        <f t="shared" si="21"/>
        <v>-0.34013437099999999</v>
      </c>
      <c r="R105" s="43">
        <f t="shared" si="22"/>
        <v>0.11569139033556564</v>
      </c>
    </row>
    <row r="106" spans="1:18" x14ac:dyDescent="0.3">
      <c r="A106" s="47">
        <v>38088</v>
      </c>
      <c r="B106" s="48">
        <v>0</v>
      </c>
      <c r="C106" s="49">
        <v>0</v>
      </c>
      <c r="D106" s="10">
        <f t="shared" si="14"/>
        <v>-0.38980777739764078</v>
      </c>
      <c r="E106" s="10">
        <f t="shared" si="15"/>
        <v>-0.52735136612021827</v>
      </c>
      <c r="F106" s="10">
        <f t="shared" si="23"/>
        <v>0.15195010331968867</v>
      </c>
      <c r="G106" s="10">
        <f t="shared" si="23"/>
        <v>0.27809946334886049</v>
      </c>
      <c r="H106" s="11">
        <f t="shared" si="3"/>
        <v>0.20556566393493181</v>
      </c>
      <c r="I106" s="12">
        <f t="shared" si="4"/>
        <v>0</v>
      </c>
      <c r="J106" s="28">
        <f t="shared" si="5"/>
        <v>0</v>
      </c>
      <c r="K106" s="30">
        <f t="shared" si="16"/>
        <v>0</v>
      </c>
      <c r="L106" s="5"/>
      <c r="M106" s="30">
        <f t="shared" si="17"/>
        <v>0</v>
      </c>
      <c r="N106" s="42">
        <f t="shared" si="18"/>
        <v>0</v>
      </c>
      <c r="O106" s="43">
        <f t="shared" si="19"/>
        <v>0</v>
      </c>
      <c r="P106" s="43">
        <f t="shared" si="20"/>
        <v>-0.34013437099999999</v>
      </c>
      <c r="Q106" s="43">
        <f t="shared" si="21"/>
        <v>-0.34013437099999999</v>
      </c>
      <c r="R106" s="43">
        <f t="shared" si="22"/>
        <v>0.11569139033556564</v>
      </c>
    </row>
    <row r="107" spans="1:18" x14ac:dyDescent="0.3">
      <c r="A107" s="47">
        <v>38089</v>
      </c>
      <c r="B107" s="48">
        <v>0</v>
      </c>
      <c r="C107" s="49">
        <v>0</v>
      </c>
      <c r="D107" s="10">
        <f t="shared" si="14"/>
        <v>-0.38980777739764078</v>
      </c>
      <c r="E107" s="10">
        <f t="shared" si="15"/>
        <v>-0.52735136612021827</v>
      </c>
      <c r="F107" s="10">
        <f t="shared" si="23"/>
        <v>0.15195010331968867</v>
      </c>
      <c r="G107" s="10">
        <f t="shared" si="23"/>
        <v>0.27809946334886049</v>
      </c>
      <c r="H107" s="11">
        <f t="shared" si="3"/>
        <v>0.20556566393493181</v>
      </c>
      <c r="I107" s="12">
        <f t="shared" si="4"/>
        <v>0</v>
      </c>
      <c r="J107" s="28">
        <f t="shared" si="5"/>
        <v>0</v>
      </c>
      <c r="K107" s="30">
        <f t="shared" si="16"/>
        <v>0</v>
      </c>
      <c r="L107" s="5"/>
      <c r="M107" s="30">
        <f t="shared" si="17"/>
        <v>0</v>
      </c>
      <c r="N107" s="42">
        <f t="shared" si="18"/>
        <v>0</v>
      </c>
      <c r="O107" s="43">
        <f t="shared" si="19"/>
        <v>0</v>
      </c>
      <c r="P107" s="43">
        <f t="shared" si="20"/>
        <v>-0.34013437099999999</v>
      </c>
      <c r="Q107" s="43">
        <f t="shared" si="21"/>
        <v>-0.34013437099999999</v>
      </c>
      <c r="R107" s="43">
        <f t="shared" si="22"/>
        <v>0.11569139033556564</v>
      </c>
    </row>
    <row r="108" spans="1:18" x14ac:dyDescent="0.3">
      <c r="A108" s="47">
        <v>38090</v>
      </c>
      <c r="B108" s="48">
        <v>0</v>
      </c>
      <c r="C108" s="49">
        <v>0</v>
      </c>
      <c r="D108" s="10">
        <f t="shared" si="14"/>
        <v>-0.38980777739764078</v>
      </c>
      <c r="E108" s="10">
        <f t="shared" si="15"/>
        <v>-0.52735136612021827</v>
      </c>
      <c r="F108" s="10">
        <f t="shared" si="23"/>
        <v>0.15195010331968867</v>
      </c>
      <c r="G108" s="10">
        <f t="shared" si="23"/>
        <v>0.27809946334886049</v>
      </c>
      <c r="H108" s="11">
        <f t="shared" si="3"/>
        <v>0.20556566393493181</v>
      </c>
      <c r="I108" s="12">
        <f t="shared" si="4"/>
        <v>0</v>
      </c>
      <c r="J108" s="28">
        <f t="shared" si="5"/>
        <v>0</v>
      </c>
      <c r="K108" s="30">
        <f t="shared" si="16"/>
        <v>0</v>
      </c>
      <c r="L108" s="5"/>
      <c r="M108" s="30">
        <f t="shared" si="17"/>
        <v>0</v>
      </c>
      <c r="N108" s="42">
        <f t="shared" si="18"/>
        <v>0</v>
      </c>
      <c r="O108" s="43">
        <f t="shared" si="19"/>
        <v>0</v>
      </c>
      <c r="P108" s="43">
        <f t="shared" si="20"/>
        <v>-0.34013437099999999</v>
      </c>
      <c r="Q108" s="43">
        <f t="shared" si="21"/>
        <v>-0.34013437099999999</v>
      </c>
      <c r="R108" s="43">
        <f t="shared" si="22"/>
        <v>0.11569139033556564</v>
      </c>
    </row>
    <row r="109" spans="1:18" x14ac:dyDescent="0.3">
      <c r="A109" s="47">
        <v>38091</v>
      </c>
      <c r="B109" s="48">
        <v>0</v>
      </c>
      <c r="C109" s="49">
        <v>0</v>
      </c>
      <c r="D109" s="10">
        <f t="shared" si="14"/>
        <v>-0.38980777739764078</v>
      </c>
      <c r="E109" s="10">
        <f t="shared" si="15"/>
        <v>-0.52735136612021827</v>
      </c>
      <c r="F109" s="10">
        <f t="shared" si="23"/>
        <v>0.15195010331968867</v>
      </c>
      <c r="G109" s="10">
        <f t="shared" si="23"/>
        <v>0.27809946334886049</v>
      </c>
      <c r="H109" s="11">
        <f t="shared" si="3"/>
        <v>0.20556566393493181</v>
      </c>
      <c r="I109" s="12">
        <f t="shared" si="4"/>
        <v>0</v>
      </c>
      <c r="J109" s="28">
        <f t="shared" si="5"/>
        <v>0</v>
      </c>
      <c r="K109" s="30">
        <f t="shared" si="16"/>
        <v>0</v>
      </c>
      <c r="L109" s="5"/>
      <c r="M109" s="30">
        <f t="shared" si="17"/>
        <v>0</v>
      </c>
      <c r="N109" s="42">
        <f t="shared" si="18"/>
        <v>0</v>
      </c>
      <c r="O109" s="43">
        <f t="shared" si="19"/>
        <v>0</v>
      </c>
      <c r="P109" s="43">
        <f t="shared" si="20"/>
        <v>-0.34013437099999999</v>
      </c>
      <c r="Q109" s="43">
        <f t="shared" si="21"/>
        <v>-0.34013437099999999</v>
      </c>
      <c r="R109" s="43">
        <f t="shared" si="22"/>
        <v>0.11569139033556564</v>
      </c>
    </row>
    <row r="110" spans="1:18" x14ac:dyDescent="0.3">
      <c r="A110" s="47">
        <v>38092</v>
      </c>
      <c r="B110" s="48">
        <v>0</v>
      </c>
      <c r="C110" s="49">
        <v>0</v>
      </c>
      <c r="D110" s="10">
        <f t="shared" si="14"/>
        <v>-0.38980777739764078</v>
      </c>
      <c r="E110" s="10">
        <f t="shared" si="15"/>
        <v>-0.52735136612021827</v>
      </c>
      <c r="F110" s="10">
        <f t="shared" si="23"/>
        <v>0.15195010331968867</v>
      </c>
      <c r="G110" s="10">
        <f t="shared" si="23"/>
        <v>0.27809946334886049</v>
      </c>
      <c r="H110" s="11">
        <f t="shared" si="3"/>
        <v>0.20556566393493181</v>
      </c>
      <c r="I110" s="12">
        <f t="shared" si="4"/>
        <v>0</v>
      </c>
      <c r="J110" s="28">
        <f t="shared" si="5"/>
        <v>0</v>
      </c>
      <c r="K110" s="30">
        <f t="shared" si="16"/>
        <v>0</v>
      </c>
      <c r="L110" s="5"/>
      <c r="M110" s="30">
        <f t="shared" si="17"/>
        <v>0</v>
      </c>
      <c r="N110" s="42">
        <f t="shared" si="18"/>
        <v>0</v>
      </c>
      <c r="O110" s="43">
        <f t="shared" si="19"/>
        <v>0</v>
      </c>
      <c r="P110" s="43">
        <f t="shared" si="20"/>
        <v>-0.34013437099999999</v>
      </c>
      <c r="Q110" s="43">
        <f t="shared" si="21"/>
        <v>-0.34013437099999999</v>
      </c>
      <c r="R110" s="43">
        <f t="shared" si="22"/>
        <v>0.11569139033556564</v>
      </c>
    </row>
    <row r="111" spans="1:18" x14ac:dyDescent="0.3">
      <c r="A111" s="47">
        <v>38093</v>
      </c>
      <c r="B111" s="48">
        <v>0</v>
      </c>
      <c r="C111" s="49">
        <v>1.1000000000000001E-3</v>
      </c>
      <c r="D111" s="10">
        <f t="shared" si="14"/>
        <v>-0.38980777739764078</v>
      </c>
      <c r="E111" s="10">
        <f t="shared" si="15"/>
        <v>-0.52625136612021828</v>
      </c>
      <c r="F111" s="10">
        <f t="shared" si="23"/>
        <v>0.15195010331968867</v>
      </c>
      <c r="G111" s="10">
        <f t="shared" si="23"/>
        <v>0.27694050034339601</v>
      </c>
      <c r="H111" s="11">
        <f t="shared" si="3"/>
        <v>0.20513687537979441</v>
      </c>
      <c r="I111" s="12">
        <f t="shared" si="4"/>
        <v>1.1000000000000001E-3</v>
      </c>
      <c r="J111" s="28">
        <f t="shared" si="5"/>
        <v>1.2100000000000001E-6</v>
      </c>
      <c r="K111" s="30">
        <f t="shared" si="16"/>
        <v>1.1000000000000001E-3</v>
      </c>
      <c r="L111" s="5"/>
      <c r="M111" s="30">
        <f t="shared" si="17"/>
        <v>-1.1000000000000001E-3</v>
      </c>
      <c r="N111" s="42">
        <f t="shared" si="18"/>
        <v>-1.1000000000000001E-3</v>
      </c>
      <c r="O111" s="43">
        <f t="shared" si="19"/>
        <v>1.2100000000000001E-6</v>
      </c>
      <c r="P111" s="43">
        <f t="shared" si="20"/>
        <v>-0.34013437099999999</v>
      </c>
      <c r="Q111" s="43">
        <f t="shared" si="21"/>
        <v>-0.34013437099999999</v>
      </c>
      <c r="R111" s="43">
        <f t="shared" si="22"/>
        <v>0.11569139033556564</v>
      </c>
    </row>
    <row r="112" spans="1:18" x14ac:dyDescent="0.3">
      <c r="A112" s="47">
        <v>38094</v>
      </c>
      <c r="B112" s="48">
        <v>0</v>
      </c>
      <c r="C112" s="49">
        <v>0</v>
      </c>
      <c r="D112" s="10">
        <f t="shared" si="14"/>
        <v>-0.38980777739764078</v>
      </c>
      <c r="E112" s="10">
        <f t="shared" si="15"/>
        <v>-0.52735136612021827</v>
      </c>
      <c r="F112" s="10">
        <f t="shared" si="23"/>
        <v>0.15195010331968867</v>
      </c>
      <c r="G112" s="10">
        <f t="shared" si="23"/>
        <v>0.27809946334886049</v>
      </c>
      <c r="H112" s="11">
        <f t="shared" si="3"/>
        <v>0.20556566393493181</v>
      </c>
      <c r="I112" s="12">
        <f t="shared" si="4"/>
        <v>0</v>
      </c>
      <c r="J112" s="28">
        <f t="shared" si="5"/>
        <v>0</v>
      </c>
      <c r="K112" s="30">
        <f t="shared" si="16"/>
        <v>0</v>
      </c>
      <c r="L112" s="5"/>
      <c r="M112" s="30">
        <f t="shared" si="17"/>
        <v>0</v>
      </c>
      <c r="N112" s="42">
        <f t="shared" si="18"/>
        <v>0</v>
      </c>
      <c r="O112" s="43">
        <f t="shared" si="19"/>
        <v>0</v>
      </c>
      <c r="P112" s="43">
        <f t="shared" si="20"/>
        <v>-0.34013437099999999</v>
      </c>
      <c r="Q112" s="43">
        <f t="shared" si="21"/>
        <v>-0.34013437099999999</v>
      </c>
      <c r="R112" s="43">
        <f t="shared" si="22"/>
        <v>0.11569139033556564</v>
      </c>
    </row>
    <row r="113" spans="1:18" x14ac:dyDescent="0.3">
      <c r="A113" s="47">
        <v>38095</v>
      </c>
      <c r="B113" s="48">
        <v>0</v>
      </c>
      <c r="C113" s="49">
        <v>7.8600000000000003E-2</v>
      </c>
      <c r="D113" s="10">
        <f t="shared" si="14"/>
        <v>-0.38980777739764078</v>
      </c>
      <c r="E113" s="10">
        <f t="shared" si="15"/>
        <v>-0.44875136612021826</v>
      </c>
      <c r="F113" s="10">
        <f t="shared" si="23"/>
        <v>0.15195010331968867</v>
      </c>
      <c r="G113" s="10">
        <f t="shared" si="23"/>
        <v>0.20137778859476219</v>
      </c>
      <c r="H113" s="11">
        <f t="shared" si="3"/>
        <v>0.17492677263147724</v>
      </c>
      <c r="I113" s="12">
        <f t="shared" si="4"/>
        <v>7.8600000000000003E-2</v>
      </c>
      <c r="J113" s="28">
        <f t="shared" si="5"/>
        <v>6.1779600000000006E-3</v>
      </c>
      <c r="K113" s="30">
        <f t="shared" si="16"/>
        <v>7.8600000000000003E-2</v>
      </c>
      <c r="L113" s="5"/>
      <c r="M113" s="30">
        <f t="shared" si="17"/>
        <v>-7.8600000000000003E-2</v>
      </c>
      <c r="N113" s="42">
        <f t="shared" si="18"/>
        <v>-7.8600000000000003E-2</v>
      </c>
      <c r="O113" s="43">
        <f t="shared" si="19"/>
        <v>6.1779600000000006E-3</v>
      </c>
      <c r="P113" s="43">
        <f t="shared" si="20"/>
        <v>-0.34013437099999999</v>
      </c>
      <c r="Q113" s="43">
        <f t="shared" si="21"/>
        <v>-0.34013437099999999</v>
      </c>
      <c r="R113" s="43">
        <f t="shared" si="22"/>
        <v>0.11569139033556564</v>
      </c>
    </row>
    <row r="114" spans="1:18" x14ac:dyDescent="0.3">
      <c r="A114" s="47">
        <v>38096</v>
      </c>
      <c r="B114" s="48">
        <v>0</v>
      </c>
      <c r="C114" s="49">
        <v>1.4E-3</v>
      </c>
      <c r="D114" s="10">
        <f t="shared" si="14"/>
        <v>-0.38980777739764078</v>
      </c>
      <c r="E114" s="10">
        <f t="shared" si="15"/>
        <v>-0.52595136612021831</v>
      </c>
      <c r="F114" s="10">
        <f t="shared" si="23"/>
        <v>0.15195010331968867</v>
      </c>
      <c r="G114" s="10">
        <f t="shared" si="23"/>
        <v>0.27662483952372391</v>
      </c>
      <c r="H114" s="11">
        <f t="shared" si="3"/>
        <v>0.20501993304657512</v>
      </c>
      <c r="I114" s="12">
        <f t="shared" si="4"/>
        <v>1.4E-3</v>
      </c>
      <c r="J114" s="28">
        <f t="shared" si="5"/>
        <v>1.9599999999999999E-6</v>
      </c>
      <c r="K114" s="30">
        <f t="shared" si="16"/>
        <v>1.4E-3</v>
      </c>
      <c r="L114" s="5"/>
      <c r="M114" s="30">
        <f t="shared" si="17"/>
        <v>-1.4E-3</v>
      </c>
      <c r="N114" s="42">
        <f t="shared" si="18"/>
        <v>-1.4E-3</v>
      </c>
      <c r="O114" s="43">
        <f t="shared" si="19"/>
        <v>1.9599999999999999E-6</v>
      </c>
      <c r="P114" s="43">
        <f t="shared" si="20"/>
        <v>-0.34013437099999999</v>
      </c>
      <c r="Q114" s="43">
        <f t="shared" si="21"/>
        <v>-0.34013437099999999</v>
      </c>
      <c r="R114" s="43">
        <f t="shared" si="22"/>
        <v>0.11569139033556564</v>
      </c>
    </row>
    <row r="115" spans="1:18" x14ac:dyDescent="0.3">
      <c r="A115" s="47">
        <v>38097</v>
      </c>
      <c r="B115" s="48">
        <v>0.27125126123428345</v>
      </c>
      <c r="C115" s="49">
        <v>4.7699999999999999E-2</v>
      </c>
      <c r="D115" s="10">
        <f t="shared" si="14"/>
        <v>-0.11855651616335733</v>
      </c>
      <c r="E115" s="10">
        <f t="shared" si="15"/>
        <v>-0.47965136612021825</v>
      </c>
      <c r="F115" s="10">
        <f t="shared" si="23"/>
        <v>1.4055647524792407E-2</v>
      </c>
      <c r="G115" s="10">
        <f t="shared" si="23"/>
        <v>0.23006543302099164</v>
      </c>
      <c r="H115" s="11">
        <f t="shared" si="3"/>
        <v>5.6865794940208075E-2</v>
      </c>
      <c r="I115" s="12">
        <f t="shared" si="4"/>
        <v>0.22355126123428345</v>
      </c>
      <c r="J115" s="28">
        <f t="shared" si="5"/>
        <v>4.9975166399438845E-2</v>
      </c>
      <c r="K115" s="30">
        <f t="shared" si="16"/>
        <v>-0.22355126123428345</v>
      </c>
      <c r="L115" s="5"/>
      <c r="M115" s="30">
        <f t="shared" si="17"/>
        <v>0.22355126123428345</v>
      </c>
      <c r="N115" s="42">
        <f t="shared" si="18"/>
        <v>0.22355126123428345</v>
      </c>
      <c r="O115" s="43">
        <f t="shared" si="19"/>
        <v>4.9975166399438845E-2</v>
      </c>
      <c r="P115" s="43">
        <f t="shared" si="20"/>
        <v>-6.8883109765716544E-2</v>
      </c>
      <c r="Q115" s="43">
        <f t="shared" si="21"/>
        <v>-6.8883109765716544E-2</v>
      </c>
      <c r="R115" s="43">
        <f t="shared" si="22"/>
        <v>4.7448828109957538E-3</v>
      </c>
    </row>
    <row r="116" spans="1:18" x14ac:dyDescent="0.3">
      <c r="A116" s="47">
        <v>38098</v>
      </c>
      <c r="B116" s="48">
        <v>0</v>
      </c>
      <c r="C116" s="49">
        <v>1.2990999999999999</v>
      </c>
      <c r="D116" s="10">
        <f t="shared" si="14"/>
        <v>-0.38980777739764078</v>
      </c>
      <c r="E116" s="10">
        <f t="shared" si="15"/>
        <v>0.77174863387978165</v>
      </c>
      <c r="F116" s="10">
        <f t="shared" si="23"/>
        <v>0.15195010331968867</v>
      </c>
      <c r="G116" s="10">
        <f t="shared" si="23"/>
        <v>0.59559595389530928</v>
      </c>
      <c r="H116" s="11">
        <f t="shared" si="3"/>
        <v>-0.30083361968234329</v>
      </c>
      <c r="I116" s="12">
        <f t="shared" si="4"/>
        <v>1.2990999999999999</v>
      </c>
      <c r="J116" s="28">
        <f t="shared" si="5"/>
        <v>1.6876608099999999</v>
      </c>
      <c r="K116" s="30">
        <f t="shared" si="16"/>
        <v>1.2990999999999999</v>
      </c>
      <c r="L116" s="5"/>
      <c r="M116" s="30">
        <f t="shared" si="17"/>
        <v>-1.2990999999999999</v>
      </c>
      <c r="N116" s="42">
        <f t="shared" si="18"/>
        <v>-1.2990999999999999</v>
      </c>
      <c r="O116" s="43">
        <f t="shared" si="19"/>
        <v>1.6876608099999999</v>
      </c>
      <c r="P116" s="43">
        <f t="shared" si="20"/>
        <v>-0.34013437099999999</v>
      </c>
      <c r="Q116" s="43">
        <f t="shared" si="21"/>
        <v>-0.34013437099999999</v>
      </c>
      <c r="R116" s="43">
        <f t="shared" si="22"/>
        <v>0.11569139033556564</v>
      </c>
    </row>
    <row r="117" spans="1:18" x14ac:dyDescent="0.3">
      <c r="A117" s="47">
        <v>38099</v>
      </c>
      <c r="B117" s="48">
        <v>0</v>
      </c>
      <c r="C117" s="49">
        <v>0.55249999999999999</v>
      </c>
      <c r="D117" s="10">
        <f t="shared" si="14"/>
        <v>-0.38980777739764078</v>
      </c>
      <c r="E117" s="10">
        <f t="shared" si="15"/>
        <v>2.5148633879781723E-2</v>
      </c>
      <c r="F117" s="10">
        <f t="shared" si="23"/>
        <v>0.15195010331968867</v>
      </c>
      <c r="G117" s="10">
        <f t="shared" si="23"/>
        <v>6.3245378601930514E-4</v>
      </c>
      <c r="H117" s="11">
        <f t="shared" si="3"/>
        <v>-9.803133077264721E-3</v>
      </c>
      <c r="I117" s="12">
        <f t="shared" si="4"/>
        <v>0.55249999999999999</v>
      </c>
      <c r="J117" s="28">
        <f t="shared" si="5"/>
        <v>0.30525625000000001</v>
      </c>
      <c r="K117" s="30">
        <f t="shared" si="16"/>
        <v>0.55249999999999999</v>
      </c>
      <c r="L117" s="5"/>
      <c r="M117" s="30">
        <f t="shared" si="17"/>
        <v>-0.55249999999999999</v>
      </c>
      <c r="N117" s="42">
        <f t="shared" si="18"/>
        <v>-0.55249999999999999</v>
      </c>
      <c r="O117" s="43">
        <f t="shared" si="19"/>
        <v>0.30525625000000001</v>
      </c>
      <c r="P117" s="43">
        <f t="shared" si="20"/>
        <v>-0.34013437099999999</v>
      </c>
      <c r="Q117" s="43">
        <f t="shared" si="21"/>
        <v>-0.34013437099999999</v>
      </c>
      <c r="R117" s="43">
        <f t="shared" si="22"/>
        <v>0.11569139033556564</v>
      </c>
    </row>
    <row r="118" spans="1:18" x14ac:dyDescent="0.3">
      <c r="A118" s="47">
        <v>38100</v>
      </c>
      <c r="B118" s="48">
        <v>0</v>
      </c>
      <c r="C118" s="49">
        <v>0.59740000000000004</v>
      </c>
      <c r="D118" s="10">
        <f t="shared" si="14"/>
        <v>-0.38980777739764078</v>
      </c>
      <c r="E118" s="10">
        <f t="shared" si="15"/>
        <v>7.0048633879781774E-2</v>
      </c>
      <c r="F118" s="10">
        <f t="shared" si="23"/>
        <v>0.15195010331968867</v>
      </c>
      <c r="G118" s="10">
        <f t="shared" si="23"/>
        <v>4.9068111084237106E-3</v>
      </c>
      <c r="H118" s="11">
        <f t="shared" si="3"/>
        <v>-2.7305502282418813E-2</v>
      </c>
      <c r="I118" s="12">
        <f t="shared" si="4"/>
        <v>0.59740000000000004</v>
      </c>
      <c r="J118" s="28">
        <f t="shared" si="5"/>
        <v>0.35688676000000003</v>
      </c>
      <c r="K118" s="30">
        <f t="shared" si="16"/>
        <v>0.59740000000000004</v>
      </c>
      <c r="L118" s="5"/>
      <c r="M118" s="30">
        <f t="shared" si="17"/>
        <v>-0.59740000000000004</v>
      </c>
      <c r="N118" s="42">
        <f t="shared" si="18"/>
        <v>-0.59740000000000004</v>
      </c>
      <c r="O118" s="43">
        <f t="shared" si="19"/>
        <v>0.35688676000000003</v>
      </c>
      <c r="P118" s="43">
        <f t="shared" si="20"/>
        <v>-0.34013437099999999</v>
      </c>
      <c r="Q118" s="43">
        <f t="shared" si="21"/>
        <v>-0.34013437099999999</v>
      </c>
      <c r="R118" s="43">
        <f t="shared" si="22"/>
        <v>0.11569139033556564</v>
      </c>
    </row>
    <row r="119" spans="1:18" x14ac:dyDescent="0.3">
      <c r="A119" s="47">
        <v>38101</v>
      </c>
      <c r="B119" s="48">
        <v>0</v>
      </c>
      <c r="C119" s="49">
        <v>0</v>
      </c>
      <c r="D119" s="10">
        <f t="shared" si="14"/>
        <v>-0.38980777739764078</v>
      </c>
      <c r="E119" s="10">
        <f t="shared" si="15"/>
        <v>-0.52735136612021827</v>
      </c>
      <c r="F119" s="10">
        <f t="shared" si="23"/>
        <v>0.15195010331968867</v>
      </c>
      <c r="G119" s="10">
        <f t="shared" si="23"/>
        <v>0.27809946334886049</v>
      </c>
      <c r="H119" s="11">
        <f t="shared" si="3"/>
        <v>0.20556566393493181</v>
      </c>
      <c r="I119" s="12">
        <f t="shared" si="4"/>
        <v>0</v>
      </c>
      <c r="J119" s="28">
        <f t="shared" si="5"/>
        <v>0</v>
      </c>
      <c r="K119" s="30">
        <f t="shared" si="16"/>
        <v>0</v>
      </c>
      <c r="L119" s="5"/>
      <c r="M119" s="30">
        <f t="shared" si="17"/>
        <v>0</v>
      </c>
      <c r="N119" s="42">
        <f t="shared" si="18"/>
        <v>0</v>
      </c>
      <c r="O119" s="43">
        <f t="shared" si="19"/>
        <v>0</v>
      </c>
      <c r="P119" s="43">
        <f t="shared" si="20"/>
        <v>-0.34013437099999999</v>
      </c>
      <c r="Q119" s="43">
        <f t="shared" si="21"/>
        <v>-0.34013437099999999</v>
      </c>
      <c r="R119" s="43">
        <f t="shared" si="22"/>
        <v>0.11569139033556564</v>
      </c>
    </row>
    <row r="120" spans="1:18" x14ac:dyDescent="0.3">
      <c r="A120" s="47">
        <v>38102</v>
      </c>
      <c r="B120" s="48">
        <v>0</v>
      </c>
      <c r="C120" s="49">
        <v>0</v>
      </c>
      <c r="D120" s="10">
        <f t="shared" si="14"/>
        <v>-0.38980777739764078</v>
      </c>
      <c r="E120" s="10">
        <f t="shared" si="15"/>
        <v>-0.52735136612021827</v>
      </c>
      <c r="F120" s="10">
        <f t="shared" si="23"/>
        <v>0.15195010331968867</v>
      </c>
      <c r="G120" s="10">
        <f t="shared" si="23"/>
        <v>0.27809946334886049</v>
      </c>
      <c r="H120" s="11">
        <f t="shared" si="3"/>
        <v>0.20556566393493181</v>
      </c>
      <c r="I120" s="12">
        <f t="shared" si="4"/>
        <v>0</v>
      </c>
      <c r="J120" s="28">
        <f t="shared" si="5"/>
        <v>0</v>
      </c>
      <c r="K120" s="30">
        <f t="shared" si="16"/>
        <v>0</v>
      </c>
      <c r="L120" s="5"/>
      <c r="M120" s="30">
        <f t="shared" si="17"/>
        <v>0</v>
      </c>
      <c r="N120" s="42">
        <f t="shared" si="18"/>
        <v>0</v>
      </c>
      <c r="O120" s="43">
        <f t="shared" si="19"/>
        <v>0</v>
      </c>
      <c r="P120" s="43">
        <f t="shared" si="20"/>
        <v>-0.34013437099999999</v>
      </c>
      <c r="Q120" s="43">
        <f t="shared" si="21"/>
        <v>-0.34013437099999999</v>
      </c>
      <c r="R120" s="43">
        <f t="shared" si="22"/>
        <v>0.11569139033556564</v>
      </c>
    </row>
    <row r="121" spans="1:18" x14ac:dyDescent="0.3">
      <c r="A121" s="47">
        <v>38103</v>
      </c>
      <c r="B121" s="48">
        <v>0</v>
      </c>
      <c r="C121" s="49">
        <v>5.7099999999999998E-2</v>
      </c>
      <c r="D121" s="10">
        <f t="shared" si="14"/>
        <v>-0.38980777739764078</v>
      </c>
      <c r="E121" s="10">
        <f t="shared" si="15"/>
        <v>-0.47025136612021828</v>
      </c>
      <c r="F121" s="10">
        <f t="shared" si="23"/>
        <v>0.15195010331968867</v>
      </c>
      <c r="G121" s="10">
        <f t="shared" si="23"/>
        <v>0.22113634733793158</v>
      </c>
      <c r="H121" s="11">
        <f t="shared" si="3"/>
        <v>0.18330763984552653</v>
      </c>
      <c r="I121" s="12">
        <f t="shared" si="4"/>
        <v>5.7099999999999998E-2</v>
      </c>
      <c r="J121" s="28">
        <f t="shared" si="5"/>
        <v>3.2604099999999996E-3</v>
      </c>
      <c r="K121" s="30">
        <f t="shared" si="16"/>
        <v>5.7099999999999998E-2</v>
      </c>
      <c r="L121" s="5"/>
      <c r="M121" s="30">
        <f t="shared" si="17"/>
        <v>-5.7099999999999998E-2</v>
      </c>
      <c r="N121" s="42">
        <f t="shared" si="18"/>
        <v>-5.7099999999999998E-2</v>
      </c>
      <c r="O121" s="43">
        <f t="shared" si="19"/>
        <v>3.2604099999999996E-3</v>
      </c>
      <c r="P121" s="43">
        <f t="shared" si="20"/>
        <v>-0.34013437099999999</v>
      </c>
      <c r="Q121" s="43">
        <f t="shared" si="21"/>
        <v>-0.34013437099999999</v>
      </c>
      <c r="R121" s="43">
        <f t="shared" si="22"/>
        <v>0.11569139033556564</v>
      </c>
    </row>
    <row r="122" spans="1:18" x14ac:dyDescent="0.3">
      <c r="A122" s="47">
        <v>38104</v>
      </c>
      <c r="B122" s="48">
        <v>0</v>
      </c>
      <c r="C122" s="49">
        <v>0</v>
      </c>
      <c r="D122" s="10">
        <f t="shared" si="14"/>
        <v>-0.38980777739764078</v>
      </c>
      <c r="E122" s="10">
        <f t="shared" si="15"/>
        <v>-0.52735136612021827</v>
      </c>
      <c r="F122" s="10">
        <f t="shared" si="23"/>
        <v>0.15195010331968867</v>
      </c>
      <c r="G122" s="10">
        <f t="shared" si="23"/>
        <v>0.27809946334886049</v>
      </c>
      <c r="H122" s="11">
        <f t="shared" si="3"/>
        <v>0.20556566393493181</v>
      </c>
      <c r="I122" s="12">
        <f t="shared" si="4"/>
        <v>0</v>
      </c>
      <c r="J122" s="28">
        <f t="shared" si="5"/>
        <v>0</v>
      </c>
      <c r="K122" s="30">
        <f t="shared" si="16"/>
        <v>0</v>
      </c>
      <c r="L122" s="5"/>
      <c r="M122" s="30">
        <f t="shared" si="17"/>
        <v>0</v>
      </c>
      <c r="N122" s="42">
        <f t="shared" si="18"/>
        <v>0</v>
      </c>
      <c r="O122" s="43">
        <f t="shared" si="19"/>
        <v>0</v>
      </c>
      <c r="P122" s="43">
        <f t="shared" si="20"/>
        <v>-0.34013437099999999</v>
      </c>
      <c r="Q122" s="43">
        <f t="shared" si="21"/>
        <v>-0.34013437099999999</v>
      </c>
      <c r="R122" s="43">
        <f t="shared" si="22"/>
        <v>0.11569139033556564</v>
      </c>
    </row>
    <row r="123" spans="1:18" x14ac:dyDescent="0.3">
      <c r="A123" s="47">
        <v>38105</v>
      </c>
      <c r="B123" s="48">
        <v>0</v>
      </c>
      <c r="C123" s="49">
        <v>0</v>
      </c>
      <c r="D123" s="10">
        <f t="shared" si="14"/>
        <v>-0.38980777739764078</v>
      </c>
      <c r="E123" s="10">
        <f t="shared" si="15"/>
        <v>-0.52735136612021827</v>
      </c>
      <c r="F123" s="10">
        <f t="shared" si="23"/>
        <v>0.15195010331968867</v>
      </c>
      <c r="G123" s="10">
        <f t="shared" si="23"/>
        <v>0.27809946334886049</v>
      </c>
      <c r="H123" s="11">
        <f t="shared" si="3"/>
        <v>0.20556566393493181</v>
      </c>
      <c r="I123" s="12">
        <f t="shared" si="4"/>
        <v>0</v>
      </c>
      <c r="J123" s="28">
        <f t="shared" si="5"/>
        <v>0</v>
      </c>
      <c r="K123" s="30">
        <f t="shared" si="16"/>
        <v>0</v>
      </c>
      <c r="L123" s="5"/>
      <c r="M123" s="30">
        <f t="shared" si="17"/>
        <v>0</v>
      </c>
      <c r="N123" s="42">
        <f t="shared" si="18"/>
        <v>0</v>
      </c>
      <c r="O123" s="43">
        <f t="shared" si="19"/>
        <v>0</v>
      </c>
      <c r="P123" s="43">
        <f t="shared" si="20"/>
        <v>-0.34013437099999999</v>
      </c>
      <c r="Q123" s="43">
        <f t="shared" si="21"/>
        <v>-0.34013437099999999</v>
      </c>
      <c r="R123" s="43">
        <f t="shared" si="22"/>
        <v>0.11569139033556564</v>
      </c>
    </row>
    <row r="124" spans="1:18" x14ac:dyDescent="0.3">
      <c r="A124" s="47">
        <v>38106</v>
      </c>
      <c r="B124" s="48">
        <v>0</v>
      </c>
      <c r="C124" s="49">
        <v>8.0999999999999996E-3</v>
      </c>
      <c r="D124" s="10">
        <f t="shared" si="14"/>
        <v>-0.38980777739764078</v>
      </c>
      <c r="E124" s="10">
        <f t="shared" si="15"/>
        <v>-0.51925136612021827</v>
      </c>
      <c r="F124" s="10">
        <f t="shared" si="23"/>
        <v>0.15195010331968867</v>
      </c>
      <c r="G124" s="10">
        <f t="shared" si="23"/>
        <v>0.26962198121771297</v>
      </c>
      <c r="H124" s="11">
        <f t="shared" si="3"/>
        <v>0.20240822093801092</v>
      </c>
      <c r="I124" s="12">
        <f t="shared" si="4"/>
        <v>8.0999999999999996E-3</v>
      </c>
      <c r="J124" s="28">
        <f t="shared" si="5"/>
        <v>6.560999999999999E-5</v>
      </c>
      <c r="K124" s="30">
        <f t="shared" si="16"/>
        <v>8.0999999999999996E-3</v>
      </c>
      <c r="L124" s="5"/>
      <c r="M124" s="30">
        <f t="shared" si="17"/>
        <v>-8.0999999999999996E-3</v>
      </c>
      <c r="N124" s="42">
        <f t="shared" si="18"/>
        <v>-8.0999999999999996E-3</v>
      </c>
      <c r="O124" s="43">
        <f t="shared" si="19"/>
        <v>6.560999999999999E-5</v>
      </c>
      <c r="P124" s="43">
        <f t="shared" si="20"/>
        <v>-0.34013437099999999</v>
      </c>
      <c r="Q124" s="43">
        <f t="shared" si="21"/>
        <v>-0.34013437099999999</v>
      </c>
      <c r="R124" s="43">
        <f t="shared" si="22"/>
        <v>0.11569139033556564</v>
      </c>
    </row>
    <row r="125" spans="1:18" x14ac:dyDescent="0.3">
      <c r="A125" s="47">
        <v>38107</v>
      </c>
      <c r="B125" s="48">
        <v>6.5293349325656891E-2</v>
      </c>
      <c r="C125" s="49">
        <v>0</v>
      </c>
      <c r="D125" s="10">
        <f t="shared" si="14"/>
        <v>-0.32451442807198388</v>
      </c>
      <c r="E125" s="10">
        <f t="shared" si="15"/>
        <v>-0.52735136612021827</v>
      </c>
      <c r="F125" s="10">
        <f t="shared" si="23"/>
        <v>0.10530961402688681</v>
      </c>
      <c r="G125" s="10">
        <f t="shared" si="23"/>
        <v>0.27809946334886049</v>
      </c>
      <c r="H125" s="11">
        <f t="shared" si="3"/>
        <v>0.17113312696948202</v>
      </c>
      <c r="I125" s="12">
        <f t="shared" si="4"/>
        <v>6.5293349325656891E-2</v>
      </c>
      <c r="J125" s="28">
        <f t="shared" si="5"/>
        <v>4.2632214661622592E-3</v>
      </c>
      <c r="K125" s="30">
        <f t="shared" si="16"/>
        <v>-6.5293349325656891E-2</v>
      </c>
      <c r="L125" s="5"/>
      <c r="M125" s="30">
        <f t="shared" si="17"/>
        <v>6.5293349325656891E-2</v>
      </c>
      <c r="N125" s="42">
        <f t="shared" si="18"/>
        <v>6.5293349325656891E-2</v>
      </c>
      <c r="O125" s="43">
        <f t="shared" si="19"/>
        <v>4.2632214661622592E-3</v>
      </c>
      <c r="P125" s="43">
        <f t="shared" si="20"/>
        <v>-0.2748410216743431</v>
      </c>
      <c r="Q125" s="43">
        <f t="shared" si="21"/>
        <v>-0.2748410216743431</v>
      </c>
      <c r="R125" s="43">
        <f t="shared" si="22"/>
        <v>7.553758719499673E-2</v>
      </c>
    </row>
    <row r="126" spans="1:18" x14ac:dyDescent="0.3">
      <c r="A126" s="47">
        <v>38108</v>
      </c>
      <c r="B126" s="48">
        <v>0.11188478767871857</v>
      </c>
      <c r="C126" s="49">
        <v>5.2400000000000002E-2</v>
      </c>
      <c r="D126" s="10">
        <f t="shared" si="14"/>
        <v>-0.27792298971892221</v>
      </c>
      <c r="E126" s="10">
        <f t="shared" si="15"/>
        <v>-0.47495136612021827</v>
      </c>
      <c r="F126" s="10">
        <f t="shared" si="23"/>
        <v>7.7241188214304146E-2</v>
      </c>
      <c r="G126" s="10">
        <f t="shared" si="23"/>
        <v>0.22557880017946161</v>
      </c>
      <c r="H126" s="11">
        <f t="shared" si="3"/>
        <v>0.13199990364321748</v>
      </c>
      <c r="I126" s="12">
        <f t="shared" si="4"/>
        <v>5.9484787678718565E-2</v>
      </c>
      <c r="J126" s="28">
        <f t="shared" si="5"/>
        <v>3.538439965182228E-3</v>
      </c>
      <c r="K126" s="30">
        <f t="shared" si="16"/>
        <v>-5.9484787678718565E-2</v>
      </c>
      <c r="L126" s="5"/>
      <c r="M126" s="30">
        <f t="shared" si="17"/>
        <v>5.9484787678718565E-2</v>
      </c>
      <c r="N126" s="42">
        <f t="shared" si="18"/>
        <v>5.9484787678718565E-2</v>
      </c>
      <c r="O126" s="43">
        <f t="shared" si="19"/>
        <v>3.538439965182228E-3</v>
      </c>
      <c r="P126" s="43">
        <f t="shared" si="20"/>
        <v>-0.22824958332128142</v>
      </c>
      <c r="Q126" s="43">
        <f t="shared" si="21"/>
        <v>-0.22824958332128142</v>
      </c>
      <c r="R126" s="43">
        <f t="shared" si="22"/>
        <v>5.2097872286338588E-2</v>
      </c>
    </row>
    <row r="127" spans="1:18" x14ac:dyDescent="0.3">
      <c r="A127" s="47">
        <v>38109</v>
      </c>
      <c r="B127" s="48">
        <v>0</v>
      </c>
      <c r="C127" s="49">
        <v>1.26E-2</v>
      </c>
      <c r="D127" s="10">
        <f t="shared" si="14"/>
        <v>-0.38980777739764078</v>
      </c>
      <c r="E127" s="10">
        <f t="shared" si="15"/>
        <v>-0.51475136612021832</v>
      </c>
      <c r="F127" s="10">
        <f t="shared" si="23"/>
        <v>0.15195010331968867</v>
      </c>
      <c r="G127" s="10">
        <f t="shared" si="23"/>
        <v>0.26496896892263105</v>
      </c>
      <c r="H127" s="11">
        <f t="shared" si="3"/>
        <v>0.20065408593972156</v>
      </c>
      <c r="I127" s="12">
        <f t="shared" si="4"/>
        <v>1.26E-2</v>
      </c>
      <c r="J127" s="28">
        <f t="shared" si="5"/>
        <v>1.5876E-4</v>
      </c>
      <c r="K127" s="30">
        <f t="shared" si="16"/>
        <v>1.26E-2</v>
      </c>
      <c r="L127" s="5"/>
      <c r="M127" s="30">
        <f t="shared" si="17"/>
        <v>-1.26E-2</v>
      </c>
      <c r="N127" s="42">
        <f t="shared" si="18"/>
        <v>-1.26E-2</v>
      </c>
      <c r="O127" s="43">
        <f t="shared" si="19"/>
        <v>1.5876E-4</v>
      </c>
      <c r="P127" s="43">
        <f t="shared" si="20"/>
        <v>-0.34013437099999999</v>
      </c>
      <c r="Q127" s="43">
        <f t="shared" si="21"/>
        <v>-0.34013437099999999</v>
      </c>
      <c r="R127" s="43">
        <f t="shared" si="22"/>
        <v>0.11569139033556564</v>
      </c>
    </row>
    <row r="128" spans="1:18" x14ac:dyDescent="0.3">
      <c r="A128" s="47">
        <v>38110</v>
      </c>
      <c r="B128" s="48">
        <v>0</v>
      </c>
      <c r="C128" s="49">
        <v>7.7600000000000002E-2</v>
      </c>
      <c r="D128" s="10">
        <f t="shared" si="14"/>
        <v>-0.38980777739764078</v>
      </c>
      <c r="E128" s="10">
        <f t="shared" si="15"/>
        <v>-0.44975136612021827</v>
      </c>
      <c r="F128" s="10">
        <f t="shared" si="23"/>
        <v>0.15195010331968867</v>
      </c>
      <c r="G128" s="10">
        <f t="shared" si="23"/>
        <v>0.20227629132700262</v>
      </c>
      <c r="H128" s="11">
        <f t="shared" si="3"/>
        <v>0.17531658040887488</v>
      </c>
      <c r="I128" s="12">
        <f t="shared" si="4"/>
        <v>7.7600000000000002E-2</v>
      </c>
      <c r="J128" s="28">
        <f t="shared" si="5"/>
        <v>6.0217600000000001E-3</v>
      </c>
      <c r="K128" s="30">
        <f t="shared" si="16"/>
        <v>7.7600000000000002E-2</v>
      </c>
      <c r="L128" s="5"/>
      <c r="M128" s="30">
        <f t="shared" si="17"/>
        <v>-7.7600000000000002E-2</v>
      </c>
      <c r="N128" s="42">
        <f t="shared" si="18"/>
        <v>-7.7600000000000002E-2</v>
      </c>
      <c r="O128" s="43">
        <f t="shared" si="19"/>
        <v>6.0217600000000001E-3</v>
      </c>
      <c r="P128" s="43">
        <f t="shared" si="20"/>
        <v>-0.34013437099999999</v>
      </c>
      <c r="Q128" s="43">
        <f t="shared" si="21"/>
        <v>-0.34013437099999999</v>
      </c>
      <c r="R128" s="43">
        <f t="shared" si="22"/>
        <v>0.11569139033556564</v>
      </c>
    </row>
    <row r="129" spans="1:18" x14ac:dyDescent="0.3">
      <c r="A129" s="47">
        <v>38111</v>
      </c>
      <c r="B129" s="48">
        <v>0</v>
      </c>
      <c r="C129" s="49">
        <v>1.4E-3</v>
      </c>
      <c r="D129" s="10">
        <f t="shared" si="14"/>
        <v>-0.38980777739764078</v>
      </c>
      <c r="E129" s="10">
        <f t="shared" si="15"/>
        <v>-0.52595136612021831</v>
      </c>
      <c r="F129" s="10">
        <f t="shared" si="23"/>
        <v>0.15195010331968867</v>
      </c>
      <c r="G129" s="10">
        <f t="shared" si="23"/>
        <v>0.27662483952372391</v>
      </c>
      <c r="H129" s="11">
        <f t="shared" si="3"/>
        <v>0.20501993304657512</v>
      </c>
      <c r="I129" s="12">
        <f t="shared" si="4"/>
        <v>1.4E-3</v>
      </c>
      <c r="J129" s="28">
        <f t="shared" si="5"/>
        <v>1.9599999999999999E-6</v>
      </c>
      <c r="K129" s="30">
        <f t="shared" si="16"/>
        <v>1.4E-3</v>
      </c>
      <c r="L129" s="5"/>
      <c r="M129" s="30">
        <f t="shared" si="17"/>
        <v>-1.4E-3</v>
      </c>
      <c r="N129" s="42">
        <f t="shared" si="18"/>
        <v>-1.4E-3</v>
      </c>
      <c r="O129" s="43">
        <f t="shared" si="19"/>
        <v>1.9599999999999999E-6</v>
      </c>
      <c r="P129" s="43">
        <f t="shared" si="20"/>
        <v>-0.34013437099999999</v>
      </c>
      <c r="Q129" s="43">
        <f t="shared" si="21"/>
        <v>-0.34013437099999999</v>
      </c>
      <c r="R129" s="43">
        <f t="shared" si="22"/>
        <v>0.11569139033556564</v>
      </c>
    </row>
    <row r="130" spans="1:18" x14ac:dyDescent="0.3">
      <c r="A130" s="47">
        <v>38112</v>
      </c>
      <c r="B130" s="48">
        <v>0</v>
      </c>
      <c r="C130" s="49">
        <v>0</v>
      </c>
      <c r="D130" s="10">
        <f t="shared" si="14"/>
        <v>-0.38980777739764078</v>
      </c>
      <c r="E130" s="10">
        <f t="shared" si="15"/>
        <v>-0.52735136612021827</v>
      </c>
      <c r="F130" s="10">
        <f t="shared" si="23"/>
        <v>0.15195010331968867</v>
      </c>
      <c r="G130" s="10">
        <f t="shared" si="23"/>
        <v>0.27809946334886049</v>
      </c>
      <c r="H130" s="11">
        <f t="shared" si="3"/>
        <v>0.20556566393493181</v>
      </c>
      <c r="I130" s="12">
        <f t="shared" si="4"/>
        <v>0</v>
      </c>
      <c r="J130" s="28">
        <f t="shared" si="5"/>
        <v>0</v>
      </c>
      <c r="K130" s="30">
        <f t="shared" si="16"/>
        <v>0</v>
      </c>
      <c r="L130" s="5"/>
      <c r="M130" s="30">
        <f t="shared" si="17"/>
        <v>0</v>
      </c>
      <c r="N130" s="42">
        <f t="shared" si="18"/>
        <v>0</v>
      </c>
      <c r="O130" s="43">
        <f t="shared" si="19"/>
        <v>0</v>
      </c>
      <c r="P130" s="43">
        <f t="shared" si="20"/>
        <v>-0.34013437099999999</v>
      </c>
      <c r="Q130" s="43">
        <f t="shared" si="21"/>
        <v>-0.34013437099999999</v>
      </c>
      <c r="R130" s="43">
        <f t="shared" si="22"/>
        <v>0.11569139033556564</v>
      </c>
    </row>
    <row r="131" spans="1:18" x14ac:dyDescent="0.3">
      <c r="A131" s="47">
        <v>38113</v>
      </c>
      <c r="B131" s="48">
        <v>0</v>
      </c>
      <c r="C131" s="49">
        <v>2.01E-2</v>
      </c>
      <c r="D131" s="10">
        <f t="shared" si="14"/>
        <v>-0.38980777739764078</v>
      </c>
      <c r="E131" s="10">
        <f t="shared" si="15"/>
        <v>-0.50725136612021826</v>
      </c>
      <c r="F131" s="10">
        <f t="shared" si="23"/>
        <v>0.15195010331968867</v>
      </c>
      <c r="G131" s="10">
        <f t="shared" si="23"/>
        <v>0.25730394843082771</v>
      </c>
      <c r="H131" s="11">
        <f t="shared" si="3"/>
        <v>0.19773052760923923</v>
      </c>
      <c r="I131" s="12">
        <f t="shared" si="4"/>
        <v>2.01E-2</v>
      </c>
      <c r="J131" s="28">
        <f t="shared" si="5"/>
        <v>4.0401E-4</v>
      </c>
      <c r="K131" s="30">
        <f t="shared" si="16"/>
        <v>2.01E-2</v>
      </c>
      <c r="L131" s="5"/>
      <c r="M131" s="30">
        <f t="shared" si="17"/>
        <v>-2.01E-2</v>
      </c>
      <c r="N131" s="42">
        <f t="shared" si="18"/>
        <v>-2.01E-2</v>
      </c>
      <c r="O131" s="43">
        <f t="shared" si="19"/>
        <v>4.0401E-4</v>
      </c>
      <c r="P131" s="43">
        <f t="shared" si="20"/>
        <v>-0.34013437099999999</v>
      </c>
      <c r="Q131" s="43">
        <f t="shared" si="21"/>
        <v>-0.34013437099999999</v>
      </c>
      <c r="R131" s="43">
        <f t="shared" si="22"/>
        <v>0.11569139033556564</v>
      </c>
    </row>
    <row r="132" spans="1:18" x14ac:dyDescent="0.3">
      <c r="A132" s="47">
        <v>38114</v>
      </c>
      <c r="B132" s="48">
        <v>0</v>
      </c>
      <c r="C132" s="49">
        <v>3.4099999999999998E-2</v>
      </c>
      <c r="D132" s="10">
        <f t="shared" si="14"/>
        <v>-0.38980777739764078</v>
      </c>
      <c r="E132" s="10">
        <f t="shared" si="15"/>
        <v>-0.49325136612021825</v>
      </c>
      <c r="F132" s="10">
        <f t="shared" si="23"/>
        <v>0.15195010331968867</v>
      </c>
      <c r="G132" s="10">
        <f t="shared" si="23"/>
        <v>0.24329691017946159</v>
      </c>
      <c r="H132" s="11">
        <f t="shared" si="3"/>
        <v>0.19227321872567224</v>
      </c>
      <c r="I132" s="12">
        <f t="shared" si="4"/>
        <v>3.4099999999999998E-2</v>
      </c>
      <c r="J132" s="28">
        <f t="shared" si="5"/>
        <v>1.1628099999999998E-3</v>
      </c>
      <c r="K132" s="30">
        <f t="shared" si="16"/>
        <v>3.4099999999999998E-2</v>
      </c>
      <c r="L132" s="5"/>
      <c r="M132" s="30">
        <f t="shared" si="17"/>
        <v>-3.4099999999999998E-2</v>
      </c>
      <c r="N132" s="42">
        <f t="shared" si="18"/>
        <v>-3.4099999999999998E-2</v>
      </c>
      <c r="O132" s="43">
        <f t="shared" si="19"/>
        <v>1.1628099999999998E-3</v>
      </c>
      <c r="P132" s="43">
        <f t="shared" si="20"/>
        <v>-0.34013437099999999</v>
      </c>
      <c r="Q132" s="43">
        <f t="shared" si="21"/>
        <v>-0.34013437099999999</v>
      </c>
      <c r="R132" s="43">
        <f t="shared" si="22"/>
        <v>0.11569139033556564</v>
      </c>
    </row>
    <row r="133" spans="1:18" x14ac:dyDescent="0.3">
      <c r="A133" s="47">
        <v>38115</v>
      </c>
      <c r="B133" s="48">
        <v>0</v>
      </c>
      <c r="C133" s="49">
        <v>2.8E-3</v>
      </c>
      <c r="D133" s="10">
        <f t="shared" ref="D133:D196" si="24">B133-$C$375</f>
        <v>-0.38980777739764078</v>
      </c>
      <c r="E133" s="10">
        <f t="shared" ref="E133:E196" si="25">C133-$D$375</f>
        <v>-0.52455136612021824</v>
      </c>
      <c r="F133" s="10">
        <f t="shared" si="23"/>
        <v>0.15195010331968867</v>
      </c>
      <c r="G133" s="10">
        <f t="shared" si="23"/>
        <v>0.27515413569858727</v>
      </c>
      <c r="H133" s="11">
        <f t="shared" si="3"/>
        <v>0.2044742021582184</v>
      </c>
      <c r="I133" s="12">
        <f t="shared" si="4"/>
        <v>2.8E-3</v>
      </c>
      <c r="J133" s="28">
        <f t="shared" si="5"/>
        <v>7.8399999999999995E-6</v>
      </c>
      <c r="K133" s="30">
        <f t="shared" si="16"/>
        <v>2.8E-3</v>
      </c>
      <c r="L133" s="5"/>
      <c r="M133" s="30">
        <f t="shared" si="17"/>
        <v>-2.8E-3</v>
      </c>
      <c r="N133" s="42">
        <f t="shared" si="18"/>
        <v>-2.8E-3</v>
      </c>
      <c r="O133" s="43">
        <f t="shared" si="19"/>
        <v>7.8399999999999995E-6</v>
      </c>
      <c r="P133" s="43">
        <f t="shared" si="20"/>
        <v>-0.34013437099999999</v>
      </c>
      <c r="Q133" s="43">
        <f t="shared" si="21"/>
        <v>-0.34013437099999999</v>
      </c>
      <c r="R133" s="43">
        <f t="shared" si="22"/>
        <v>0.11569139033556564</v>
      </c>
    </row>
    <row r="134" spans="1:18" x14ac:dyDescent="0.3">
      <c r="A134" s="47">
        <v>38116</v>
      </c>
      <c r="B134" s="48">
        <v>0</v>
      </c>
      <c r="C134" s="49">
        <v>3.5200000000000002E-2</v>
      </c>
      <c r="D134" s="10">
        <f t="shared" si="24"/>
        <v>-0.38980777739764078</v>
      </c>
      <c r="E134" s="10">
        <f t="shared" si="25"/>
        <v>-0.49215136612021826</v>
      </c>
      <c r="F134" s="10">
        <f t="shared" si="23"/>
        <v>0.15195010331968867</v>
      </c>
      <c r="G134" s="10">
        <f t="shared" si="23"/>
        <v>0.24221296717399712</v>
      </c>
      <c r="H134" s="11">
        <f t="shared" si="3"/>
        <v>0.19184443017053485</v>
      </c>
      <c r="I134" s="12">
        <f t="shared" si="4"/>
        <v>3.5200000000000002E-2</v>
      </c>
      <c r="J134" s="28">
        <f t="shared" si="5"/>
        <v>1.2390400000000001E-3</v>
      </c>
      <c r="K134" s="30">
        <f t="shared" ref="K134:K197" si="26">C134-B134</f>
        <v>3.5200000000000002E-2</v>
      </c>
      <c r="L134" s="5"/>
      <c r="M134" s="30">
        <f t="shared" ref="M134:M197" si="27">B134-C134</f>
        <v>-3.5200000000000002E-2</v>
      </c>
      <c r="N134" s="42">
        <f t="shared" ref="N134:N197" si="28">B134-C134</f>
        <v>-3.5200000000000002E-2</v>
      </c>
      <c r="O134" s="43">
        <f t="shared" ref="O134:O197" si="29">M134*N134</f>
        <v>1.2390400000000001E-3</v>
      </c>
      <c r="P134" s="43">
        <f t="shared" ref="P134:P197" si="30">B134-0.340134371</f>
        <v>-0.34013437099999999</v>
      </c>
      <c r="Q134" s="43">
        <f t="shared" ref="Q134:Q197" si="31">B134-0.340134371</f>
        <v>-0.34013437099999999</v>
      </c>
      <c r="R134" s="43">
        <f t="shared" ref="R134:R197" si="32">P134*Q134</f>
        <v>0.11569139033556564</v>
      </c>
    </row>
    <row r="135" spans="1:18" x14ac:dyDescent="0.3">
      <c r="A135" s="47">
        <v>38117</v>
      </c>
      <c r="B135" s="48">
        <v>0</v>
      </c>
      <c r="C135" s="49">
        <v>0</v>
      </c>
      <c r="D135" s="10">
        <f t="shared" si="24"/>
        <v>-0.38980777739764078</v>
      </c>
      <c r="E135" s="10">
        <f t="shared" si="25"/>
        <v>-0.52735136612021827</v>
      </c>
      <c r="F135" s="10">
        <f t="shared" si="23"/>
        <v>0.15195010331968867</v>
      </c>
      <c r="G135" s="10">
        <f t="shared" si="23"/>
        <v>0.27809946334886049</v>
      </c>
      <c r="H135" s="11">
        <f t="shared" si="3"/>
        <v>0.20556566393493181</v>
      </c>
      <c r="I135" s="12">
        <f t="shared" si="4"/>
        <v>0</v>
      </c>
      <c r="J135" s="28">
        <f t="shared" si="5"/>
        <v>0</v>
      </c>
      <c r="K135" s="30">
        <f t="shared" si="26"/>
        <v>0</v>
      </c>
      <c r="L135" s="5"/>
      <c r="M135" s="30">
        <f t="shared" si="27"/>
        <v>0</v>
      </c>
      <c r="N135" s="42">
        <f t="shared" si="28"/>
        <v>0</v>
      </c>
      <c r="O135" s="43">
        <f t="shared" si="29"/>
        <v>0</v>
      </c>
      <c r="P135" s="43">
        <f t="shared" si="30"/>
        <v>-0.34013437099999999</v>
      </c>
      <c r="Q135" s="43">
        <f t="shared" si="31"/>
        <v>-0.34013437099999999</v>
      </c>
      <c r="R135" s="43">
        <f t="shared" si="32"/>
        <v>0.11569139033556564</v>
      </c>
    </row>
    <row r="136" spans="1:18" x14ac:dyDescent="0.3">
      <c r="A136" s="47">
        <v>38118</v>
      </c>
      <c r="B136" s="48">
        <v>0</v>
      </c>
      <c r="C136" s="49">
        <v>1.0800000000000001E-2</v>
      </c>
      <c r="D136" s="10">
        <f t="shared" si="24"/>
        <v>-0.38980777739764078</v>
      </c>
      <c r="E136" s="10">
        <f t="shared" si="25"/>
        <v>-0.51655136612021824</v>
      </c>
      <c r="F136" s="10">
        <f t="shared" si="23"/>
        <v>0.15195010331968867</v>
      </c>
      <c r="G136" s="10">
        <f t="shared" si="23"/>
        <v>0.26682531384066377</v>
      </c>
      <c r="H136" s="11">
        <f t="shared" si="3"/>
        <v>0.20135573993903727</v>
      </c>
      <c r="I136" s="12">
        <f t="shared" si="4"/>
        <v>1.0800000000000001E-2</v>
      </c>
      <c r="J136" s="28">
        <f t="shared" si="5"/>
        <v>1.1664000000000001E-4</v>
      </c>
      <c r="K136" s="30">
        <f t="shared" si="26"/>
        <v>1.0800000000000001E-2</v>
      </c>
      <c r="L136" s="5"/>
      <c r="M136" s="30">
        <f t="shared" si="27"/>
        <v>-1.0800000000000001E-2</v>
      </c>
      <c r="N136" s="42">
        <f t="shared" si="28"/>
        <v>-1.0800000000000001E-2</v>
      </c>
      <c r="O136" s="43">
        <f t="shared" si="29"/>
        <v>1.1664000000000001E-4</v>
      </c>
      <c r="P136" s="43">
        <f t="shared" si="30"/>
        <v>-0.34013437099999999</v>
      </c>
      <c r="Q136" s="43">
        <f t="shared" si="31"/>
        <v>-0.34013437099999999</v>
      </c>
      <c r="R136" s="43">
        <f t="shared" si="32"/>
        <v>0.11569139033556564</v>
      </c>
    </row>
    <row r="137" spans="1:18" x14ac:dyDescent="0.3">
      <c r="A137" s="47">
        <v>38119</v>
      </c>
      <c r="B137" s="48">
        <v>0</v>
      </c>
      <c r="C137" s="49">
        <v>1.6999999999999999E-3</v>
      </c>
      <c r="D137" s="10">
        <f t="shared" si="24"/>
        <v>-0.38980777739764078</v>
      </c>
      <c r="E137" s="10">
        <f t="shared" si="25"/>
        <v>-0.52565136612021823</v>
      </c>
      <c r="F137" s="10">
        <f t="shared" si="23"/>
        <v>0.15195010331968867</v>
      </c>
      <c r="G137" s="10">
        <f t="shared" si="23"/>
        <v>0.27630935870405171</v>
      </c>
      <c r="H137" s="11">
        <f t="shared" si="3"/>
        <v>0.2049029907133558</v>
      </c>
      <c r="I137" s="12">
        <f t="shared" si="4"/>
        <v>1.6999999999999999E-3</v>
      </c>
      <c r="J137" s="28">
        <f t="shared" si="5"/>
        <v>2.8899999999999999E-6</v>
      </c>
      <c r="K137" s="30">
        <f t="shared" si="26"/>
        <v>1.6999999999999999E-3</v>
      </c>
      <c r="L137" s="5"/>
      <c r="M137" s="30">
        <f t="shared" si="27"/>
        <v>-1.6999999999999999E-3</v>
      </c>
      <c r="N137" s="42">
        <f t="shared" si="28"/>
        <v>-1.6999999999999999E-3</v>
      </c>
      <c r="O137" s="43">
        <f t="shared" si="29"/>
        <v>2.8899999999999999E-6</v>
      </c>
      <c r="P137" s="43">
        <f t="shared" si="30"/>
        <v>-0.34013437099999999</v>
      </c>
      <c r="Q137" s="43">
        <f t="shared" si="31"/>
        <v>-0.34013437099999999</v>
      </c>
      <c r="R137" s="43">
        <f t="shared" si="32"/>
        <v>0.11569139033556564</v>
      </c>
    </row>
    <row r="138" spans="1:18" x14ac:dyDescent="0.3">
      <c r="A138" s="47">
        <v>38120</v>
      </c>
      <c r="B138" s="48">
        <v>0</v>
      </c>
      <c r="C138" s="49">
        <v>0</v>
      </c>
      <c r="D138" s="10">
        <f t="shared" si="24"/>
        <v>-0.38980777739764078</v>
      </c>
      <c r="E138" s="10">
        <f t="shared" si="25"/>
        <v>-0.52735136612021827</v>
      </c>
      <c r="F138" s="10">
        <f t="shared" si="23"/>
        <v>0.15195010331968867</v>
      </c>
      <c r="G138" s="10">
        <f t="shared" si="23"/>
        <v>0.27809946334886049</v>
      </c>
      <c r="H138" s="11">
        <f t="shared" si="3"/>
        <v>0.20556566393493181</v>
      </c>
      <c r="I138" s="12">
        <f t="shared" si="4"/>
        <v>0</v>
      </c>
      <c r="J138" s="28">
        <f t="shared" si="5"/>
        <v>0</v>
      </c>
      <c r="K138" s="30">
        <f t="shared" si="26"/>
        <v>0</v>
      </c>
      <c r="L138" s="5"/>
      <c r="M138" s="30">
        <f t="shared" si="27"/>
        <v>0</v>
      </c>
      <c r="N138" s="42">
        <f t="shared" si="28"/>
        <v>0</v>
      </c>
      <c r="O138" s="43">
        <f t="shared" si="29"/>
        <v>0</v>
      </c>
      <c r="P138" s="43">
        <f t="shared" si="30"/>
        <v>-0.34013437099999999</v>
      </c>
      <c r="Q138" s="43">
        <f t="shared" si="31"/>
        <v>-0.34013437099999999</v>
      </c>
      <c r="R138" s="43">
        <f t="shared" si="32"/>
        <v>0.11569139033556564</v>
      </c>
    </row>
    <row r="139" spans="1:18" x14ac:dyDescent="0.3">
      <c r="A139" s="47">
        <v>38121</v>
      </c>
      <c r="B139" s="48">
        <v>0</v>
      </c>
      <c r="C139" s="49">
        <v>0</v>
      </c>
      <c r="D139" s="10">
        <f t="shared" si="24"/>
        <v>-0.38980777739764078</v>
      </c>
      <c r="E139" s="10">
        <f t="shared" si="25"/>
        <v>-0.52735136612021827</v>
      </c>
      <c r="F139" s="10">
        <f t="shared" si="23"/>
        <v>0.15195010331968867</v>
      </c>
      <c r="G139" s="10">
        <f t="shared" si="23"/>
        <v>0.27809946334886049</v>
      </c>
      <c r="H139" s="11">
        <f t="shared" si="3"/>
        <v>0.20556566393493181</v>
      </c>
      <c r="I139" s="12">
        <f t="shared" si="4"/>
        <v>0</v>
      </c>
      <c r="J139" s="28">
        <f t="shared" si="5"/>
        <v>0</v>
      </c>
      <c r="K139" s="30">
        <f t="shared" si="26"/>
        <v>0</v>
      </c>
      <c r="L139" s="5"/>
      <c r="M139" s="30">
        <f t="shared" si="27"/>
        <v>0</v>
      </c>
      <c r="N139" s="42">
        <f t="shared" si="28"/>
        <v>0</v>
      </c>
      <c r="O139" s="43">
        <f t="shared" si="29"/>
        <v>0</v>
      </c>
      <c r="P139" s="43">
        <f t="shared" si="30"/>
        <v>-0.34013437099999999</v>
      </c>
      <c r="Q139" s="43">
        <f t="shared" si="31"/>
        <v>-0.34013437099999999</v>
      </c>
      <c r="R139" s="43">
        <f t="shared" si="32"/>
        <v>0.11569139033556564</v>
      </c>
    </row>
    <row r="140" spans="1:18" x14ac:dyDescent="0.3">
      <c r="A140" s="47">
        <v>38122</v>
      </c>
      <c r="B140" s="48">
        <v>0</v>
      </c>
      <c r="C140" s="49">
        <v>2.3400000000000001E-2</v>
      </c>
      <c r="D140" s="10">
        <f t="shared" si="24"/>
        <v>-0.38980777739764078</v>
      </c>
      <c r="E140" s="10">
        <f t="shared" si="25"/>
        <v>-0.50395136612021829</v>
      </c>
      <c r="F140" s="10">
        <f t="shared" si="23"/>
        <v>0.15195010331968867</v>
      </c>
      <c r="G140" s="10">
        <f t="shared" si="23"/>
        <v>0.2539669794144343</v>
      </c>
      <c r="H140" s="11">
        <f t="shared" si="3"/>
        <v>0.19644416194382702</v>
      </c>
      <c r="I140" s="12">
        <f t="shared" si="4"/>
        <v>2.3400000000000001E-2</v>
      </c>
      <c r="J140" s="28">
        <f t="shared" si="5"/>
        <v>5.4756E-4</v>
      </c>
      <c r="K140" s="30">
        <f t="shared" si="26"/>
        <v>2.3400000000000001E-2</v>
      </c>
      <c r="L140" s="5"/>
      <c r="M140" s="30">
        <f t="shared" si="27"/>
        <v>-2.3400000000000001E-2</v>
      </c>
      <c r="N140" s="42">
        <f t="shared" si="28"/>
        <v>-2.3400000000000001E-2</v>
      </c>
      <c r="O140" s="43">
        <f t="shared" si="29"/>
        <v>5.4756E-4</v>
      </c>
      <c r="P140" s="43">
        <f t="shared" si="30"/>
        <v>-0.34013437099999999</v>
      </c>
      <c r="Q140" s="43">
        <f t="shared" si="31"/>
        <v>-0.34013437099999999</v>
      </c>
      <c r="R140" s="43">
        <f t="shared" si="32"/>
        <v>0.11569139033556564</v>
      </c>
    </row>
    <row r="141" spans="1:18" x14ac:dyDescent="0.3">
      <c r="A141" s="47">
        <v>38123</v>
      </c>
      <c r="B141" s="48">
        <v>0</v>
      </c>
      <c r="C141" s="49">
        <v>0</v>
      </c>
      <c r="D141" s="10">
        <f t="shared" si="24"/>
        <v>-0.38980777739764078</v>
      </c>
      <c r="E141" s="10">
        <f t="shared" si="25"/>
        <v>-0.52735136612021827</v>
      </c>
      <c r="F141" s="10">
        <f t="shared" si="23"/>
        <v>0.15195010331968867</v>
      </c>
      <c r="G141" s="10">
        <f t="shared" si="23"/>
        <v>0.27809946334886049</v>
      </c>
      <c r="H141" s="11">
        <f t="shared" si="3"/>
        <v>0.20556566393493181</v>
      </c>
      <c r="I141" s="12">
        <f t="shared" si="4"/>
        <v>0</v>
      </c>
      <c r="J141" s="28">
        <f t="shared" si="5"/>
        <v>0</v>
      </c>
      <c r="K141" s="30">
        <f t="shared" si="26"/>
        <v>0</v>
      </c>
      <c r="L141" s="5"/>
      <c r="M141" s="30">
        <f t="shared" si="27"/>
        <v>0</v>
      </c>
      <c r="N141" s="42">
        <f t="shared" si="28"/>
        <v>0</v>
      </c>
      <c r="O141" s="43">
        <f t="shared" si="29"/>
        <v>0</v>
      </c>
      <c r="P141" s="43">
        <f t="shared" si="30"/>
        <v>-0.34013437099999999</v>
      </c>
      <c r="Q141" s="43">
        <f t="shared" si="31"/>
        <v>-0.34013437099999999</v>
      </c>
      <c r="R141" s="43">
        <f t="shared" si="32"/>
        <v>0.11569139033556564</v>
      </c>
    </row>
    <row r="142" spans="1:18" x14ac:dyDescent="0.3">
      <c r="A142" s="47">
        <v>38124</v>
      </c>
      <c r="B142" s="48">
        <v>0.23632176220417023</v>
      </c>
      <c r="C142" s="49">
        <v>0</v>
      </c>
      <c r="D142" s="10">
        <f t="shared" si="24"/>
        <v>-0.15348601519347055</v>
      </c>
      <c r="E142" s="10">
        <f t="shared" si="25"/>
        <v>-0.52735136612021827</v>
      </c>
      <c r="F142" s="10">
        <f t="shared" si="23"/>
        <v>2.3557956859970273E-2</v>
      </c>
      <c r="G142" s="10">
        <f t="shared" si="23"/>
        <v>0.27809946334886049</v>
      </c>
      <c r="H142" s="11">
        <f t="shared" si="3"/>
        <v>8.0941059792625267E-2</v>
      </c>
      <c r="I142" s="12">
        <f t="shared" si="4"/>
        <v>0.23632176220417023</v>
      </c>
      <c r="J142" s="28">
        <f t="shared" si="5"/>
        <v>5.584797529128438E-2</v>
      </c>
      <c r="K142" s="30">
        <f t="shared" si="26"/>
        <v>-0.23632176220417023</v>
      </c>
      <c r="L142" s="5"/>
      <c r="M142" s="30">
        <f t="shared" si="27"/>
        <v>0.23632176220417023</v>
      </c>
      <c r="N142" s="42">
        <f t="shared" si="28"/>
        <v>0.23632176220417023</v>
      </c>
      <c r="O142" s="43">
        <f t="shared" si="29"/>
        <v>5.584797529128438E-2</v>
      </c>
      <c r="P142" s="43">
        <f t="shared" si="30"/>
        <v>-0.10381260879582976</v>
      </c>
      <c r="Q142" s="43">
        <f t="shared" si="31"/>
        <v>-0.10381260879582976</v>
      </c>
      <c r="R142" s="43">
        <f t="shared" si="32"/>
        <v>1.0777057744995992E-2</v>
      </c>
    </row>
    <row r="143" spans="1:18" x14ac:dyDescent="0.3">
      <c r="A143" s="47">
        <v>38125</v>
      </c>
      <c r="B143" s="48">
        <v>1.0617351531982422</v>
      </c>
      <c r="C143" s="49">
        <v>5.5100000000000003E-2</v>
      </c>
      <c r="D143" s="10">
        <f t="shared" si="24"/>
        <v>0.67192737580060147</v>
      </c>
      <c r="E143" s="10">
        <f t="shared" si="25"/>
        <v>-0.47225136612021829</v>
      </c>
      <c r="F143" s="10">
        <f t="shared" si="23"/>
        <v>0.4514863983502827</v>
      </c>
      <c r="G143" s="10">
        <f t="shared" si="23"/>
        <v>0.22302135280241245</v>
      </c>
      <c r="H143" s="11">
        <f t="shared" si="3"/>
        <v>-0.31731862115540732</v>
      </c>
      <c r="I143" s="12">
        <f t="shared" si="4"/>
        <v>1.0066351531982423</v>
      </c>
      <c r="J143" s="28">
        <f t="shared" si="5"/>
        <v>1.0133143316544486</v>
      </c>
      <c r="K143" s="30">
        <f t="shared" si="26"/>
        <v>-1.0066351531982423</v>
      </c>
      <c r="L143" s="5"/>
      <c r="M143" s="30">
        <f t="shared" si="27"/>
        <v>1.0066351531982423</v>
      </c>
      <c r="N143" s="42">
        <f t="shared" si="28"/>
        <v>1.0066351531982423</v>
      </c>
      <c r="O143" s="43">
        <f t="shared" si="29"/>
        <v>1.0133143316544486</v>
      </c>
      <c r="P143" s="43">
        <f t="shared" si="30"/>
        <v>0.7216007821982422</v>
      </c>
      <c r="Q143" s="43">
        <f t="shared" si="31"/>
        <v>0.7216007821982422</v>
      </c>
      <c r="R143" s="43">
        <f t="shared" si="32"/>
        <v>0.520707688869115</v>
      </c>
    </row>
    <row r="144" spans="1:18" x14ac:dyDescent="0.3">
      <c r="A144" s="47">
        <v>38126</v>
      </c>
      <c r="B144" s="48">
        <v>0.33342942595481873</v>
      </c>
      <c r="C144" s="49">
        <v>5.5100000000000003E-2</v>
      </c>
      <c r="D144" s="10">
        <f t="shared" si="24"/>
        <v>-5.637835144282205E-2</v>
      </c>
      <c r="E144" s="10">
        <f t="shared" si="25"/>
        <v>-0.47225136612021829</v>
      </c>
      <c r="F144" s="10">
        <f t="shared" si="23"/>
        <v>3.178518511410355E-3</v>
      </c>
      <c r="G144" s="10">
        <f t="shared" si="23"/>
        <v>0.22302135280241245</v>
      </c>
      <c r="H144" s="11">
        <f t="shared" si="3"/>
        <v>2.6624753488478491E-2</v>
      </c>
      <c r="I144" s="12">
        <f t="shared" si="4"/>
        <v>0.27832942595481874</v>
      </c>
      <c r="J144" s="28">
        <f t="shared" si="5"/>
        <v>7.7467269352338927E-2</v>
      </c>
      <c r="K144" s="30">
        <f t="shared" si="26"/>
        <v>-0.27832942595481874</v>
      </c>
      <c r="L144" s="5"/>
      <c r="M144" s="30">
        <f t="shared" si="27"/>
        <v>0.27832942595481874</v>
      </c>
      <c r="N144" s="42">
        <f t="shared" si="28"/>
        <v>0.27832942595481874</v>
      </c>
      <c r="O144" s="43">
        <f t="shared" si="29"/>
        <v>7.7467269352338927E-2</v>
      </c>
      <c r="P144" s="43">
        <f t="shared" si="30"/>
        <v>-6.7049450451812653E-3</v>
      </c>
      <c r="Q144" s="43">
        <f t="shared" si="31"/>
        <v>-6.7049450451812653E-3</v>
      </c>
      <c r="R144" s="43">
        <f t="shared" si="32"/>
        <v>4.4956288058900803E-5</v>
      </c>
    </row>
    <row r="145" spans="1:18" x14ac:dyDescent="0.3">
      <c r="A145" s="47">
        <v>38127</v>
      </c>
      <c r="B145" s="48">
        <v>0</v>
      </c>
      <c r="C145" s="49">
        <v>0</v>
      </c>
      <c r="D145" s="10">
        <f t="shared" si="24"/>
        <v>-0.38980777739764078</v>
      </c>
      <c r="E145" s="10">
        <f t="shared" si="25"/>
        <v>-0.52735136612021827</v>
      </c>
      <c r="F145" s="10">
        <f t="shared" si="23"/>
        <v>0.15195010331968867</v>
      </c>
      <c r="G145" s="10">
        <f t="shared" si="23"/>
        <v>0.27809946334886049</v>
      </c>
      <c r="H145" s="11">
        <f t="shared" si="3"/>
        <v>0.20556566393493181</v>
      </c>
      <c r="I145" s="12">
        <f t="shared" si="4"/>
        <v>0</v>
      </c>
      <c r="J145" s="28">
        <f t="shared" si="5"/>
        <v>0</v>
      </c>
      <c r="K145" s="30">
        <f t="shared" si="26"/>
        <v>0</v>
      </c>
      <c r="L145" s="5"/>
      <c r="M145" s="30">
        <f t="shared" si="27"/>
        <v>0</v>
      </c>
      <c r="N145" s="42">
        <f t="shared" si="28"/>
        <v>0</v>
      </c>
      <c r="O145" s="43">
        <f t="shared" si="29"/>
        <v>0</v>
      </c>
      <c r="P145" s="43">
        <f t="shared" si="30"/>
        <v>-0.34013437099999999</v>
      </c>
      <c r="Q145" s="43">
        <f t="shared" si="31"/>
        <v>-0.34013437099999999</v>
      </c>
      <c r="R145" s="43">
        <f t="shared" si="32"/>
        <v>0.11569139033556564</v>
      </c>
    </row>
    <row r="146" spans="1:18" x14ac:dyDescent="0.3">
      <c r="A146" s="47">
        <v>38128</v>
      </c>
      <c r="B146" s="48">
        <v>0</v>
      </c>
      <c r="C146" s="49">
        <v>0</v>
      </c>
      <c r="D146" s="10">
        <f t="shared" si="24"/>
        <v>-0.38980777739764078</v>
      </c>
      <c r="E146" s="10">
        <f t="shared" si="25"/>
        <v>-0.52735136612021827</v>
      </c>
      <c r="F146" s="10">
        <f t="shared" si="23"/>
        <v>0.15195010331968867</v>
      </c>
      <c r="G146" s="10">
        <f t="shared" si="23"/>
        <v>0.27809946334886049</v>
      </c>
      <c r="H146" s="11">
        <f t="shared" si="3"/>
        <v>0.20556566393493181</v>
      </c>
      <c r="I146" s="12">
        <f t="shared" si="4"/>
        <v>0</v>
      </c>
      <c r="J146" s="28">
        <f t="shared" si="5"/>
        <v>0</v>
      </c>
      <c r="K146" s="30">
        <f t="shared" si="26"/>
        <v>0</v>
      </c>
      <c r="L146" s="5"/>
      <c r="M146" s="30">
        <f t="shared" si="27"/>
        <v>0</v>
      </c>
      <c r="N146" s="42">
        <f t="shared" si="28"/>
        <v>0</v>
      </c>
      <c r="O146" s="43">
        <f t="shared" si="29"/>
        <v>0</v>
      </c>
      <c r="P146" s="43">
        <f t="shared" si="30"/>
        <v>-0.34013437099999999</v>
      </c>
      <c r="Q146" s="43">
        <f t="shared" si="31"/>
        <v>-0.34013437099999999</v>
      </c>
      <c r="R146" s="43">
        <f t="shared" si="32"/>
        <v>0.11569139033556564</v>
      </c>
    </row>
    <row r="147" spans="1:18" x14ac:dyDescent="0.3">
      <c r="A147" s="47">
        <v>38129</v>
      </c>
      <c r="B147" s="48">
        <v>0</v>
      </c>
      <c r="C147" s="49">
        <v>0</v>
      </c>
      <c r="D147" s="10">
        <f t="shared" si="24"/>
        <v>-0.38980777739764078</v>
      </c>
      <c r="E147" s="10">
        <f t="shared" si="25"/>
        <v>-0.52735136612021827</v>
      </c>
      <c r="F147" s="10">
        <f t="shared" si="23"/>
        <v>0.15195010331968867</v>
      </c>
      <c r="G147" s="10">
        <f t="shared" si="23"/>
        <v>0.27809946334886049</v>
      </c>
      <c r="H147" s="11">
        <f t="shared" si="3"/>
        <v>0.20556566393493181</v>
      </c>
      <c r="I147" s="12">
        <f t="shared" si="4"/>
        <v>0</v>
      </c>
      <c r="J147" s="28">
        <f t="shared" si="5"/>
        <v>0</v>
      </c>
      <c r="K147" s="30">
        <f t="shared" si="26"/>
        <v>0</v>
      </c>
      <c r="L147" s="5"/>
      <c r="M147" s="30">
        <f t="shared" si="27"/>
        <v>0</v>
      </c>
      <c r="N147" s="42">
        <f t="shared" si="28"/>
        <v>0</v>
      </c>
      <c r="O147" s="43">
        <f t="shared" si="29"/>
        <v>0</v>
      </c>
      <c r="P147" s="43">
        <f t="shared" si="30"/>
        <v>-0.34013437099999999</v>
      </c>
      <c r="Q147" s="43">
        <f t="shared" si="31"/>
        <v>-0.34013437099999999</v>
      </c>
      <c r="R147" s="43">
        <f t="shared" si="32"/>
        <v>0.11569139033556564</v>
      </c>
    </row>
    <row r="148" spans="1:18" x14ac:dyDescent="0.3">
      <c r="A148" s="47">
        <v>38130</v>
      </c>
      <c r="B148" s="48">
        <v>0</v>
      </c>
      <c r="C148" s="49">
        <v>0</v>
      </c>
      <c r="D148" s="10">
        <f t="shared" si="24"/>
        <v>-0.38980777739764078</v>
      </c>
      <c r="E148" s="10">
        <f t="shared" si="25"/>
        <v>-0.52735136612021827</v>
      </c>
      <c r="F148" s="10">
        <f t="shared" si="23"/>
        <v>0.15195010331968867</v>
      </c>
      <c r="G148" s="10">
        <f t="shared" si="23"/>
        <v>0.27809946334886049</v>
      </c>
      <c r="H148" s="11">
        <f t="shared" si="3"/>
        <v>0.20556566393493181</v>
      </c>
      <c r="I148" s="12">
        <f t="shared" si="4"/>
        <v>0</v>
      </c>
      <c r="J148" s="28">
        <f t="shared" si="5"/>
        <v>0</v>
      </c>
      <c r="K148" s="30">
        <f t="shared" si="26"/>
        <v>0</v>
      </c>
      <c r="L148" s="5"/>
      <c r="M148" s="30">
        <f t="shared" si="27"/>
        <v>0</v>
      </c>
      <c r="N148" s="42">
        <f t="shared" si="28"/>
        <v>0</v>
      </c>
      <c r="O148" s="43">
        <f t="shared" si="29"/>
        <v>0</v>
      </c>
      <c r="P148" s="43">
        <f t="shared" si="30"/>
        <v>-0.34013437099999999</v>
      </c>
      <c r="Q148" s="43">
        <f t="shared" si="31"/>
        <v>-0.34013437099999999</v>
      </c>
      <c r="R148" s="43">
        <f t="shared" si="32"/>
        <v>0.11569139033556564</v>
      </c>
    </row>
    <row r="149" spans="1:18" x14ac:dyDescent="0.3">
      <c r="A149" s="47">
        <v>38131</v>
      </c>
      <c r="B149" s="48">
        <v>0</v>
      </c>
      <c r="C149" s="49">
        <v>0</v>
      </c>
      <c r="D149" s="10">
        <f t="shared" si="24"/>
        <v>-0.38980777739764078</v>
      </c>
      <c r="E149" s="10">
        <f t="shared" si="25"/>
        <v>-0.52735136612021827</v>
      </c>
      <c r="F149" s="10">
        <f t="shared" ref="F149:G212" si="33">D149^2</f>
        <v>0.15195010331968867</v>
      </c>
      <c r="G149" s="10">
        <f t="shared" si="33"/>
        <v>0.27809946334886049</v>
      </c>
      <c r="H149" s="11">
        <f t="shared" si="3"/>
        <v>0.20556566393493181</v>
      </c>
      <c r="I149" s="12">
        <f t="shared" si="4"/>
        <v>0</v>
      </c>
      <c r="J149" s="28">
        <f t="shared" si="5"/>
        <v>0</v>
      </c>
      <c r="K149" s="30">
        <f t="shared" si="26"/>
        <v>0</v>
      </c>
      <c r="L149" s="5"/>
      <c r="M149" s="30">
        <f t="shared" si="27"/>
        <v>0</v>
      </c>
      <c r="N149" s="42">
        <f t="shared" si="28"/>
        <v>0</v>
      </c>
      <c r="O149" s="43">
        <f t="shared" si="29"/>
        <v>0</v>
      </c>
      <c r="P149" s="43">
        <f t="shared" si="30"/>
        <v>-0.34013437099999999</v>
      </c>
      <c r="Q149" s="43">
        <f t="shared" si="31"/>
        <v>-0.34013437099999999</v>
      </c>
      <c r="R149" s="43">
        <f t="shared" si="32"/>
        <v>0.11569139033556564</v>
      </c>
    </row>
    <row r="150" spans="1:18" x14ac:dyDescent="0.3">
      <c r="A150" s="47">
        <v>38132</v>
      </c>
      <c r="B150" s="48">
        <v>0</v>
      </c>
      <c r="C150" s="49">
        <v>0</v>
      </c>
      <c r="D150" s="10">
        <f t="shared" si="24"/>
        <v>-0.38980777739764078</v>
      </c>
      <c r="E150" s="10">
        <f t="shared" si="25"/>
        <v>-0.52735136612021827</v>
      </c>
      <c r="F150" s="10">
        <f t="shared" si="33"/>
        <v>0.15195010331968867</v>
      </c>
      <c r="G150" s="10">
        <f t="shared" si="33"/>
        <v>0.27809946334886049</v>
      </c>
      <c r="H150" s="11">
        <f t="shared" si="3"/>
        <v>0.20556566393493181</v>
      </c>
      <c r="I150" s="12">
        <f t="shared" si="4"/>
        <v>0</v>
      </c>
      <c r="J150" s="28">
        <f t="shared" si="5"/>
        <v>0</v>
      </c>
      <c r="K150" s="30">
        <f t="shared" si="26"/>
        <v>0</v>
      </c>
      <c r="L150" s="5"/>
      <c r="M150" s="30">
        <f t="shared" si="27"/>
        <v>0</v>
      </c>
      <c r="N150" s="42">
        <f t="shared" si="28"/>
        <v>0</v>
      </c>
      <c r="O150" s="43">
        <f t="shared" si="29"/>
        <v>0</v>
      </c>
      <c r="P150" s="43">
        <f t="shared" si="30"/>
        <v>-0.34013437099999999</v>
      </c>
      <c r="Q150" s="43">
        <f t="shared" si="31"/>
        <v>-0.34013437099999999</v>
      </c>
      <c r="R150" s="43">
        <f t="shared" si="32"/>
        <v>0.11569139033556564</v>
      </c>
    </row>
    <row r="151" spans="1:18" x14ac:dyDescent="0.3">
      <c r="A151" s="47">
        <v>38133</v>
      </c>
      <c r="B151" s="48">
        <v>0</v>
      </c>
      <c r="C151" s="49">
        <v>4.3799999999999999E-2</v>
      </c>
      <c r="D151" s="10">
        <f t="shared" si="24"/>
        <v>-0.38980777739764078</v>
      </c>
      <c r="E151" s="10">
        <f t="shared" si="25"/>
        <v>-0.48355136612021826</v>
      </c>
      <c r="F151" s="10">
        <f t="shared" si="33"/>
        <v>0.15195010331968867</v>
      </c>
      <c r="G151" s="10">
        <f t="shared" si="33"/>
        <v>0.23382192367672935</v>
      </c>
      <c r="H151" s="11">
        <f t="shared" si="3"/>
        <v>0.18849208328491512</v>
      </c>
      <c r="I151" s="12">
        <f t="shared" si="4"/>
        <v>4.3799999999999999E-2</v>
      </c>
      <c r="J151" s="28">
        <f t="shared" si="5"/>
        <v>1.91844E-3</v>
      </c>
      <c r="K151" s="30">
        <f t="shared" si="26"/>
        <v>4.3799999999999999E-2</v>
      </c>
      <c r="L151" s="5"/>
      <c r="M151" s="30">
        <f t="shared" si="27"/>
        <v>-4.3799999999999999E-2</v>
      </c>
      <c r="N151" s="42">
        <f t="shared" si="28"/>
        <v>-4.3799999999999999E-2</v>
      </c>
      <c r="O151" s="43">
        <f t="shared" si="29"/>
        <v>1.91844E-3</v>
      </c>
      <c r="P151" s="43">
        <f t="shared" si="30"/>
        <v>-0.34013437099999999</v>
      </c>
      <c r="Q151" s="43">
        <f t="shared" si="31"/>
        <v>-0.34013437099999999</v>
      </c>
      <c r="R151" s="43">
        <f t="shared" si="32"/>
        <v>0.11569139033556564</v>
      </c>
    </row>
    <row r="152" spans="1:18" x14ac:dyDescent="0.3">
      <c r="A152" s="47">
        <v>38134</v>
      </c>
      <c r="B152" s="48">
        <v>0</v>
      </c>
      <c r="C152" s="49">
        <v>0</v>
      </c>
      <c r="D152" s="10">
        <f t="shared" si="24"/>
        <v>-0.38980777739764078</v>
      </c>
      <c r="E152" s="10">
        <f t="shared" si="25"/>
        <v>-0.52735136612021827</v>
      </c>
      <c r="F152" s="10">
        <f t="shared" si="33"/>
        <v>0.15195010331968867</v>
      </c>
      <c r="G152" s="10">
        <f t="shared" si="33"/>
        <v>0.27809946334886049</v>
      </c>
      <c r="H152" s="11">
        <f t="shared" si="3"/>
        <v>0.20556566393493181</v>
      </c>
      <c r="I152" s="12">
        <f t="shared" si="4"/>
        <v>0</v>
      </c>
      <c r="J152" s="28">
        <f t="shared" si="5"/>
        <v>0</v>
      </c>
      <c r="K152" s="30">
        <f t="shared" si="26"/>
        <v>0</v>
      </c>
      <c r="L152" s="5"/>
      <c r="M152" s="30">
        <f t="shared" si="27"/>
        <v>0</v>
      </c>
      <c r="N152" s="42">
        <f t="shared" si="28"/>
        <v>0</v>
      </c>
      <c r="O152" s="43">
        <f t="shared" si="29"/>
        <v>0</v>
      </c>
      <c r="P152" s="43">
        <f t="shared" si="30"/>
        <v>-0.34013437099999999</v>
      </c>
      <c r="Q152" s="43">
        <f t="shared" si="31"/>
        <v>-0.34013437099999999</v>
      </c>
      <c r="R152" s="43">
        <f t="shared" si="32"/>
        <v>0.11569139033556564</v>
      </c>
    </row>
    <row r="153" spans="1:18" x14ac:dyDescent="0.3">
      <c r="A153" s="47">
        <v>38135</v>
      </c>
      <c r="B153" s="48">
        <v>0</v>
      </c>
      <c r="C153" s="49">
        <v>0</v>
      </c>
      <c r="D153" s="10">
        <f t="shared" si="24"/>
        <v>-0.38980777739764078</v>
      </c>
      <c r="E153" s="10">
        <f t="shared" si="25"/>
        <v>-0.52735136612021827</v>
      </c>
      <c r="F153" s="10">
        <f t="shared" si="33"/>
        <v>0.15195010331968867</v>
      </c>
      <c r="G153" s="10">
        <f t="shared" si="33"/>
        <v>0.27809946334886049</v>
      </c>
      <c r="H153" s="11">
        <f t="shared" si="3"/>
        <v>0.20556566393493181</v>
      </c>
      <c r="I153" s="12">
        <f t="shared" si="4"/>
        <v>0</v>
      </c>
      <c r="J153" s="28">
        <f t="shared" si="5"/>
        <v>0</v>
      </c>
      <c r="K153" s="30">
        <f t="shared" si="26"/>
        <v>0</v>
      </c>
      <c r="L153" s="5"/>
      <c r="M153" s="30">
        <f t="shared" si="27"/>
        <v>0</v>
      </c>
      <c r="N153" s="42">
        <f t="shared" si="28"/>
        <v>0</v>
      </c>
      <c r="O153" s="43">
        <f t="shared" si="29"/>
        <v>0</v>
      </c>
      <c r="P153" s="43">
        <f t="shared" si="30"/>
        <v>-0.34013437099999999</v>
      </c>
      <c r="Q153" s="43">
        <f t="shared" si="31"/>
        <v>-0.34013437099999999</v>
      </c>
      <c r="R153" s="43">
        <f t="shared" si="32"/>
        <v>0.11569139033556564</v>
      </c>
    </row>
    <row r="154" spans="1:18" x14ac:dyDescent="0.3">
      <c r="A154" s="47">
        <v>38136</v>
      </c>
      <c r="B154" s="48">
        <v>0</v>
      </c>
      <c r="C154" s="49">
        <v>0</v>
      </c>
      <c r="D154" s="10">
        <f t="shared" si="24"/>
        <v>-0.38980777739764078</v>
      </c>
      <c r="E154" s="10">
        <f t="shared" si="25"/>
        <v>-0.52735136612021827</v>
      </c>
      <c r="F154" s="10">
        <f t="shared" si="33"/>
        <v>0.15195010331968867</v>
      </c>
      <c r="G154" s="10">
        <f t="shared" si="33"/>
        <v>0.27809946334886049</v>
      </c>
      <c r="H154" s="11">
        <f t="shared" si="3"/>
        <v>0.20556566393493181</v>
      </c>
      <c r="I154" s="12">
        <f t="shared" si="4"/>
        <v>0</v>
      </c>
      <c r="J154" s="28">
        <f t="shared" si="5"/>
        <v>0</v>
      </c>
      <c r="K154" s="30">
        <f t="shared" si="26"/>
        <v>0</v>
      </c>
      <c r="L154" s="5"/>
      <c r="M154" s="30">
        <f t="shared" si="27"/>
        <v>0</v>
      </c>
      <c r="N154" s="42">
        <f t="shared" si="28"/>
        <v>0</v>
      </c>
      <c r="O154" s="43">
        <f t="shared" si="29"/>
        <v>0</v>
      </c>
      <c r="P154" s="43">
        <f t="shared" si="30"/>
        <v>-0.34013437099999999</v>
      </c>
      <c r="Q154" s="43">
        <f t="shared" si="31"/>
        <v>-0.34013437099999999</v>
      </c>
      <c r="R154" s="43">
        <f t="shared" si="32"/>
        <v>0.11569139033556564</v>
      </c>
    </row>
    <row r="155" spans="1:18" x14ac:dyDescent="0.3">
      <c r="A155" s="47">
        <v>38137</v>
      </c>
      <c r="B155" s="48">
        <v>0</v>
      </c>
      <c r="C155" s="49">
        <v>0</v>
      </c>
      <c r="D155" s="10">
        <f t="shared" si="24"/>
        <v>-0.38980777739764078</v>
      </c>
      <c r="E155" s="10">
        <f t="shared" si="25"/>
        <v>-0.52735136612021827</v>
      </c>
      <c r="F155" s="10">
        <f t="shared" si="33"/>
        <v>0.15195010331968867</v>
      </c>
      <c r="G155" s="10">
        <f t="shared" si="33"/>
        <v>0.27809946334886049</v>
      </c>
      <c r="H155" s="11">
        <f t="shared" si="3"/>
        <v>0.20556566393493181</v>
      </c>
      <c r="I155" s="12">
        <f t="shared" si="4"/>
        <v>0</v>
      </c>
      <c r="J155" s="28">
        <f t="shared" si="5"/>
        <v>0</v>
      </c>
      <c r="K155" s="30">
        <f t="shared" si="26"/>
        <v>0</v>
      </c>
      <c r="L155" s="5"/>
      <c r="M155" s="30">
        <f t="shared" si="27"/>
        <v>0</v>
      </c>
      <c r="N155" s="42">
        <f t="shared" si="28"/>
        <v>0</v>
      </c>
      <c r="O155" s="43">
        <f t="shared" si="29"/>
        <v>0</v>
      </c>
      <c r="P155" s="43">
        <f t="shared" si="30"/>
        <v>-0.34013437099999999</v>
      </c>
      <c r="Q155" s="43">
        <f t="shared" si="31"/>
        <v>-0.34013437099999999</v>
      </c>
      <c r="R155" s="43">
        <f t="shared" si="32"/>
        <v>0.11569139033556564</v>
      </c>
    </row>
    <row r="156" spans="1:18" x14ac:dyDescent="0.3">
      <c r="A156" s="47">
        <v>38138</v>
      </c>
      <c r="B156" s="48">
        <v>0</v>
      </c>
      <c r="C156" s="49">
        <v>0</v>
      </c>
      <c r="D156" s="10">
        <f t="shared" si="24"/>
        <v>-0.38980777739764078</v>
      </c>
      <c r="E156" s="10">
        <f t="shared" si="25"/>
        <v>-0.52735136612021827</v>
      </c>
      <c r="F156" s="10">
        <f t="shared" si="33"/>
        <v>0.15195010331968867</v>
      </c>
      <c r="G156" s="10">
        <f t="shared" si="33"/>
        <v>0.27809946334886049</v>
      </c>
      <c r="H156" s="11">
        <f t="shared" si="3"/>
        <v>0.20556566393493181</v>
      </c>
      <c r="I156" s="12">
        <f t="shared" si="4"/>
        <v>0</v>
      </c>
      <c r="J156" s="28">
        <f t="shared" si="5"/>
        <v>0</v>
      </c>
      <c r="K156" s="30">
        <f t="shared" si="26"/>
        <v>0</v>
      </c>
      <c r="L156" s="5"/>
      <c r="M156" s="30">
        <f t="shared" si="27"/>
        <v>0</v>
      </c>
      <c r="N156" s="42">
        <f t="shared" si="28"/>
        <v>0</v>
      </c>
      <c r="O156" s="43">
        <f t="shared" si="29"/>
        <v>0</v>
      </c>
      <c r="P156" s="43">
        <f t="shared" si="30"/>
        <v>-0.34013437099999999</v>
      </c>
      <c r="Q156" s="43">
        <f t="shared" si="31"/>
        <v>-0.34013437099999999</v>
      </c>
      <c r="R156" s="43">
        <f t="shared" si="32"/>
        <v>0.11569139033556564</v>
      </c>
    </row>
    <row r="157" spans="1:18" x14ac:dyDescent="0.3">
      <c r="A157" s="47">
        <v>38139</v>
      </c>
      <c r="B157" s="48">
        <v>0</v>
      </c>
      <c r="C157" s="49">
        <v>3.3999999999999998E-3</v>
      </c>
      <c r="D157" s="10">
        <f t="shared" si="24"/>
        <v>-0.38980777739764078</v>
      </c>
      <c r="E157" s="10">
        <f t="shared" si="25"/>
        <v>-0.52395136612021831</v>
      </c>
      <c r="F157" s="10">
        <f t="shared" si="33"/>
        <v>0.15195010331968867</v>
      </c>
      <c r="G157" s="10">
        <f t="shared" si="33"/>
        <v>0.27452503405924306</v>
      </c>
      <c r="H157" s="11">
        <f t="shared" si="3"/>
        <v>0.20424031749177984</v>
      </c>
      <c r="I157" s="12">
        <f t="shared" si="4"/>
        <v>3.3999999999999998E-3</v>
      </c>
      <c r="J157" s="28">
        <f t="shared" si="5"/>
        <v>1.1559999999999999E-5</v>
      </c>
      <c r="K157" s="30">
        <f t="shared" si="26"/>
        <v>3.3999999999999998E-3</v>
      </c>
      <c r="L157" s="5"/>
      <c r="M157" s="30">
        <f t="shared" si="27"/>
        <v>-3.3999999999999998E-3</v>
      </c>
      <c r="N157" s="42">
        <f t="shared" si="28"/>
        <v>-3.3999999999999998E-3</v>
      </c>
      <c r="O157" s="43">
        <f t="shared" si="29"/>
        <v>1.1559999999999999E-5</v>
      </c>
      <c r="P157" s="43">
        <f t="shared" si="30"/>
        <v>-0.34013437099999999</v>
      </c>
      <c r="Q157" s="43">
        <f t="shared" si="31"/>
        <v>-0.34013437099999999</v>
      </c>
      <c r="R157" s="43">
        <f t="shared" si="32"/>
        <v>0.11569139033556564</v>
      </c>
    </row>
    <row r="158" spans="1:18" x14ac:dyDescent="0.3">
      <c r="A158" s="47">
        <v>38140</v>
      </c>
      <c r="B158" s="48">
        <v>0</v>
      </c>
      <c r="C158" s="49">
        <v>1.1000000000000001E-3</v>
      </c>
      <c r="D158" s="10">
        <f t="shared" si="24"/>
        <v>-0.38980777739764078</v>
      </c>
      <c r="E158" s="10">
        <f t="shared" si="25"/>
        <v>-0.52625136612021828</v>
      </c>
      <c r="F158" s="10">
        <f t="shared" si="33"/>
        <v>0.15195010331968867</v>
      </c>
      <c r="G158" s="10">
        <f t="shared" si="33"/>
        <v>0.27694050034339601</v>
      </c>
      <c r="H158" s="11">
        <f t="shared" si="3"/>
        <v>0.20513687537979441</v>
      </c>
      <c r="I158" s="12">
        <f t="shared" si="4"/>
        <v>1.1000000000000001E-3</v>
      </c>
      <c r="J158" s="28">
        <f t="shared" si="5"/>
        <v>1.2100000000000001E-6</v>
      </c>
      <c r="K158" s="30">
        <f t="shared" si="26"/>
        <v>1.1000000000000001E-3</v>
      </c>
      <c r="L158" s="5"/>
      <c r="M158" s="30">
        <f t="shared" si="27"/>
        <v>-1.1000000000000001E-3</v>
      </c>
      <c r="N158" s="42">
        <f t="shared" si="28"/>
        <v>-1.1000000000000001E-3</v>
      </c>
      <c r="O158" s="43">
        <f t="shared" si="29"/>
        <v>1.2100000000000001E-6</v>
      </c>
      <c r="P158" s="43">
        <f t="shared" si="30"/>
        <v>-0.34013437099999999</v>
      </c>
      <c r="Q158" s="43">
        <f t="shared" si="31"/>
        <v>-0.34013437099999999</v>
      </c>
      <c r="R158" s="43">
        <f t="shared" si="32"/>
        <v>0.11569139033556564</v>
      </c>
    </row>
    <row r="159" spans="1:18" x14ac:dyDescent="0.3">
      <c r="A159" s="47">
        <v>38141</v>
      </c>
      <c r="B159" s="48">
        <v>0</v>
      </c>
      <c r="C159" s="49">
        <v>1.6999999999999999E-3</v>
      </c>
      <c r="D159" s="10">
        <f t="shared" si="24"/>
        <v>-0.38980777739764078</v>
      </c>
      <c r="E159" s="10">
        <f t="shared" si="25"/>
        <v>-0.52565136612021823</v>
      </c>
      <c r="F159" s="10">
        <f t="shared" si="33"/>
        <v>0.15195010331968867</v>
      </c>
      <c r="G159" s="10">
        <f t="shared" si="33"/>
        <v>0.27630935870405171</v>
      </c>
      <c r="H159" s="11">
        <f t="shared" si="3"/>
        <v>0.2049029907133558</v>
      </c>
      <c r="I159" s="12">
        <f t="shared" si="4"/>
        <v>1.6999999999999999E-3</v>
      </c>
      <c r="J159" s="28">
        <f t="shared" si="5"/>
        <v>2.8899999999999999E-6</v>
      </c>
      <c r="K159" s="30">
        <f t="shared" si="26"/>
        <v>1.6999999999999999E-3</v>
      </c>
      <c r="L159" s="5"/>
      <c r="M159" s="30">
        <f t="shared" si="27"/>
        <v>-1.6999999999999999E-3</v>
      </c>
      <c r="N159" s="42">
        <f t="shared" si="28"/>
        <v>-1.6999999999999999E-3</v>
      </c>
      <c r="O159" s="43">
        <f t="shared" si="29"/>
        <v>2.8899999999999999E-6</v>
      </c>
      <c r="P159" s="43">
        <f t="shared" si="30"/>
        <v>-0.34013437099999999</v>
      </c>
      <c r="Q159" s="43">
        <f t="shared" si="31"/>
        <v>-0.34013437099999999</v>
      </c>
      <c r="R159" s="43">
        <f t="shared" si="32"/>
        <v>0.11569139033556564</v>
      </c>
    </row>
    <row r="160" spans="1:18" x14ac:dyDescent="0.3">
      <c r="A160" s="47">
        <v>38142</v>
      </c>
      <c r="B160" s="48">
        <v>0</v>
      </c>
      <c r="C160" s="49">
        <v>5.0000000000000001E-4</v>
      </c>
      <c r="D160" s="10">
        <f t="shared" si="24"/>
        <v>-0.38980777739764078</v>
      </c>
      <c r="E160" s="10">
        <f t="shared" si="25"/>
        <v>-0.52685136612021832</v>
      </c>
      <c r="F160" s="10">
        <f t="shared" si="33"/>
        <v>0.15195010331968867</v>
      </c>
      <c r="G160" s="10">
        <f t="shared" si="33"/>
        <v>0.27757236198274032</v>
      </c>
      <c r="H160" s="11">
        <f t="shared" si="3"/>
        <v>0.205370760046233</v>
      </c>
      <c r="I160" s="12">
        <f t="shared" si="4"/>
        <v>5.0000000000000001E-4</v>
      </c>
      <c r="J160" s="28">
        <f t="shared" si="5"/>
        <v>2.4999999999999999E-7</v>
      </c>
      <c r="K160" s="30">
        <f t="shared" si="26"/>
        <v>5.0000000000000001E-4</v>
      </c>
      <c r="L160" s="5"/>
      <c r="M160" s="30">
        <f t="shared" si="27"/>
        <v>-5.0000000000000001E-4</v>
      </c>
      <c r="N160" s="42">
        <f t="shared" si="28"/>
        <v>-5.0000000000000001E-4</v>
      </c>
      <c r="O160" s="43">
        <f t="shared" si="29"/>
        <v>2.4999999999999999E-7</v>
      </c>
      <c r="P160" s="43">
        <f t="shared" si="30"/>
        <v>-0.34013437099999999</v>
      </c>
      <c r="Q160" s="43">
        <f t="shared" si="31"/>
        <v>-0.34013437099999999</v>
      </c>
      <c r="R160" s="43">
        <f t="shared" si="32"/>
        <v>0.11569139033556564</v>
      </c>
    </row>
    <row r="161" spans="1:18" x14ac:dyDescent="0.3">
      <c r="A161" s="47">
        <v>38143</v>
      </c>
      <c r="B161" s="48">
        <v>0</v>
      </c>
      <c r="C161" s="49">
        <v>0</v>
      </c>
      <c r="D161" s="10">
        <f t="shared" si="24"/>
        <v>-0.38980777739764078</v>
      </c>
      <c r="E161" s="10">
        <f t="shared" si="25"/>
        <v>-0.52735136612021827</v>
      </c>
      <c r="F161" s="10">
        <f t="shared" si="33"/>
        <v>0.15195010331968867</v>
      </c>
      <c r="G161" s="10">
        <f t="shared" si="33"/>
        <v>0.27809946334886049</v>
      </c>
      <c r="H161" s="11">
        <f t="shared" si="3"/>
        <v>0.20556566393493181</v>
      </c>
      <c r="I161" s="12">
        <f t="shared" si="4"/>
        <v>0</v>
      </c>
      <c r="J161" s="28">
        <f t="shared" si="5"/>
        <v>0</v>
      </c>
      <c r="K161" s="30">
        <f t="shared" si="26"/>
        <v>0</v>
      </c>
      <c r="L161" s="5"/>
      <c r="M161" s="30">
        <f t="shared" si="27"/>
        <v>0</v>
      </c>
      <c r="N161" s="42">
        <f t="shared" si="28"/>
        <v>0</v>
      </c>
      <c r="O161" s="43">
        <f t="shared" si="29"/>
        <v>0</v>
      </c>
      <c r="P161" s="43">
        <f t="shared" si="30"/>
        <v>-0.34013437099999999</v>
      </c>
      <c r="Q161" s="43">
        <f t="shared" si="31"/>
        <v>-0.34013437099999999</v>
      </c>
      <c r="R161" s="43">
        <f t="shared" si="32"/>
        <v>0.11569139033556564</v>
      </c>
    </row>
    <row r="162" spans="1:18" x14ac:dyDescent="0.3">
      <c r="A162" s="47">
        <v>38144</v>
      </c>
      <c r="B162" s="48">
        <v>0</v>
      </c>
      <c r="C162" s="49">
        <v>0</v>
      </c>
      <c r="D162" s="10">
        <f t="shared" si="24"/>
        <v>-0.38980777739764078</v>
      </c>
      <c r="E162" s="10">
        <f t="shared" si="25"/>
        <v>-0.52735136612021827</v>
      </c>
      <c r="F162" s="10">
        <f t="shared" si="33"/>
        <v>0.15195010331968867</v>
      </c>
      <c r="G162" s="10">
        <f t="shared" si="33"/>
        <v>0.27809946334886049</v>
      </c>
      <c r="H162" s="11">
        <f t="shared" si="3"/>
        <v>0.20556566393493181</v>
      </c>
      <c r="I162" s="12">
        <f t="shared" si="4"/>
        <v>0</v>
      </c>
      <c r="J162" s="28">
        <f t="shared" si="5"/>
        <v>0</v>
      </c>
      <c r="K162" s="30">
        <f t="shared" si="26"/>
        <v>0</v>
      </c>
      <c r="L162" s="5"/>
      <c r="M162" s="30">
        <f t="shared" si="27"/>
        <v>0</v>
      </c>
      <c r="N162" s="42">
        <f t="shared" si="28"/>
        <v>0</v>
      </c>
      <c r="O162" s="43">
        <f t="shared" si="29"/>
        <v>0</v>
      </c>
      <c r="P162" s="43">
        <f t="shared" si="30"/>
        <v>-0.34013437099999999</v>
      </c>
      <c r="Q162" s="43">
        <f t="shared" si="31"/>
        <v>-0.34013437099999999</v>
      </c>
      <c r="R162" s="43">
        <f t="shared" si="32"/>
        <v>0.11569139033556564</v>
      </c>
    </row>
    <row r="163" spans="1:18" x14ac:dyDescent="0.3">
      <c r="A163" s="47">
        <v>38145</v>
      </c>
      <c r="B163" s="48">
        <v>0</v>
      </c>
      <c r="C163" s="49">
        <v>0</v>
      </c>
      <c r="D163" s="10">
        <f t="shared" si="24"/>
        <v>-0.38980777739764078</v>
      </c>
      <c r="E163" s="10">
        <f t="shared" si="25"/>
        <v>-0.52735136612021827</v>
      </c>
      <c r="F163" s="10">
        <f t="shared" si="33"/>
        <v>0.15195010331968867</v>
      </c>
      <c r="G163" s="10">
        <f t="shared" si="33"/>
        <v>0.27809946334886049</v>
      </c>
      <c r="H163" s="11">
        <f t="shared" si="3"/>
        <v>0.20556566393493181</v>
      </c>
      <c r="I163" s="12">
        <f t="shared" si="4"/>
        <v>0</v>
      </c>
      <c r="J163" s="28">
        <f t="shared" si="5"/>
        <v>0</v>
      </c>
      <c r="K163" s="30">
        <f t="shared" si="26"/>
        <v>0</v>
      </c>
      <c r="L163" s="5"/>
      <c r="M163" s="30">
        <f t="shared" si="27"/>
        <v>0</v>
      </c>
      <c r="N163" s="42">
        <f t="shared" si="28"/>
        <v>0</v>
      </c>
      <c r="O163" s="43">
        <f t="shared" si="29"/>
        <v>0</v>
      </c>
      <c r="P163" s="43">
        <f t="shared" si="30"/>
        <v>-0.34013437099999999</v>
      </c>
      <c r="Q163" s="43">
        <f t="shared" si="31"/>
        <v>-0.34013437099999999</v>
      </c>
      <c r="R163" s="43">
        <f t="shared" si="32"/>
        <v>0.11569139033556564</v>
      </c>
    </row>
    <row r="164" spans="1:18" x14ac:dyDescent="0.3">
      <c r="A164" s="47">
        <v>38146</v>
      </c>
      <c r="B164" s="48">
        <v>0</v>
      </c>
      <c r="C164" s="49">
        <v>1.1999999999999999E-3</v>
      </c>
      <c r="D164" s="10">
        <f t="shared" si="24"/>
        <v>-0.38980777739764078</v>
      </c>
      <c r="E164" s="10">
        <f t="shared" si="25"/>
        <v>-0.52615136612021829</v>
      </c>
      <c r="F164" s="10">
        <f t="shared" si="33"/>
        <v>0.15195010331968867</v>
      </c>
      <c r="G164" s="10">
        <f t="shared" si="33"/>
        <v>0.27683526007017201</v>
      </c>
      <c r="H164" s="11">
        <f t="shared" si="3"/>
        <v>0.20509789460205463</v>
      </c>
      <c r="I164" s="12">
        <f t="shared" si="4"/>
        <v>1.1999999999999999E-3</v>
      </c>
      <c r="J164" s="28">
        <f t="shared" si="5"/>
        <v>1.4399999999999998E-6</v>
      </c>
      <c r="K164" s="30">
        <f t="shared" si="26"/>
        <v>1.1999999999999999E-3</v>
      </c>
      <c r="L164" s="5"/>
      <c r="M164" s="30">
        <f t="shared" si="27"/>
        <v>-1.1999999999999999E-3</v>
      </c>
      <c r="N164" s="42">
        <f t="shared" si="28"/>
        <v>-1.1999999999999999E-3</v>
      </c>
      <c r="O164" s="43">
        <f t="shared" si="29"/>
        <v>1.4399999999999998E-6</v>
      </c>
      <c r="P164" s="43">
        <f t="shared" si="30"/>
        <v>-0.34013437099999999</v>
      </c>
      <c r="Q164" s="43">
        <f t="shared" si="31"/>
        <v>-0.34013437099999999</v>
      </c>
      <c r="R164" s="43">
        <f t="shared" si="32"/>
        <v>0.11569139033556564</v>
      </c>
    </row>
    <row r="165" spans="1:18" x14ac:dyDescent="0.3">
      <c r="A165" s="47">
        <v>38147</v>
      </c>
      <c r="B165" s="48">
        <v>0</v>
      </c>
      <c r="C165" s="49">
        <v>0</v>
      </c>
      <c r="D165" s="10">
        <f t="shared" si="24"/>
        <v>-0.38980777739764078</v>
      </c>
      <c r="E165" s="10">
        <f t="shared" si="25"/>
        <v>-0.52735136612021827</v>
      </c>
      <c r="F165" s="10">
        <f t="shared" si="33"/>
        <v>0.15195010331968867</v>
      </c>
      <c r="G165" s="10">
        <f t="shared" si="33"/>
        <v>0.27809946334886049</v>
      </c>
      <c r="H165" s="11">
        <f t="shared" si="3"/>
        <v>0.20556566393493181</v>
      </c>
      <c r="I165" s="12">
        <f t="shared" si="4"/>
        <v>0</v>
      </c>
      <c r="J165" s="28">
        <f t="shared" si="5"/>
        <v>0</v>
      </c>
      <c r="K165" s="30">
        <f t="shared" si="26"/>
        <v>0</v>
      </c>
      <c r="L165" s="5"/>
      <c r="M165" s="30">
        <f t="shared" si="27"/>
        <v>0</v>
      </c>
      <c r="N165" s="42">
        <f t="shared" si="28"/>
        <v>0</v>
      </c>
      <c r="O165" s="43">
        <f t="shared" si="29"/>
        <v>0</v>
      </c>
      <c r="P165" s="43">
        <f t="shared" si="30"/>
        <v>-0.34013437099999999</v>
      </c>
      <c r="Q165" s="43">
        <f t="shared" si="31"/>
        <v>-0.34013437099999999</v>
      </c>
      <c r="R165" s="43">
        <f t="shared" si="32"/>
        <v>0.11569139033556564</v>
      </c>
    </row>
    <row r="166" spans="1:18" x14ac:dyDescent="0.3">
      <c r="A166" s="47">
        <v>38148</v>
      </c>
      <c r="B166" s="48">
        <v>0</v>
      </c>
      <c r="C166" s="49">
        <v>0</v>
      </c>
      <c r="D166" s="10">
        <f t="shared" si="24"/>
        <v>-0.38980777739764078</v>
      </c>
      <c r="E166" s="10">
        <f t="shared" si="25"/>
        <v>-0.52735136612021827</v>
      </c>
      <c r="F166" s="10">
        <f t="shared" si="33"/>
        <v>0.15195010331968867</v>
      </c>
      <c r="G166" s="10">
        <f t="shared" si="33"/>
        <v>0.27809946334886049</v>
      </c>
      <c r="H166" s="11">
        <f t="shared" si="3"/>
        <v>0.20556566393493181</v>
      </c>
      <c r="I166" s="12">
        <f t="shared" si="4"/>
        <v>0</v>
      </c>
      <c r="J166" s="28">
        <f t="shared" si="5"/>
        <v>0</v>
      </c>
      <c r="K166" s="30">
        <f t="shared" si="26"/>
        <v>0</v>
      </c>
      <c r="L166" s="5"/>
      <c r="M166" s="30">
        <f t="shared" si="27"/>
        <v>0</v>
      </c>
      <c r="N166" s="42">
        <f t="shared" si="28"/>
        <v>0</v>
      </c>
      <c r="O166" s="43">
        <f t="shared" si="29"/>
        <v>0</v>
      </c>
      <c r="P166" s="43">
        <f t="shared" si="30"/>
        <v>-0.34013437099999999</v>
      </c>
      <c r="Q166" s="43">
        <f t="shared" si="31"/>
        <v>-0.34013437099999999</v>
      </c>
      <c r="R166" s="43">
        <f t="shared" si="32"/>
        <v>0.11569139033556564</v>
      </c>
    </row>
    <row r="167" spans="1:18" x14ac:dyDescent="0.3">
      <c r="A167" s="47">
        <v>38149</v>
      </c>
      <c r="B167" s="48">
        <v>0</v>
      </c>
      <c r="C167" s="49">
        <v>0</v>
      </c>
      <c r="D167" s="10">
        <f t="shared" si="24"/>
        <v>-0.38980777739764078</v>
      </c>
      <c r="E167" s="10">
        <f t="shared" si="25"/>
        <v>-0.52735136612021827</v>
      </c>
      <c r="F167" s="10">
        <f t="shared" si="33"/>
        <v>0.15195010331968867</v>
      </c>
      <c r="G167" s="10">
        <f t="shared" si="33"/>
        <v>0.27809946334886049</v>
      </c>
      <c r="H167" s="11">
        <f t="shared" si="3"/>
        <v>0.20556566393493181</v>
      </c>
      <c r="I167" s="12">
        <f t="shared" si="4"/>
        <v>0</v>
      </c>
      <c r="J167" s="28">
        <f t="shared" si="5"/>
        <v>0</v>
      </c>
      <c r="K167" s="30">
        <f t="shared" si="26"/>
        <v>0</v>
      </c>
      <c r="L167" s="5"/>
      <c r="M167" s="30">
        <f t="shared" si="27"/>
        <v>0</v>
      </c>
      <c r="N167" s="42">
        <f t="shared" si="28"/>
        <v>0</v>
      </c>
      <c r="O167" s="43">
        <f t="shared" si="29"/>
        <v>0</v>
      </c>
      <c r="P167" s="43">
        <f t="shared" si="30"/>
        <v>-0.34013437099999999</v>
      </c>
      <c r="Q167" s="43">
        <f t="shared" si="31"/>
        <v>-0.34013437099999999</v>
      </c>
      <c r="R167" s="43">
        <f t="shared" si="32"/>
        <v>0.11569139033556564</v>
      </c>
    </row>
    <row r="168" spans="1:18" x14ac:dyDescent="0.3">
      <c r="A168" s="47">
        <v>38150</v>
      </c>
      <c r="B168" s="48">
        <v>0</v>
      </c>
      <c r="C168" s="49">
        <v>0</v>
      </c>
      <c r="D168" s="10">
        <f t="shared" si="24"/>
        <v>-0.38980777739764078</v>
      </c>
      <c r="E168" s="10">
        <f t="shared" si="25"/>
        <v>-0.52735136612021827</v>
      </c>
      <c r="F168" s="10">
        <f t="shared" si="33"/>
        <v>0.15195010331968867</v>
      </c>
      <c r="G168" s="10">
        <f t="shared" si="33"/>
        <v>0.27809946334886049</v>
      </c>
      <c r="H168" s="11">
        <f t="shared" si="3"/>
        <v>0.20556566393493181</v>
      </c>
      <c r="I168" s="12">
        <f t="shared" si="4"/>
        <v>0</v>
      </c>
      <c r="J168" s="28">
        <f t="shared" si="5"/>
        <v>0</v>
      </c>
      <c r="K168" s="30">
        <f t="shared" si="26"/>
        <v>0</v>
      </c>
      <c r="L168" s="5"/>
      <c r="M168" s="30">
        <f t="shared" si="27"/>
        <v>0</v>
      </c>
      <c r="N168" s="42">
        <f t="shared" si="28"/>
        <v>0</v>
      </c>
      <c r="O168" s="43">
        <f t="shared" si="29"/>
        <v>0</v>
      </c>
      <c r="P168" s="43">
        <f t="shared" si="30"/>
        <v>-0.34013437099999999</v>
      </c>
      <c r="Q168" s="43">
        <f t="shared" si="31"/>
        <v>-0.34013437099999999</v>
      </c>
      <c r="R168" s="43">
        <f t="shared" si="32"/>
        <v>0.11569139033556564</v>
      </c>
    </row>
    <row r="169" spans="1:18" x14ac:dyDescent="0.3">
      <c r="A169" s="47">
        <v>38151</v>
      </c>
      <c r="B169" s="48">
        <v>0</v>
      </c>
      <c r="C169" s="49">
        <v>0</v>
      </c>
      <c r="D169" s="10">
        <f t="shared" si="24"/>
        <v>-0.38980777739764078</v>
      </c>
      <c r="E169" s="10">
        <f t="shared" si="25"/>
        <v>-0.52735136612021827</v>
      </c>
      <c r="F169" s="10">
        <f t="shared" si="33"/>
        <v>0.15195010331968867</v>
      </c>
      <c r="G169" s="10">
        <f t="shared" si="33"/>
        <v>0.27809946334886049</v>
      </c>
      <c r="H169" s="11">
        <f t="shared" si="3"/>
        <v>0.20556566393493181</v>
      </c>
      <c r="I169" s="12">
        <f t="shared" si="4"/>
        <v>0</v>
      </c>
      <c r="J169" s="28">
        <f t="shared" si="5"/>
        <v>0</v>
      </c>
      <c r="K169" s="30">
        <f t="shared" si="26"/>
        <v>0</v>
      </c>
      <c r="L169" s="5"/>
      <c r="M169" s="30">
        <f t="shared" si="27"/>
        <v>0</v>
      </c>
      <c r="N169" s="42">
        <f t="shared" si="28"/>
        <v>0</v>
      </c>
      <c r="O169" s="43">
        <f t="shared" si="29"/>
        <v>0</v>
      </c>
      <c r="P169" s="43">
        <f t="shared" si="30"/>
        <v>-0.34013437099999999</v>
      </c>
      <c r="Q169" s="43">
        <f t="shared" si="31"/>
        <v>-0.34013437099999999</v>
      </c>
      <c r="R169" s="43">
        <f t="shared" si="32"/>
        <v>0.11569139033556564</v>
      </c>
    </row>
    <row r="170" spans="1:18" x14ac:dyDescent="0.3">
      <c r="A170" s="47">
        <v>38152</v>
      </c>
      <c r="B170" s="48">
        <v>0</v>
      </c>
      <c r="C170" s="49">
        <v>0</v>
      </c>
      <c r="D170" s="10">
        <f t="shared" si="24"/>
        <v>-0.38980777739764078</v>
      </c>
      <c r="E170" s="10">
        <f t="shared" si="25"/>
        <v>-0.52735136612021827</v>
      </c>
      <c r="F170" s="10">
        <f t="shared" si="33"/>
        <v>0.15195010331968867</v>
      </c>
      <c r="G170" s="10">
        <f t="shared" si="33"/>
        <v>0.27809946334886049</v>
      </c>
      <c r="H170" s="11">
        <f t="shared" si="3"/>
        <v>0.20556566393493181</v>
      </c>
      <c r="I170" s="12">
        <f t="shared" si="4"/>
        <v>0</v>
      </c>
      <c r="J170" s="28">
        <f t="shared" si="5"/>
        <v>0</v>
      </c>
      <c r="K170" s="30">
        <f t="shared" si="26"/>
        <v>0</v>
      </c>
      <c r="L170" s="5"/>
      <c r="M170" s="30">
        <f t="shared" si="27"/>
        <v>0</v>
      </c>
      <c r="N170" s="42">
        <f t="shared" si="28"/>
        <v>0</v>
      </c>
      <c r="O170" s="43">
        <f t="shared" si="29"/>
        <v>0</v>
      </c>
      <c r="P170" s="43">
        <f t="shared" si="30"/>
        <v>-0.34013437099999999</v>
      </c>
      <c r="Q170" s="43">
        <f t="shared" si="31"/>
        <v>-0.34013437099999999</v>
      </c>
      <c r="R170" s="43">
        <f t="shared" si="32"/>
        <v>0.11569139033556564</v>
      </c>
    </row>
    <row r="171" spans="1:18" x14ac:dyDescent="0.3">
      <c r="A171" s="47">
        <v>38153</v>
      </c>
      <c r="B171" s="48">
        <v>0</v>
      </c>
      <c r="C171" s="49">
        <v>0</v>
      </c>
      <c r="D171" s="10">
        <f t="shared" si="24"/>
        <v>-0.38980777739764078</v>
      </c>
      <c r="E171" s="10">
        <f t="shared" si="25"/>
        <v>-0.52735136612021827</v>
      </c>
      <c r="F171" s="10">
        <f t="shared" si="33"/>
        <v>0.15195010331968867</v>
      </c>
      <c r="G171" s="10">
        <f t="shared" si="33"/>
        <v>0.27809946334886049</v>
      </c>
      <c r="H171" s="11">
        <f t="shared" si="3"/>
        <v>0.20556566393493181</v>
      </c>
      <c r="I171" s="12">
        <f t="shared" si="4"/>
        <v>0</v>
      </c>
      <c r="J171" s="28">
        <f t="shared" si="5"/>
        <v>0</v>
      </c>
      <c r="K171" s="30">
        <f t="shared" si="26"/>
        <v>0</v>
      </c>
      <c r="L171" s="5"/>
      <c r="M171" s="30">
        <f t="shared" si="27"/>
        <v>0</v>
      </c>
      <c r="N171" s="42">
        <f t="shared" si="28"/>
        <v>0</v>
      </c>
      <c r="O171" s="43">
        <f t="shared" si="29"/>
        <v>0</v>
      </c>
      <c r="P171" s="43">
        <f t="shared" si="30"/>
        <v>-0.34013437099999999</v>
      </c>
      <c r="Q171" s="43">
        <f t="shared" si="31"/>
        <v>-0.34013437099999999</v>
      </c>
      <c r="R171" s="43">
        <f t="shared" si="32"/>
        <v>0.11569139033556564</v>
      </c>
    </row>
    <row r="172" spans="1:18" x14ac:dyDescent="0.3">
      <c r="A172" s="47">
        <v>38154</v>
      </c>
      <c r="B172" s="48">
        <v>0</v>
      </c>
      <c r="C172" s="49">
        <v>0</v>
      </c>
      <c r="D172" s="10">
        <f t="shared" si="24"/>
        <v>-0.38980777739764078</v>
      </c>
      <c r="E172" s="10">
        <f t="shared" si="25"/>
        <v>-0.52735136612021827</v>
      </c>
      <c r="F172" s="10">
        <f t="shared" si="33"/>
        <v>0.15195010331968867</v>
      </c>
      <c r="G172" s="10">
        <f t="shared" si="33"/>
        <v>0.27809946334886049</v>
      </c>
      <c r="H172" s="11">
        <f t="shared" si="3"/>
        <v>0.20556566393493181</v>
      </c>
      <c r="I172" s="12">
        <f t="shared" si="4"/>
        <v>0</v>
      </c>
      <c r="J172" s="28">
        <f t="shared" si="5"/>
        <v>0</v>
      </c>
      <c r="K172" s="30">
        <f t="shared" si="26"/>
        <v>0</v>
      </c>
      <c r="L172" s="5"/>
      <c r="M172" s="30">
        <f t="shared" si="27"/>
        <v>0</v>
      </c>
      <c r="N172" s="42">
        <f t="shared" si="28"/>
        <v>0</v>
      </c>
      <c r="O172" s="43">
        <f t="shared" si="29"/>
        <v>0</v>
      </c>
      <c r="P172" s="43">
        <f t="shared" si="30"/>
        <v>-0.34013437099999999</v>
      </c>
      <c r="Q172" s="43">
        <f t="shared" si="31"/>
        <v>-0.34013437099999999</v>
      </c>
      <c r="R172" s="43">
        <f t="shared" si="32"/>
        <v>0.11569139033556564</v>
      </c>
    </row>
    <row r="173" spans="1:18" x14ac:dyDescent="0.3">
      <c r="A173" s="47">
        <v>38155</v>
      </c>
      <c r="B173" s="48">
        <v>0</v>
      </c>
      <c r="C173" s="49">
        <v>0</v>
      </c>
      <c r="D173" s="10">
        <f t="shared" si="24"/>
        <v>-0.38980777739764078</v>
      </c>
      <c r="E173" s="10">
        <f t="shared" si="25"/>
        <v>-0.52735136612021827</v>
      </c>
      <c r="F173" s="10">
        <f t="shared" si="33"/>
        <v>0.15195010331968867</v>
      </c>
      <c r="G173" s="10">
        <f t="shared" si="33"/>
        <v>0.27809946334886049</v>
      </c>
      <c r="H173" s="11">
        <f t="shared" si="3"/>
        <v>0.20556566393493181</v>
      </c>
      <c r="I173" s="12">
        <f t="shared" si="4"/>
        <v>0</v>
      </c>
      <c r="J173" s="28">
        <f t="shared" si="5"/>
        <v>0</v>
      </c>
      <c r="K173" s="30">
        <f t="shared" si="26"/>
        <v>0</v>
      </c>
      <c r="L173" s="5"/>
      <c r="M173" s="30">
        <f t="shared" si="27"/>
        <v>0</v>
      </c>
      <c r="N173" s="42">
        <f t="shared" si="28"/>
        <v>0</v>
      </c>
      <c r="O173" s="43">
        <f t="shared" si="29"/>
        <v>0</v>
      </c>
      <c r="P173" s="43">
        <f t="shared" si="30"/>
        <v>-0.34013437099999999</v>
      </c>
      <c r="Q173" s="43">
        <f t="shared" si="31"/>
        <v>-0.34013437099999999</v>
      </c>
      <c r="R173" s="43">
        <f t="shared" si="32"/>
        <v>0.11569139033556564</v>
      </c>
    </row>
    <row r="174" spans="1:18" x14ac:dyDescent="0.3">
      <c r="A174" s="47">
        <v>38156</v>
      </c>
      <c r="B174" s="48">
        <v>0</v>
      </c>
      <c r="C174" s="49">
        <v>0</v>
      </c>
      <c r="D174" s="10">
        <f t="shared" si="24"/>
        <v>-0.38980777739764078</v>
      </c>
      <c r="E174" s="10">
        <f t="shared" si="25"/>
        <v>-0.52735136612021827</v>
      </c>
      <c r="F174" s="10">
        <f t="shared" si="33"/>
        <v>0.15195010331968867</v>
      </c>
      <c r="G174" s="10">
        <f t="shared" si="33"/>
        <v>0.27809946334886049</v>
      </c>
      <c r="H174" s="11">
        <f t="shared" si="3"/>
        <v>0.20556566393493181</v>
      </c>
      <c r="I174" s="12">
        <f t="shared" si="4"/>
        <v>0</v>
      </c>
      <c r="J174" s="28">
        <f t="shared" si="5"/>
        <v>0</v>
      </c>
      <c r="K174" s="30">
        <f t="shared" si="26"/>
        <v>0</v>
      </c>
      <c r="L174" s="5"/>
      <c r="M174" s="30">
        <f t="shared" si="27"/>
        <v>0</v>
      </c>
      <c r="N174" s="42">
        <f t="shared" si="28"/>
        <v>0</v>
      </c>
      <c r="O174" s="43">
        <f t="shared" si="29"/>
        <v>0</v>
      </c>
      <c r="P174" s="43">
        <f t="shared" si="30"/>
        <v>-0.34013437099999999</v>
      </c>
      <c r="Q174" s="43">
        <f t="shared" si="31"/>
        <v>-0.34013437099999999</v>
      </c>
      <c r="R174" s="43">
        <f t="shared" si="32"/>
        <v>0.11569139033556564</v>
      </c>
    </row>
    <row r="175" spans="1:18" x14ac:dyDescent="0.3">
      <c r="A175" s="47">
        <v>38157</v>
      </c>
      <c r="B175" s="48">
        <v>0</v>
      </c>
      <c r="C175" s="49">
        <v>0</v>
      </c>
      <c r="D175" s="10">
        <f t="shared" si="24"/>
        <v>-0.38980777739764078</v>
      </c>
      <c r="E175" s="10">
        <f t="shared" si="25"/>
        <v>-0.52735136612021827</v>
      </c>
      <c r="F175" s="10">
        <f t="shared" si="33"/>
        <v>0.15195010331968867</v>
      </c>
      <c r="G175" s="10">
        <f t="shared" si="33"/>
        <v>0.27809946334886049</v>
      </c>
      <c r="H175" s="11">
        <f t="shared" si="3"/>
        <v>0.20556566393493181</v>
      </c>
      <c r="I175" s="12">
        <f t="shared" si="4"/>
        <v>0</v>
      </c>
      <c r="J175" s="28">
        <f t="shared" si="5"/>
        <v>0</v>
      </c>
      <c r="K175" s="30">
        <f t="shared" si="26"/>
        <v>0</v>
      </c>
      <c r="L175" s="5"/>
      <c r="M175" s="30">
        <f t="shared" si="27"/>
        <v>0</v>
      </c>
      <c r="N175" s="42">
        <f t="shared" si="28"/>
        <v>0</v>
      </c>
      <c r="O175" s="43">
        <f t="shared" si="29"/>
        <v>0</v>
      </c>
      <c r="P175" s="43">
        <f t="shared" si="30"/>
        <v>-0.34013437099999999</v>
      </c>
      <c r="Q175" s="43">
        <f t="shared" si="31"/>
        <v>-0.34013437099999999</v>
      </c>
      <c r="R175" s="43">
        <f t="shared" si="32"/>
        <v>0.11569139033556564</v>
      </c>
    </row>
    <row r="176" spans="1:18" x14ac:dyDescent="0.3">
      <c r="A176" s="47">
        <v>38158</v>
      </c>
      <c r="B176" s="48">
        <v>0</v>
      </c>
      <c r="C176" s="49">
        <v>2.7199999999999998E-2</v>
      </c>
      <c r="D176" s="10">
        <f t="shared" si="24"/>
        <v>-0.38980777739764078</v>
      </c>
      <c r="E176" s="10">
        <f t="shared" si="25"/>
        <v>-0.50015136612021827</v>
      </c>
      <c r="F176" s="10">
        <f t="shared" si="33"/>
        <v>0.15195010331968867</v>
      </c>
      <c r="G176" s="10">
        <f t="shared" si="33"/>
        <v>0.25015138903192063</v>
      </c>
      <c r="H176" s="11">
        <f t="shared" si="3"/>
        <v>0.19496289238971598</v>
      </c>
      <c r="I176" s="12">
        <f t="shared" si="4"/>
        <v>2.7199999999999998E-2</v>
      </c>
      <c r="J176" s="28">
        <f t="shared" si="5"/>
        <v>7.3983999999999996E-4</v>
      </c>
      <c r="K176" s="30">
        <f t="shared" si="26"/>
        <v>2.7199999999999998E-2</v>
      </c>
      <c r="L176" s="5"/>
      <c r="M176" s="30">
        <f t="shared" si="27"/>
        <v>-2.7199999999999998E-2</v>
      </c>
      <c r="N176" s="42">
        <f t="shared" si="28"/>
        <v>-2.7199999999999998E-2</v>
      </c>
      <c r="O176" s="43">
        <f t="shared" si="29"/>
        <v>7.3983999999999996E-4</v>
      </c>
      <c r="P176" s="43">
        <f t="shared" si="30"/>
        <v>-0.34013437099999999</v>
      </c>
      <c r="Q176" s="43">
        <f t="shared" si="31"/>
        <v>-0.34013437099999999</v>
      </c>
      <c r="R176" s="43">
        <f t="shared" si="32"/>
        <v>0.11569139033556564</v>
      </c>
    </row>
    <row r="177" spans="1:18" x14ac:dyDescent="0.3">
      <c r="A177" s="47">
        <v>38159</v>
      </c>
      <c r="B177" s="48">
        <v>0</v>
      </c>
      <c r="C177" s="49">
        <v>5.0000000000000001E-4</v>
      </c>
      <c r="D177" s="10">
        <f t="shared" si="24"/>
        <v>-0.38980777739764078</v>
      </c>
      <c r="E177" s="10">
        <f t="shared" si="25"/>
        <v>-0.52685136612021832</v>
      </c>
      <c r="F177" s="10">
        <f t="shared" si="33"/>
        <v>0.15195010331968867</v>
      </c>
      <c r="G177" s="10">
        <f t="shared" si="33"/>
        <v>0.27757236198274032</v>
      </c>
      <c r="H177" s="11">
        <f t="shared" si="3"/>
        <v>0.205370760046233</v>
      </c>
      <c r="I177" s="12">
        <f t="shared" si="4"/>
        <v>5.0000000000000001E-4</v>
      </c>
      <c r="J177" s="28">
        <f t="shared" si="5"/>
        <v>2.4999999999999999E-7</v>
      </c>
      <c r="K177" s="30">
        <f t="shared" si="26"/>
        <v>5.0000000000000001E-4</v>
      </c>
      <c r="L177" s="5"/>
      <c r="M177" s="30">
        <f t="shared" si="27"/>
        <v>-5.0000000000000001E-4</v>
      </c>
      <c r="N177" s="42">
        <f t="shared" si="28"/>
        <v>-5.0000000000000001E-4</v>
      </c>
      <c r="O177" s="43">
        <f t="shared" si="29"/>
        <v>2.4999999999999999E-7</v>
      </c>
      <c r="P177" s="43">
        <f t="shared" si="30"/>
        <v>-0.34013437099999999</v>
      </c>
      <c r="Q177" s="43">
        <f t="shared" si="31"/>
        <v>-0.34013437099999999</v>
      </c>
      <c r="R177" s="43">
        <f t="shared" si="32"/>
        <v>0.11569139033556564</v>
      </c>
    </row>
    <row r="178" spans="1:18" x14ac:dyDescent="0.3">
      <c r="A178" s="47">
        <v>38160</v>
      </c>
      <c r="B178" s="48">
        <v>0</v>
      </c>
      <c r="C178" s="49">
        <v>0</v>
      </c>
      <c r="D178" s="10">
        <f t="shared" si="24"/>
        <v>-0.38980777739764078</v>
      </c>
      <c r="E178" s="10">
        <f t="shared" si="25"/>
        <v>-0.52735136612021827</v>
      </c>
      <c r="F178" s="10">
        <f t="shared" si="33"/>
        <v>0.15195010331968867</v>
      </c>
      <c r="G178" s="10">
        <f t="shared" si="33"/>
        <v>0.27809946334886049</v>
      </c>
      <c r="H178" s="11">
        <f t="shared" si="3"/>
        <v>0.20556566393493181</v>
      </c>
      <c r="I178" s="12">
        <f t="shared" si="4"/>
        <v>0</v>
      </c>
      <c r="J178" s="28">
        <f t="shared" si="5"/>
        <v>0</v>
      </c>
      <c r="K178" s="30">
        <f t="shared" si="26"/>
        <v>0</v>
      </c>
      <c r="L178" s="5"/>
      <c r="M178" s="30">
        <f t="shared" si="27"/>
        <v>0</v>
      </c>
      <c r="N178" s="42">
        <f t="shared" si="28"/>
        <v>0</v>
      </c>
      <c r="O178" s="43">
        <f t="shared" si="29"/>
        <v>0</v>
      </c>
      <c r="P178" s="43">
        <f t="shared" si="30"/>
        <v>-0.34013437099999999</v>
      </c>
      <c r="Q178" s="43">
        <f t="shared" si="31"/>
        <v>-0.34013437099999999</v>
      </c>
      <c r="R178" s="43">
        <f t="shared" si="32"/>
        <v>0.11569139033556564</v>
      </c>
    </row>
    <row r="179" spans="1:18" x14ac:dyDescent="0.3">
      <c r="A179" s="47">
        <v>38161</v>
      </c>
      <c r="B179" s="48">
        <v>0</v>
      </c>
      <c r="C179" s="49">
        <v>0</v>
      </c>
      <c r="D179" s="10">
        <f t="shared" si="24"/>
        <v>-0.38980777739764078</v>
      </c>
      <c r="E179" s="10">
        <f t="shared" si="25"/>
        <v>-0.52735136612021827</v>
      </c>
      <c r="F179" s="10">
        <f t="shared" si="33"/>
        <v>0.15195010331968867</v>
      </c>
      <c r="G179" s="10">
        <f t="shared" si="33"/>
        <v>0.27809946334886049</v>
      </c>
      <c r="H179" s="11">
        <f t="shared" si="3"/>
        <v>0.20556566393493181</v>
      </c>
      <c r="I179" s="12">
        <f t="shared" si="4"/>
        <v>0</v>
      </c>
      <c r="J179" s="28">
        <f t="shared" si="5"/>
        <v>0</v>
      </c>
      <c r="K179" s="30">
        <f t="shared" si="26"/>
        <v>0</v>
      </c>
      <c r="L179" s="5"/>
      <c r="M179" s="30">
        <f t="shared" si="27"/>
        <v>0</v>
      </c>
      <c r="N179" s="42">
        <f t="shared" si="28"/>
        <v>0</v>
      </c>
      <c r="O179" s="43">
        <f t="shared" si="29"/>
        <v>0</v>
      </c>
      <c r="P179" s="43">
        <f t="shared" si="30"/>
        <v>-0.34013437099999999</v>
      </c>
      <c r="Q179" s="43">
        <f t="shared" si="31"/>
        <v>-0.34013437099999999</v>
      </c>
      <c r="R179" s="43">
        <f t="shared" si="32"/>
        <v>0.11569139033556564</v>
      </c>
    </row>
    <row r="180" spans="1:18" x14ac:dyDescent="0.3">
      <c r="A180" s="47">
        <v>38162</v>
      </c>
      <c r="B180" s="48">
        <v>0</v>
      </c>
      <c r="C180" s="49">
        <v>0</v>
      </c>
      <c r="D180" s="10">
        <f t="shared" si="24"/>
        <v>-0.38980777739764078</v>
      </c>
      <c r="E180" s="10">
        <f t="shared" si="25"/>
        <v>-0.52735136612021827</v>
      </c>
      <c r="F180" s="10">
        <f t="shared" si="33"/>
        <v>0.15195010331968867</v>
      </c>
      <c r="G180" s="10">
        <f t="shared" si="33"/>
        <v>0.27809946334886049</v>
      </c>
      <c r="H180" s="11">
        <f t="shared" si="3"/>
        <v>0.20556566393493181</v>
      </c>
      <c r="I180" s="12">
        <f t="shared" si="4"/>
        <v>0</v>
      </c>
      <c r="J180" s="28">
        <f t="shared" si="5"/>
        <v>0</v>
      </c>
      <c r="K180" s="30">
        <f t="shared" si="26"/>
        <v>0</v>
      </c>
      <c r="L180" s="5"/>
      <c r="M180" s="30">
        <f t="shared" si="27"/>
        <v>0</v>
      </c>
      <c r="N180" s="42">
        <f t="shared" si="28"/>
        <v>0</v>
      </c>
      <c r="O180" s="43">
        <f t="shared" si="29"/>
        <v>0</v>
      </c>
      <c r="P180" s="43">
        <f t="shared" si="30"/>
        <v>-0.34013437099999999</v>
      </c>
      <c r="Q180" s="43">
        <f t="shared" si="31"/>
        <v>-0.34013437099999999</v>
      </c>
      <c r="R180" s="43">
        <f t="shared" si="32"/>
        <v>0.11569139033556564</v>
      </c>
    </row>
    <row r="181" spans="1:18" x14ac:dyDescent="0.3">
      <c r="A181" s="47">
        <v>38163</v>
      </c>
      <c r="B181" s="48">
        <v>0</v>
      </c>
      <c r="C181" s="49">
        <v>0</v>
      </c>
      <c r="D181" s="10">
        <f t="shared" si="24"/>
        <v>-0.38980777739764078</v>
      </c>
      <c r="E181" s="10">
        <f t="shared" si="25"/>
        <v>-0.52735136612021827</v>
      </c>
      <c r="F181" s="10">
        <f t="shared" si="33"/>
        <v>0.15195010331968867</v>
      </c>
      <c r="G181" s="10">
        <f t="shared" si="33"/>
        <v>0.27809946334886049</v>
      </c>
      <c r="H181" s="11">
        <f t="shared" si="3"/>
        <v>0.20556566393493181</v>
      </c>
      <c r="I181" s="12">
        <f t="shared" si="4"/>
        <v>0</v>
      </c>
      <c r="J181" s="28">
        <f t="shared" si="5"/>
        <v>0</v>
      </c>
      <c r="K181" s="30">
        <f t="shared" si="26"/>
        <v>0</v>
      </c>
      <c r="L181" s="5"/>
      <c r="M181" s="30">
        <f t="shared" si="27"/>
        <v>0</v>
      </c>
      <c r="N181" s="42">
        <f t="shared" si="28"/>
        <v>0</v>
      </c>
      <c r="O181" s="43">
        <f t="shared" si="29"/>
        <v>0</v>
      </c>
      <c r="P181" s="43">
        <f t="shared" si="30"/>
        <v>-0.34013437099999999</v>
      </c>
      <c r="Q181" s="43">
        <f t="shared" si="31"/>
        <v>-0.34013437099999999</v>
      </c>
      <c r="R181" s="43">
        <f t="shared" si="32"/>
        <v>0.11569139033556564</v>
      </c>
    </row>
    <row r="182" spans="1:18" x14ac:dyDescent="0.3">
      <c r="A182" s="47">
        <v>38164</v>
      </c>
      <c r="B182" s="48">
        <v>0</v>
      </c>
      <c r="C182" s="49">
        <v>0</v>
      </c>
      <c r="D182" s="10">
        <f t="shared" si="24"/>
        <v>-0.38980777739764078</v>
      </c>
      <c r="E182" s="10">
        <f t="shared" si="25"/>
        <v>-0.52735136612021827</v>
      </c>
      <c r="F182" s="10">
        <f t="shared" si="33"/>
        <v>0.15195010331968867</v>
      </c>
      <c r="G182" s="10">
        <f t="shared" si="33"/>
        <v>0.27809946334886049</v>
      </c>
      <c r="H182" s="11">
        <f t="shared" si="3"/>
        <v>0.20556566393493181</v>
      </c>
      <c r="I182" s="12">
        <f t="shared" si="4"/>
        <v>0</v>
      </c>
      <c r="J182" s="28">
        <f t="shared" si="5"/>
        <v>0</v>
      </c>
      <c r="K182" s="30">
        <f t="shared" si="26"/>
        <v>0</v>
      </c>
      <c r="L182" s="5"/>
      <c r="M182" s="30">
        <f t="shared" si="27"/>
        <v>0</v>
      </c>
      <c r="N182" s="42">
        <f t="shared" si="28"/>
        <v>0</v>
      </c>
      <c r="O182" s="43">
        <f t="shared" si="29"/>
        <v>0</v>
      </c>
      <c r="P182" s="43">
        <f t="shared" si="30"/>
        <v>-0.34013437099999999</v>
      </c>
      <c r="Q182" s="43">
        <f t="shared" si="31"/>
        <v>-0.34013437099999999</v>
      </c>
      <c r="R182" s="43">
        <f t="shared" si="32"/>
        <v>0.11569139033556564</v>
      </c>
    </row>
    <row r="183" spans="1:18" x14ac:dyDescent="0.3">
      <c r="A183" s="47">
        <v>38165</v>
      </c>
      <c r="B183" s="48">
        <v>0</v>
      </c>
      <c r="C183" s="49">
        <v>0</v>
      </c>
      <c r="D183" s="10">
        <f t="shared" si="24"/>
        <v>-0.38980777739764078</v>
      </c>
      <c r="E183" s="10">
        <f t="shared" si="25"/>
        <v>-0.52735136612021827</v>
      </c>
      <c r="F183" s="10">
        <f t="shared" si="33"/>
        <v>0.15195010331968867</v>
      </c>
      <c r="G183" s="10">
        <f t="shared" si="33"/>
        <v>0.27809946334886049</v>
      </c>
      <c r="H183" s="11">
        <f t="shared" si="3"/>
        <v>0.20556566393493181</v>
      </c>
      <c r="I183" s="12">
        <f t="shared" si="4"/>
        <v>0</v>
      </c>
      <c r="J183" s="28">
        <f t="shared" si="5"/>
        <v>0</v>
      </c>
      <c r="K183" s="30">
        <f t="shared" si="26"/>
        <v>0</v>
      </c>
      <c r="L183" s="5"/>
      <c r="M183" s="30">
        <f t="shared" si="27"/>
        <v>0</v>
      </c>
      <c r="N183" s="42">
        <f t="shared" si="28"/>
        <v>0</v>
      </c>
      <c r="O183" s="43">
        <f t="shared" si="29"/>
        <v>0</v>
      </c>
      <c r="P183" s="43">
        <f t="shared" si="30"/>
        <v>-0.34013437099999999</v>
      </c>
      <c r="Q183" s="43">
        <f t="shared" si="31"/>
        <v>-0.34013437099999999</v>
      </c>
      <c r="R183" s="43">
        <f t="shared" si="32"/>
        <v>0.11569139033556564</v>
      </c>
    </row>
    <row r="184" spans="1:18" x14ac:dyDescent="0.3">
      <c r="A184" s="47">
        <v>38166</v>
      </c>
      <c r="B184" s="48">
        <v>0</v>
      </c>
      <c r="C184" s="49">
        <v>0</v>
      </c>
      <c r="D184" s="10">
        <f t="shared" si="24"/>
        <v>-0.38980777739764078</v>
      </c>
      <c r="E184" s="10">
        <f t="shared" si="25"/>
        <v>-0.52735136612021827</v>
      </c>
      <c r="F184" s="10">
        <f t="shared" si="33"/>
        <v>0.15195010331968867</v>
      </c>
      <c r="G184" s="10">
        <f t="shared" si="33"/>
        <v>0.27809946334886049</v>
      </c>
      <c r="H184" s="11">
        <f t="shared" si="3"/>
        <v>0.20556566393493181</v>
      </c>
      <c r="I184" s="12">
        <f t="shared" si="4"/>
        <v>0</v>
      </c>
      <c r="J184" s="28">
        <f t="shared" si="5"/>
        <v>0</v>
      </c>
      <c r="K184" s="30">
        <f t="shared" si="26"/>
        <v>0</v>
      </c>
      <c r="L184" s="5"/>
      <c r="M184" s="30">
        <f t="shared" si="27"/>
        <v>0</v>
      </c>
      <c r="N184" s="42">
        <f t="shared" si="28"/>
        <v>0</v>
      </c>
      <c r="O184" s="43">
        <f t="shared" si="29"/>
        <v>0</v>
      </c>
      <c r="P184" s="43">
        <f t="shared" si="30"/>
        <v>-0.34013437099999999</v>
      </c>
      <c r="Q184" s="43">
        <f t="shared" si="31"/>
        <v>-0.34013437099999999</v>
      </c>
      <c r="R184" s="43">
        <f t="shared" si="32"/>
        <v>0.11569139033556564</v>
      </c>
    </row>
    <row r="185" spans="1:18" x14ac:dyDescent="0.3">
      <c r="A185" s="47">
        <v>38167</v>
      </c>
      <c r="B185" s="48">
        <v>0</v>
      </c>
      <c r="C185" s="49">
        <v>0</v>
      </c>
      <c r="D185" s="10">
        <f t="shared" si="24"/>
        <v>-0.38980777739764078</v>
      </c>
      <c r="E185" s="10">
        <f t="shared" si="25"/>
        <v>-0.52735136612021827</v>
      </c>
      <c r="F185" s="10">
        <f t="shared" si="33"/>
        <v>0.15195010331968867</v>
      </c>
      <c r="G185" s="10">
        <f t="shared" si="33"/>
        <v>0.27809946334886049</v>
      </c>
      <c r="H185" s="11">
        <f t="shared" si="3"/>
        <v>0.20556566393493181</v>
      </c>
      <c r="I185" s="12">
        <f t="shared" si="4"/>
        <v>0</v>
      </c>
      <c r="J185" s="28">
        <f t="shared" si="5"/>
        <v>0</v>
      </c>
      <c r="K185" s="30">
        <f t="shared" si="26"/>
        <v>0</v>
      </c>
      <c r="L185" s="5"/>
      <c r="M185" s="30">
        <f t="shared" si="27"/>
        <v>0</v>
      </c>
      <c r="N185" s="42">
        <f t="shared" si="28"/>
        <v>0</v>
      </c>
      <c r="O185" s="43">
        <f t="shared" si="29"/>
        <v>0</v>
      </c>
      <c r="P185" s="43">
        <f t="shared" si="30"/>
        <v>-0.34013437099999999</v>
      </c>
      <c r="Q185" s="43">
        <f t="shared" si="31"/>
        <v>-0.34013437099999999</v>
      </c>
      <c r="R185" s="43">
        <f t="shared" si="32"/>
        <v>0.11569139033556564</v>
      </c>
    </row>
    <row r="186" spans="1:18" x14ac:dyDescent="0.3">
      <c r="A186" s="47">
        <v>38168</v>
      </c>
      <c r="B186" s="48">
        <v>0</v>
      </c>
      <c r="C186" s="49">
        <v>0</v>
      </c>
      <c r="D186" s="10">
        <f t="shared" si="24"/>
        <v>-0.38980777739764078</v>
      </c>
      <c r="E186" s="10">
        <f t="shared" si="25"/>
        <v>-0.52735136612021827</v>
      </c>
      <c r="F186" s="10">
        <f t="shared" si="33"/>
        <v>0.15195010331968867</v>
      </c>
      <c r="G186" s="10">
        <f t="shared" si="33"/>
        <v>0.27809946334886049</v>
      </c>
      <c r="H186" s="11">
        <f t="shared" si="3"/>
        <v>0.20556566393493181</v>
      </c>
      <c r="I186" s="12">
        <f t="shared" si="4"/>
        <v>0</v>
      </c>
      <c r="J186" s="28">
        <f t="shared" si="5"/>
        <v>0</v>
      </c>
      <c r="K186" s="30">
        <f t="shared" si="26"/>
        <v>0</v>
      </c>
      <c r="L186" s="5"/>
      <c r="M186" s="30">
        <f t="shared" si="27"/>
        <v>0</v>
      </c>
      <c r="N186" s="42">
        <f t="shared" si="28"/>
        <v>0</v>
      </c>
      <c r="O186" s="43">
        <f t="shared" si="29"/>
        <v>0</v>
      </c>
      <c r="P186" s="43">
        <f t="shared" si="30"/>
        <v>-0.34013437099999999</v>
      </c>
      <c r="Q186" s="43">
        <f t="shared" si="31"/>
        <v>-0.34013437099999999</v>
      </c>
      <c r="R186" s="43">
        <f t="shared" si="32"/>
        <v>0.11569139033556564</v>
      </c>
    </row>
    <row r="187" spans="1:18" x14ac:dyDescent="0.3">
      <c r="A187" s="47">
        <v>38169</v>
      </c>
      <c r="B187" s="48">
        <v>0</v>
      </c>
      <c r="C187" s="49">
        <v>0</v>
      </c>
      <c r="D187" s="10">
        <f t="shared" si="24"/>
        <v>-0.38980777739764078</v>
      </c>
      <c r="E187" s="10">
        <f t="shared" si="25"/>
        <v>-0.52735136612021827</v>
      </c>
      <c r="F187" s="10">
        <f t="shared" si="33"/>
        <v>0.15195010331968867</v>
      </c>
      <c r="G187" s="10">
        <f t="shared" si="33"/>
        <v>0.27809946334886049</v>
      </c>
      <c r="H187" s="11">
        <f t="shared" si="3"/>
        <v>0.20556566393493181</v>
      </c>
      <c r="I187" s="12">
        <f t="shared" si="4"/>
        <v>0</v>
      </c>
      <c r="J187" s="28">
        <f t="shared" si="5"/>
        <v>0</v>
      </c>
      <c r="K187" s="30">
        <f t="shared" si="26"/>
        <v>0</v>
      </c>
      <c r="L187" s="5"/>
      <c r="M187" s="30">
        <f t="shared" si="27"/>
        <v>0</v>
      </c>
      <c r="N187" s="42">
        <f t="shared" si="28"/>
        <v>0</v>
      </c>
      <c r="O187" s="43">
        <f t="shared" si="29"/>
        <v>0</v>
      </c>
      <c r="P187" s="43">
        <f t="shared" si="30"/>
        <v>-0.34013437099999999</v>
      </c>
      <c r="Q187" s="43">
        <f t="shared" si="31"/>
        <v>-0.34013437099999999</v>
      </c>
      <c r="R187" s="43">
        <f t="shared" si="32"/>
        <v>0.11569139033556564</v>
      </c>
    </row>
    <row r="188" spans="1:18" x14ac:dyDescent="0.3">
      <c r="A188" s="47">
        <v>38170</v>
      </c>
      <c r="B188" s="48">
        <v>0</v>
      </c>
      <c r="C188" s="49">
        <v>0</v>
      </c>
      <c r="D188" s="10">
        <f t="shared" si="24"/>
        <v>-0.38980777739764078</v>
      </c>
      <c r="E188" s="10">
        <f t="shared" si="25"/>
        <v>-0.52735136612021827</v>
      </c>
      <c r="F188" s="10">
        <f t="shared" si="33"/>
        <v>0.15195010331968867</v>
      </c>
      <c r="G188" s="10">
        <f t="shared" si="33"/>
        <v>0.27809946334886049</v>
      </c>
      <c r="H188" s="11">
        <f t="shared" si="3"/>
        <v>0.20556566393493181</v>
      </c>
      <c r="I188" s="12">
        <f t="shared" si="4"/>
        <v>0</v>
      </c>
      <c r="J188" s="28">
        <f t="shared" si="5"/>
        <v>0</v>
      </c>
      <c r="K188" s="30">
        <f t="shared" si="26"/>
        <v>0</v>
      </c>
      <c r="L188" s="5"/>
      <c r="M188" s="30">
        <f t="shared" si="27"/>
        <v>0</v>
      </c>
      <c r="N188" s="42">
        <f t="shared" si="28"/>
        <v>0</v>
      </c>
      <c r="O188" s="43">
        <f t="shared" si="29"/>
        <v>0</v>
      </c>
      <c r="P188" s="43">
        <f t="shared" si="30"/>
        <v>-0.34013437099999999</v>
      </c>
      <c r="Q188" s="43">
        <f t="shared" si="31"/>
        <v>-0.34013437099999999</v>
      </c>
      <c r="R188" s="43">
        <f t="shared" si="32"/>
        <v>0.11569139033556564</v>
      </c>
    </row>
    <row r="189" spans="1:18" x14ac:dyDescent="0.3">
      <c r="A189" s="47">
        <v>38171</v>
      </c>
      <c r="B189" s="48">
        <v>0</v>
      </c>
      <c r="C189" s="49">
        <v>0</v>
      </c>
      <c r="D189" s="10">
        <f t="shared" si="24"/>
        <v>-0.38980777739764078</v>
      </c>
      <c r="E189" s="10">
        <f t="shared" si="25"/>
        <v>-0.52735136612021827</v>
      </c>
      <c r="F189" s="10">
        <f t="shared" si="33"/>
        <v>0.15195010331968867</v>
      </c>
      <c r="G189" s="10">
        <f t="shared" si="33"/>
        <v>0.27809946334886049</v>
      </c>
      <c r="H189" s="11">
        <f t="shared" si="3"/>
        <v>0.20556566393493181</v>
      </c>
      <c r="I189" s="12">
        <f t="shared" si="4"/>
        <v>0</v>
      </c>
      <c r="J189" s="28">
        <f t="shared" si="5"/>
        <v>0</v>
      </c>
      <c r="K189" s="30">
        <f t="shared" si="26"/>
        <v>0</v>
      </c>
      <c r="L189" s="5"/>
      <c r="M189" s="30">
        <f t="shared" si="27"/>
        <v>0</v>
      </c>
      <c r="N189" s="42">
        <f t="shared" si="28"/>
        <v>0</v>
      </c>
      <c r="O189" s="43">
        <f t="shared" si="29"/>
        <v>0</v>
      </c>
      <c r="P189" s="43">
        <f t="shared" si="30"/>
        <v>-0.34013437099999999</v>
      </c>
      <c r="Q189" s="43">
        <f t="shared" si="31"/>
        <v>-0.34013437099999999</v>
      </c>
      <c r="R189" s="43">
        <f t="shared" si="32"/>
        <v>0.11569139033556564</v>
      </c>
    </row>
    <row r="190" spans="1:18" x14ac:dyDescent="0.3">
      <c r="A190" s="47">
        <v>38172</v>
      </c>
      <c r="B190" s="48">
        <v>0</v>
      </c>
      <c r="C190" s="49">
        <v>0</v>
      </c>
      <c r="D190" s="10">
        <f t="shared" si="24"/>
        <v>-0.38980777739764078</v>
      </c>
      <c r="E190" s="10">
        <f t="shared" si="25"/>
        <v>-0.52735136612021827</v>
      </c>
      <c r="F190" s="10">
        <f t="shared" si="33"/>
        <v>0.15195010331968867</v>
      </c>
      <c r="G190" s="10">
        <f t="shared" si="33"/>
        <v>0.27809946334886049</v>
      </c>
      <c r="H190" s="11">
        <f t="shared" si="3"/>
        <v>0.20556566393493181</v>
      </c>
      <c r="I190" s="12">
        <f t="shared" si="4"/>
        <v>0</v>
      </c>
      <c r="J190" s="28">
        <f t="shared" si="5"/>
        <v>0</v>
      </c>
      <c r="K190" s="30">
        <f t="shared" si="26"/>
        <v>0</v>
      </c>
      <c r="L190" s="5"/>
      <c r="M190" s="30">
        <f t="shared" si="27"/>
        <v>0</v>
      </c>
      <c r="N190" s="42">
        <f t="shared" si="28"/>
        <v>0</v>
      </c>
      <c r="O190" s="43">
        <f t="shared" si="29"/>
        <v>0</v>
      </c>
      <c r="P190" s="43">
        <f t="shared" si="30"/>
        <v>-0.34013437099999999</v>
      </c>
      <c r="Q190" s="43">
        <f t="shared" si="31"/>
        <v>-0.34013437099999999</v>
      </c>
      <c r="R190" s="43">
        <f t="shared" si="32"/>
        <v>0.11569139033556564</v>
      </c>
    </row>
    <row r="191" spans="1:18" x14ac:dyDescent="0.3">
      <c r="A191" s="47">
        <v>38173</v>
      </c>
      <c r="B191" s="48">
        <v>0</v>
      </c>
      <c r="C191" s="49">
        <v>0</v>
      </c>
      <c r="D191" s="10">
        <f t="shared" si="24"/>
        <v>-0.38980777739764078</v>
      </c>
      <c r="E191" s="10">
        <f t="shared" si="25"/>
        <v>-0.52735136612021827</v>
      </c>
      <c r="F191" s="10">
        <f t="shared" si="33"/>
        <v>0.15195010331968867</v>
      </c>
      <c r="G191" s="10">
        <f t="shared" si="33"/>
        <v>0.27809946334886049</v>
      </c>
      <c r="H191" s="11">
        <f t="shared" si="3"/>
        <v>0.20556566393493181</v>
      </c>
      <c r="I191" s="12">
        <f t="shared" si="4"/>
        <v>0</v>
      </c>
      <c r="J191" s="28">
        <f t="shared" si="5"/>
        <v>0</v>
      </c>
      <c r="K191" s="30">
        <f t="shared" si="26"/>
        <v>0</v>
      </c>
      <c r="L191" s="5"/>
      <c r="M191" s="30">
        <f t="shared" si="27"/>
        <v>0</v>
      </c>
      <c r="N191" s="42">
        <f t="shared" si="28"/>
        <v>0</v>
      </c>
      <c r="O191" s="43">
        <f t="shared" si="29"/>
        <v>0</v>
      </c>
      <c r="P191" s="43">
        <f t="shared" si="30"/>
        <v>-0.34013437099999999</v>
      </c>
      <c r="Q191" s="43">
        <f t="shared" si="31"/>
        <v>-0.34013437099999999</v>
      </c>
      <c r="R191" s="43">
        <f t="shared" si="32"/>
        <v>0.11569139033556564</v>
      </c>
    </row>
    <row r="192" spans="1:18" x14ac:dyDescent="0.3">
      <c r="A192" s="47">
        <v>38174</v>
      </c>
      <c r="B192" s="48">
        <v>0</v>
      </c>
      <c r="C192" s="49">
        <v>0</v>
      </c>
      <c r="D192" s="10">
        <f t="shared" si="24"/>
        <v>-0.38980777739764078</v>
      </c>
      <c r="E192" s="10">
        <f t="shared" si="25"/>
        <v>-0.52735136612021827</v>
      </c>
      <c r="F192" s="10">
        <f t="shared" si="33"/>
        <v>0.15195010331968867</v>
      </c>
      <c r="G192" s="10">
        <f t="shared" si="33"/>
        <v>0.27809946334886049</v>
      </c>
      <c r="H192" s="11">
        <f t="shared" si="3"/>
        <v>0.20556566393493181</v>
      </c>
      <c r="I192" s="12">
        <f t="shared" si="4"/>
        <v>0</v>
      </c>
      <c r="J192" s="28">
        <f t="shared" si="5"/>
        <v>0</v>
      </c>
      <c r="K192" s="30">
        <f t="shared" si="26"/>
        <v>0</v>
      </c>
      <c r="L192" s="5"/>
      <c r="M192" s="30">
        <f t="shared" si="27"/>
        <v>0</v>
      </c>
      <c r="N192" s="42">
        <f t="shared" si="28"/>
        <v>0</v>
      </c>
      <c r="O192" s="43">
        <f t="shared" si="29"/>
        <v>0</v>
      </c>
      <c r="P192" s="43">
        <f t="shared" si="30"/>
        <v>-0.34013437099999999</v>
      </c>
      <c r="Q192" s="43">
        <f t="shared" si="31"/>
        <v>-0.34013437099999999</v>
      </c>
      <c r="R192" s="43">
        <f t="shared" si="32"/>
        <v>0.11569139033556564</v>
      </c>
    </row>
    <row r="193" spans="1:18" x14ac:dyDescent="0.3">
      <c r="A193" s="47">
        <v>38175</v>
      </c>
      <c r="B193" s="48">
        <v>0</v>
      </c>
      <c r="C193" s="49">
        <v>0</v>
      </c>
      <c r="D193" s="10">
        <f t="shared" si="24"/>
        <v>-0.38980777739764078</v>
      </c>
      <c r="E193" s="10">
        <f t="shared" si="25"/>
        <v>-0.52735136612021827</v>
      </c>
      <c r="F193" s="10">
        <f t="shared" si="33"/>
        <v>0.15195010331968867</v>
      </c>
      <c r="G193" s="10">
        <f t="shared" si="33"/>
        <v>0.27809946334886049</v>
      </c>
      <c r="H193" s="11">
        <f t="shared" si="3"/>
        <v>0.20556566393493181</v>
      </c>
      <c r="I193" s="12">
        <f t="shared" si="4"/>
        <v>0</v>
      </c>
      <c r="J193" s="28">
        <f t="shared" si="5"/>
        <v>0</v>
      </c>
      <c r="K193" s="30">
        <f t="shared" si="26"/>
        <v>0</v>
      </c>
      <c r="L193" s="5"/>
      <c r="M193" s="30">
        <f t="shared" si="27"/>
        <v>0</v>
      </c>
      <c r="N193" s="42">
        <f t="shared" si="28"/>
        <v>0</v>
      </c>
      <c r="O193" s="43">
        <f t="shared" si="29"/>
        <v>0</v>
      </c>
      <c r="P193" s="43">
        <f t="shared" si="30"/>
        <v>-0.34013437099999999</v>
      </c>
      <c r="Q193" s="43">
        <f t="shared" si="31"/>
        <v>-0.34013437099999999</v>
      </c>
      <c r="R193" s="43">
        <f t="shared" si="32"/>
        <v>0.11569139033556564</v>
      </c>
    </row>
    <row r="194" spans="1:18" x14ac:dyDescent="0.3">
      <c r="A194" s="47">
        <v>38176</v>
      </c>
      <c r="B194" s="48">
        <v>0</v>
      </c>
      <c r="C194" s="49">
        <v>0</v>
      </c>
      <c r="D194" s="10">
        <f t="shared" si="24"/>
        <v>-0.38980777739764078</v>
      </c>
      <c r="E194" s="10">
        <f t="shared" si="25"/>
        <v>-0.52735136612021827</v>
      </c>
      <c r="F194" s="10">
        <f t="shared" si="33"/>
        <v>0.15195010331968867</v>
      </c>
      <c r="G194" s="10">
        <f t="shared" si="33"/>
        <v>0.27809946334886049</v>
      </c>
      <c r="H194" s="11">
        <f t="shared" si="3"/>
        <v>0.20556566393493181</v>
      </c>
      <c r="I194" s="12">
        <f t="shared" si="4"/>
        <v>0</v>
      </c>
      <c r="J194" s="28">
        <f t="shared" si="5"/>
        <v>0</v>
      </c>
      <c r="K194" s="30">
        <f t="shared" si="26"/>
        <v>0</v>
      </c>
      <c r="L194" s="5"/>
      <c r="M194" s="30">
        <f t="shared" si="27"/>
        <v>0</v>
      </c>
      <c r="N194" s="42">
        <f t="shared" si="28"/>
        <v>0</v>
      </c>
      <c r="O194" s="43">
        <f t="shared" si="29"/>
        <v>0</v>
      </c>
      <c r="P194" s="43">
        <f t="shared" si="30"/>
        <v>-0.34013437099999999</v>
      </c>
      <c r="Q194" s="43">
        <f t="shared" si="31"/>
        <v>-0.34013437099999999</v>
      </c>
      <c r="R194" s="43">
        <f t="shared" si="32"/>
        <v>0.11569139033556564</v>
      </c>
    </row>
    <row r="195" spans="1:18" x14ac:dyDescent="0.3">
      <c r="A195" s="47">
        <v>38177</v>
      </c>
      <c r="B195" s="48">
        <v>0</v>
      </c>
      <c r="C195" s="49">
        <v>0</v>
      </c>
      <c r="D195" s="10">
        <f t="shared" si="24"/>
        <v>-0.38980777739764078</v>
      </c>
      <c r="E195" s="10">
        <f t="shared" si="25"/>
        <v>-0.52735136612021827</v>
      </c>
      <c r="F195" s="10">
        <f t="shared" si="33"/>
        <v>0.15195010331968867</v>
      </c>
      <c r="G195" s="10">
        <f t="shared" si="33"/>
        <v>0.27809946334886049</v>
      </c>
      <c r="H195" s="11">
        <f t="shared" si="3"/>
        <v>0.20556566393493181</v>
      </c>
      <c r="I195" s="12">
        <f t="shared" si="4"/>
        <v>0</v>
      </c>
      <c r="J195" s="28">
        <f t="shared" si="5"/>
        <v>0</v>
      </c>
      <c r="K195" s="30">
        <f t="shared" si="26"/>
        <v>0</v>
      </c>
      <c r="L195" s="5"/>
      <c r="M195" s="30">
        <f t="shared" si="27"/>
        <v>0</v>
      </c>
      <c r="N195" s="42">
        <f t="shared" si="28"/>
        <v>0</v>
      </c>
      <c r="O195" s="43">
        <f t="shared" si="29"/>
        <v>0</v>
      </c>
      <c r="P195" s="43">
        <f t="shared" si="30"/>
        <v>-0.34013437099999999</v>
      </c>
      <c r="Q195" s="43">
        <f t="shared" si="31"/>
        <v>-0.34013437099999999</v>
      </c>
      <c r="R195" s="43">
        <f t="shared" si="32"/>
        <v>0.11569139033556564</v>
      </c>
    </row>
    <row r="196" spans="1:18" x14ac:dyDescent="0.3">
      <c r="A196" s="47">
        <v>38178</v>
      </c>
      <c r="B196" s="48">
        <v>0</v>
      </c>
      <c r="C196" s="49">
        <v>0</v>
      </c>
      <c r="D196" s="10">
        <f t="shared" si="24"/>
        <v>-0.38980777739764078</v>
      </c>
      <c r="E196" s="10">
        <f t="shared" si="25"/>
        <v>-0.52735136612021827</v>
      </c>
      <c r="F196" s="10">
        <f t="shared" si="33"/>
        <v>0.15195010331968867</v>
      </c>
      <c r="G196" s="10">
        <f t="shared" si="33"/>
        <v>0.27809946334886049</v>
      </c>
      <c r="H196" s="11">
        <f t="shared" si="3"/>
        <v>0.20556566393493181</v>
      </c>
      <c r="I196" s="12">
        <f t="shared" si="4"/>
        <v>0</v>
      </c>
      <c r="J196" s="28">
        <f t="shared" si="5"/>
        <v>0</v>
      </c>
      <c r="K196" s="30">
        <f t="shared" si="26"/>
        <v>0</v>
      </c>
      <c r="L196" s="5"/>
      <c r="M196" s="30">
        <f t="shared" si="27"/>
        <v>0</v>
      </c>
      <c r="N196" s="42">
        <f t="shared" si="28"/>
        <v>0</v>
      </c>
      <c r="O196" s="43">
        <f t="shared" si="29"/>
        <v>0</v>
      </c>
      <c r="P196" s="43">
        <f t="shared" si="30"/>
        <v>-0.34013437099999999</v>
      </c>
      <c r="Q196" s="43">
        <f t="shared" si="31"/>
        <v>-0.34013437099999999</v>
      </c>
      <c r="R196" s="43">
        <f t="shared" si="32"/>
        <v>0.11569139033556564</v>
      </c>
    </row>
    <row r="197" spans="1:18" x14ac:dyDescent="0.3">
      <c r="A197" s="47">
        <v>38179</v>
      </c>
      <c r="B197" s="48">
        <v>0</v>
      </c>
      <c r="C197" s="49">
        <v>0</v>
      </c>
      <c r="D197" s="10">
        <f t="shared" ref="D197:D260" si="34">B197-$C$375</f>
        <v>-0.38980777739764078</v>
      </c>
      <c r="E197" s="10">
        <f t="shared" ref="E197:E260" si="35">C197-$D$375</f>
        <v>-0.52735136612021827</v>
      </c>
      <c r="F197" s="10">
        <f t="shared" si="33"/>
        <v>0.15195010331968867</v>
      </c>
      <c r="G197" s="10">
        <f t="shared" si="33"/>
        <v>0.27809946334886049</v>
      </c>
      <c r="H197" s="11">
        <f t="shared" si="3"/>
        <v>0.20556566393493181</v>
      </c>
      <c r="I197" s="12">
        <f t="shared" si="4"/>
        <v>0</v>
      </c>
      <c r="J197" s="28">
        <f t="shared" si="5"/>
        <v>0</v>
      </c>
      <c r="K197" s="30">
        <f t="shared" si="26"/>
        <v>0</v>
      </c>
      <c r="L197" s="5"/>
      <c r="M197" s="30">
        <f t="shared" si="27"/>
        <v>0</v>
      </c>
      <c r="N197" s="42">
        <f t="shared" si="28"/>
        <v>0</v>
      </c>
      <c r="O197" s="43">
        <f t="shared" si="29"/>
        <v>0</v>
      </c>
      <c r="P197" s="43">
        <f t="shared" si="30"/>
        <v>-0.34013437099999999</v>
      </c>
      <c r="Q197" s="43">
        <f t="shared" si="31"/>
        <v>-0.34013437099999999</v>
      </c>
      <c r="R197" s="43">
        <f t="shared" si="32"/>
        <v>0.11569139033556564</v>
      </c>
    </row>
    <row r="198" spans="1:18" x14ac:dyDescent="0.3">
      <c r="A198" s="47">
        <v>38180</v>
      </c>
      <c r="B198" s="48">
        <v>0</v>
      </c>
      <c r="C198" s="49">
        <v>0</v>
      </c>
      <c r="D198" s="10">
        <f t="shared" si="34"/>
        <v>-0.38980777739764078</v>
      </c>
      <c r="E198" s="10">
        <f t="shared" si="35"/>
        <v>-0.52735136612021827</v>
      </c>
      <c r="F198" s="10">
        <f t="shared" si="33"/>
        <v>0.15195010331968867</v>
      </c>
      <c r="G198" s="10">
        <f t="shared" si="33"/>
        <v>0.27809946334886049</v>
      </c>
      <c r="H198" s="11">
        <f t="shared" si="3"/>
        <v>0.20556566393493181</v>
      </c>
      <c r="I198" s="12">
        <f t="shared" si="4"/>
        <v>0</v>
      </c>
      <c r="J198" s="28">
        <f t="shared" si="5"/>
        <v>0</v>
      </c>
      <c r="K198" s="30">
        <f t="shared" ref="K198:K261" si="36">C198-B198</f>
        <v>0</v>
      </c>
      <c r="L198" s="5"/>
      <c r="M198" s="30">
        <f t="shared" ref="M198:M261" si="37">B198-C198</f>
        <v>0</v>
      </c>
      <c r="N198" s="42">
        <f t="shared" ref="N198:N261" si="38">B198-C198</f>
        <v>0</v>
      </c>
      <c r="O198" s="43">
        <f t="shared" ref="O198:O261" si="39">M198*N198</f>
        <v>0</v>
      </c>
      <c r="P198" s="43">
        <f t="shared" ref="P198:P261" si="40">B198-0.340134371</f>
        <v>-0.34013437099999999</v>
      </c>
      <c r="Q198" s="43">
        <f t="shared" ref="Q198:Q261" si="41">B198-0.340134371</f>
        <v>-0.34013437099999999</v>
      </c>
      <c r="R198" s="43">
        <f t="shared" ref="R198:R261" si="42">P198*Q198</f>
        <v>0.11569139033556564</v>
      </c>
    </row>
    <row r="199" spans="1:18" x14ac:dyDescent="0.3">
      <c r="A199" s="47">
        <v>38181</v>
      </c>
      <c r="B199" s="48">
        <v>0</v>
      </c>
      <c r="C199" s="49">
        <v>0</v>
      </c>
      <c r="D199" s="10">
        <f t="shared" si="34"/>
        <v>-0.38980777739764078</v>
      </c>
      <c r="E199" s="10">
        <f t="shared" si="35"/>
        <v>-0.52735136612021827</v>
      </c>
      <c r="F199" s="10">
        <f t="shared" si="33"/>
        <v>0.15195010331968867</v>
      </c>
      <c r="G199" s="10">
        <f t="shared" si="33"/>
        <v>0.27809946334886049</v>
      </c>
      <c r="H199" s="11">
        <f t="shared" si="3"/>
        <v>0.20556566393493181</v>
      </c>
      <c r="I199" s="12">
        <f t="shared" si="4"/>
        <v>0</v>
      </c>
      <c r="J199" s="28">
        <f t="shared" si="5"/>
        <v>0</v>
      </c>
      <c r="K199" s="30">
        <f t="shared" si="36"/>
        <v>0</v>
      </c>
      <c r="L199" s="5"/>
      <c r="M199" s="30">
        <f t="shared" si="37"/>
        <v>0</v>
      </c>
      <c r="N199" s="42">
        <f t="shared" si="38"/>
        <v>0</v>
      </c>
      <c r="O199" s="43">
        <f t="shared" si="39"/>
        <v>0</v>
      </c>
      <c r="P199" s="43">
        <f t="shared" si="40"/>
        <v>-0.34013437099999999</v>
      </c>
      <c r="Q199" s="43">
        <f t="shared" si="41"/>
        <v>-0.34013437099999999</v>
      </c>
      <c r="R199" s="43">
        <f t="shared" si="42"/>
        <v>0.11569139033556564</v>
      </c>
    </row>
    <row r="200" spans="1:18" x14ac:dyDescent="0.3">
      <c r="A200" s="47">
        <v>38182</v>
      </c>
      <c r="B200" s="48">
        <v>0</v>
      </c>
      <c r="C200" s="49">
        <v>0</v>
      </c>
      <c r="D200" s="10">
        <f t="shared" si="34"/>
        <v>-0.38980777739764078</v>
      </c>
      <c r="E200" s="10">
        <f t="shared" si="35"/>
        <v>-0.52735136612021827</v>
      </c>
      <c r="F200" s="10">
        <f t="shared" si="33"/>
        <v>0.15195010331968867</v>
      </c>
      <c r="G200" s="10">
        <f t="shared" si="33"/>
        <v>0.27809946334886049</v>
      </c>
      <c r="H200" s="11">
        <f t="shared" si="3"/>
        <v>0.20556566393493181</v>
      </c>
      <c r="I200" s="12">
        <f t="shared" si="4"/>
        <v>0</v>
      </c>
      <c r="J200" s="28">
        <f t="shared" si="5"/>
        <v>0</v>
      </c>
      <c r="K200" s="30">
        <f t="shared" si="36"/>
        <v>0</v>
      </c>
      <c r="L200" s="5"/>
      <c r="M200" s="30">
        <f t="shared" si="37"/>
        <v>0</v>
      </c>
      <c r="N200" s="42">
        <f t="shared" si="38"/>
        <v>0</v>
      </c>
      <c r="O200" s="43">
        <f t="shared" si="39"/>
        <v>0</v>
      </c>
      <c r="P200" s="43">
        <f t="shared" si="40"/>
        <v>-0.34013437099999999</v>
      </c>
      <c r="Q200" s="43">
        <f t="shared" si="41"/>
        <v>-0.34013437099999999</v>
      </c>
      <c r="R200" s="43">
        <f t="shared" si="42"/>
        <v>0.11569139033556564</v>
      </c>
    </row>
    <row r="201" spans="1:18" x14ac:dyDescent="0.3">
      <c r="A201" s="47">
        <v>38183</v>
      </c>
      <c r="B201" s="48">
        <v>0</v>
      </c>
      <c r="C201" s="49">
        <v>0</v>
      </c>
      <c r="D201" s="10">
        <f t="shared" si="34"/>
        <v>-0.38980777739764078</v>
      </c>
      <c r="E201" s="10">
        <f t="shared" si="35"/>
        <v>-0.52735136612021827</v>
      </c>
      <c r="F201" s="10">
        <f t="shared" si="33"/>
        <v>0.15195010331968867</v>
      </c>
      <c r="G201" s="10">
        <f t="shared" si="33"/>
        <v>0.27809946334886049</v>
      </c>
      <c r="H201" s="11">
        <f t="shared" si="3"/>
        <v>0.20556566393493181</v>
      </c>
      <c r="I201" s="12">
        <f t="shared" si="4"/>
        <v>0</v>
      </c>
      <c r="J201" s="28">
        <f t="shared" si="5"/>
        <v>0</v>
      </c>
      <c r="K201" s="30">
        <f t="shared" si="36"/>
        <v>0</v>
      </c>
      <c r="L201" s="5"/>
      <c r="M201" s="30">
        <f t="shared" si="37"/>
        <v>0</v>
      </c>
      <c r="N201" s="42">
        <f t="shared" si="38"/>
        <v>0</v>
      </c>
      <c r="O201" s="43">
        <f t="shared" si="39"/>
        <v>0</v>
      </c>
      <c r="P201" s="43">
        <f t="shared" si="40"/>
        <v>-0.34013437099999999</v>
      </c>
      <c r="Q201" s="43">
        <f t="shared" si="41"/>
        <v>-0.34013437099999999</v>
      </c>
      <c r="R201" s="43">
        <f t="shared" si="42"/>
        <v>0.11569139033556564</v>
      </c>
    </row>
    <row r="202" spans="1:18" x14ac:dyDescent="0.3">
      <c r="A202" s="47">
        <v>38184</v>
      </c>
      <c r="B202" s="48">
        <v>0</v>
      </c>
      <c r="C202" s="49">
        <v>0</v>
      </c>
      <c r="D202" s="10">
        <f t="shared" si="34"/>
        <v>-0.38980777739764078</v>
      </c>
      <c r="E202" s="10">
        <f t="shared" si="35"/>
        <v>-0.52735136612021827</v>
      </c>
      <c r="F202" s="10">
        <f t="shared" si="33"/>
        <v>0.15195010331968867</v>
      </c>
      <c r="G202" s="10">
        <f t="shared" si="33"/>
        <v>0.27809946334886049</v>
      </c>
      <c r="H202" s="11">
        <f t="shared" si="3"/>
        <v>0.20556566393493181</v>
      </c>
      <c r="I202" s="12">
        <f t="shared" si="4"/>
        <v>0</v>
      </c>
      <c r="J202" s="28">
        <f t="shared" si="5"/>
        <v>0</v>
      </c>
      <c r="K202" s="30">
        <f t="shared" si="36"/>
        <v>0</v>
      </c>
      <c r="L202" s="5"/>
      <c r="M202" s="30">
        <f t="shared" si="37"/>
        <v>0</v>
      </c>
      <c r="N202" s="42">
        <f t="shared" si="38"/>
        <v>0</v>
      </c>
      <c r="O202" s="43">
        <f t="shared" si="39"/>
        <v>0</v>
      </c>
      <c r="P202" s="43">
        <f t="shared" si="40"/>
        <v>-0.34013437099999999</v>
      </c>
      <c r="Q202" s="43">
        <f t="shared" si="41"/>
        <v>-0.34013437099999999</v>
      </c>
      <c r="R202" s="43">
        <f t="shared" si="42"/>
        <v>0.11569139033556564</v>
      </c>
    </row>
    <row r="203" spans="1:18" x14ac:dyDescent="0.3">
      <c r="A203" s="47">
        <v>38185</v>
      </c>
      <c r="B203" s="48">
        <v>0</v>
      </c>
      <c r="C203" s="49">
        <v>0</v>
      </c>
      <c r="D203" s="10">
        <f t="shared" si="34"/>
        <v>-0.38980777739764078</v>
      </c>
      <c r="E203" s="10">
        <f t="shared" si="35"/>
        <v>-0.52735136612021827</v>
      </c>
      <c r="F203" s="10">
        <f t="shared" si="33"/>
        <v>0.15195010331968867</v>
      </c>
      <c r="G203" s="10">
        <f t="shared" si="33"/>
        <v>0.27809946334886049</v>
      </c>
      <c r="H203" s="11">
        <f t="shared" ref="H203:H266" si="43">D203*E203</f>
        <v>0.20556566393493181</v>
      </c>
      <c r="I203" s="12">
        <f t="shared" ref="I203:I266" si="44">ABS(C203-B203)</f>
        <v>0</v>
      </c>
      <c r="J203" s="28">
        <f t="shared" ref="J203:J266" si="45">I203^2</f>
        <v>0</v>
      </c>
      <c r="K203" s="30">
        <f t="shared" si="36"/>
        <v>0</v>
      </c>
      <c r="L203" s="5"/>
      <c r="M203" s="30">
        <f t="shared" si="37"/>
        <v>0</v>
      </c>
      <c r="N203" s="42">
        <f t="shared" si="38"/>
        <v>0</v>
      </c>
      <c r="O203" s="43">
        <f t="shared" si="39"/>
        <v>0</v>
      </c>
      <c r="P203" s="43">
        <f t="shared" si="40"/>
        <v>-0.34013437099999999</v>
      </c>
      <c r="Q203" s="43">
        <f t="shared" si="41"/>
        <v>-0.34013437099999999</v>
      </c>
      <c r="R203" s="43">
        <f t="shared" si="42"/>
        <v>0.11569139033556564</v>
      </c>
    </row>
    <row r="204" spans="1:18" x14ac:dyDescent="0.3">
      <c r="A204" s="47">
        <v>38186</v>
      </c>
      <c r="B204" s="48">
        <v>0</v>
      </c>
      <c r="C204" s="49">
        <v>0</v>
      </c>
      <c r="D204" s="10">
        <f t="shared" si="34"/>
        <v>-0.38980777739764078</v>
      </c>
      <c r="E204" s="10">
        <f t="shared" si="35"/>
        <v>-0.52735136612021827</v>
      </c>
      <c r="F204" s="10">
        <f t="shared" si="33"/>
        <v>0.15195010331968867</v>
      </c>
      <c r="G204" s="10">
        <f t="shared" si="33"/>
        <v>0.27809946334886049</v>
      </c>
      <c r="H204" s="11">
        <f t="shared" si="43"/>
        <v>0.20556566393493181</v>
      </c>
      <c r="I204" s="12">
        <f t="shared" si="44"/>
        <v>0</v>
      </c>
      <c r="J204" s="28">
        <f t="shared" si="45"/>
        <v>0</v>
      </c>
      <c r="K204" s="30">
        <f t="shared" si="36"/>
        <v>0</v>
      </c>
      <c r="L204" s="5"/>
      <c r="M204" s="30">
        <f t="shared" si="37"/>
        <v>0</v>
      </c>
      <c r="N204" s="42">
        <f t="shared" si="38"/>
        <v>0</v>
      </c>
      <c r="O204" s="43">
        <f t="shared" si="39"/>
        <v>0</v>
      </c>
      <c r="P204" s="43">
        <f t="shared" si="40"/>
        <v>-0.34013437099999999</v>
      </c>
      <c r="Q204" s="43">
        <f t="shared" si="41"/>
        <v>-0.34013437099999999</v>
      </c>
      <c r="R204" s="43">
        <f t="shared" si="42"/>
        <v>0.11569139033556564</v>
      </c>
    </row>
    <row r="205" spans="1:18" x14ac:dyDescent="0.3">
      <c r="A205" s="47">
        <v>38187</v>
      </c>
      <c r="B205" s="48">
        <v>0</v>
      </c>
      <c r="C205" s="49">
        <v>0</v>
      </c>
      <c r="D205" s="10">
        <f t="shared" si="34"/>
        <v>-0.38980777739764078</v>
      </c>
      <c r="E205" s="10">
        <f t="shared" si="35"/>
        <v>-0.52735136612021827</v>
      </c>
      <c r="F205" s="10">
        <f t="shared" si="33"/>
        <v>0.15195010331968867</v>
      </c>
      <c r="G205" s="10">
        <f t="shared" si="33"/>
        <v>0.27809946334886049</v>
      </c>
      <c r="H205" s="11">
        <f t="shared" si="43"/>
        <v>0.20556566393493181</v>
      </c>
      <c r="I205" s="12">
        <f t="shared" si="44"/>
        <v>0</v>
      </c>
      <c r="J205" s="28">
        <f t="shared" si="45"/>
        <v>0</v>
      </c>
      <c r="K205" s="30">
        <f t="shared" si="36"/>
        <v>0</v>
      </c>
      <c r="L205" s="5"/>
      <c r="M205" s="30">
        <f t="shared" si="37"/>
        <v>0</v>
      </c>
      <c r="N205" s="42">
        <f t="shared" si="38"/>
        <v>0</v>
      </c>
      <c r="O205" s="43">
        <f t="shared" si="39"/>
        <v>0</v>
      </c>
      <c r="P205" s="43">
        <f t="shared" si="40"/>
        <v>-0.34013437099999999</v>
      </c>
      <c r="Q205" s="43">
        <f t="shared" si="41"/>
        <v>-0.34013437099999999</v>
      </c>
      <c r="R205" s="43">
        <f t="shared" si="42"/>
        <v>0.11569139033556564</v>
      </c>
    </row>
    <row r="206" spans="1:18" x14ac:dyDescent="0.3">
      <c r="A206" s="47">
        <v>38188</v>
      </c>
      <c r="B206" s="48">
        <v>0</v>
      </c>
      <c r="C206" s="49">
        <v>0</v>
      </c>
      <c r="D206" s="10">
        <f t="shared" si="34"/>
        <v>-0.38980777739764078</v>
      </c>
      <c r="E206" s="10">
        <f t="shared" si="35"/>
        <v>-0.52735136612021827</v>
      </c>
      <c r="F206" s="10">
        <f t="shared" si="33"/>
        <v>0.15195010331968867</v>
      </c>
      <c r="G206" s="10">
        <f t="shared" si="33"/>
        <v>0.27809946334886049</v>
      </c>
      <c r="H206" s="11">
        <f t="shared" si="43"/>
        <v>0.20556566393493181</v>
      </c>
      <c r="I206" s="12">
        <f t="shared" si="44"/>
        <v>0</v>
      </c>
      <c r="J206" s="28">
        <f t="shared" si="45"/>
        <v>0</v>
      </c>
      <c r="K206" s="30">
        <f t="shared" si="36"/>
        <v>0</v>
      </c>
      <c r="L206" s="5"/>
      <c r="M206" s="30">
        <f t="shared" si="37"/>
        <v>0</v>
      </c>
      <c r="N206" s="42">
        <f t="shared" si="38"/>
        <v>0</v>
      </c>
      <c r="O206" s="43">
        <f t="shared" si="39"/>
        <v>0</v>
      </c>
      <c r="P206" s="43">
        <f t="shared" si="40"/>
        <v>-0.34013437099999999</v>
      </c>
      <c r="Q206" s="43">
        <f t="shared" si="41"/>
        <v>-0.34013437099999999</v>
      </c>
      <c r="R206" s="43">
        <f t="shared" si="42"/>
        <v>0.11569139033556564</v>
      </c>
    </row>
    <row r="207" spans="1:18" x14ac:dyDescent="0.3">
      <c r="A207" s="47">
        <v>38189</v>
      </c>
      <c r="B207" s="48">
        <v>0</v>
      </c>
      <c r="C207" s="49">
        <v>1E-3</v>
      </c>
      <c r="D207" s="10">
        <f t="shared" si="34"/>
        <v>-0.38980777739764078</v>
      </c>
      <c r="E207" s="10">
        <f t="shared" si="35"/>
        <v>-0.52635136612021827</v>
      </c>
      <c r="F207" s="10">
        <f t="shared" si="33"/>
        <v>0.15195010331968867</v>
      </c>
      <c r="G207" s="10">
        <f t="shared" si="33"/>
        <v>0.27704576061662006</v>
      </c>
      <c r="H207" s="11">
        <f t="shared" si="43"/>
        <v>0.20517585615753417</v>
      </c>
      <c r="I207" s="12">
        <f t="shared" si="44"/>
        <v>1E-3</v>
      </c>
      <c r="J207" s="28">
        <f t="shared" si="45"/>
        <v>9.9999999999999995E-7</v>
      </c>
      <c r="K207" s="30">
        <f t="shared" si="36"/>
        <v>1E-3</v>
      </c>
      <c r="L207" s="5"/>
      <c r="M207" s="30">
        <f t="shared" si="37"/>
        <v>-1E-3</v>
      </c>
      <c r="N207" s="42">
        <f t="shared" si="38"/>
        <v>-1E-3</v>
      </c>
      <c r="O207" s="43">
        <f t="shared" si="39"/>
        <v>9.9999999999999995E-7</v>
      </c>
      <c r="P207" s="43">
        <f t="shared" si="40"/>
        <v>-0.34013437099999999</v>
      </c>
      <c r="Q207" s="43">
        <f t="shared" si="41"/>
        <v>-0.34013437099999999</v>
      </c>
      <c r="R207" s="43">
        <f t="shared" si="42"/>
        <v>0.11569139033556564</v>
      </c>
    </row>
    <row r="208" spans="1:18" x14ac:dyDescent="0.3">
      <c r="A208" s="47">
        <v>38190</v>
      </c>
      <c r="B208" s="48">
        <v>0</v>
      </c>
      <c r="C208" s="49">
        <v>4.0000000000000002E-4</v>
      </c>
      <c r="D208" s="10">
        <f t="shared" si="34"/>
        <v>-0.38980777739764078</v>
      </c>
      <c r="E208" s="10">
        <f t="shared" si="35"/>
        <v>-0.52695136612021831</v>
      </c>
      <c r="F208" s="10">
        <f t="shared" si="33"/>
        <v>0.15195010331968867</v>
      </c>
      <c r="G208" s="10">
        <f t="shared" si="33"/>
        <v>0.27767774225596437</v>
      </c>
      <c r="H208" s="11">
        <f t="shared" si="43"/>
        <v>0.20540974082397276</v>
      </c>
      <c r="I208" s="12">
        <f t="shared" si="44"/>
        <v>4.0000000000000002E-4</v>
      </c>
      <c r="J208" s="28">
        <f t="shared" si="45"/>
        <v>1.6E-7</v>
      </c>
      <c r="K208" s="30">
        <f t="shared" si="36"/>
        <v>4.0000000000000002E-4</v>
      </c>
      <c r="L208" s="5"/>
      <c r="M208" s="30">
        <f t="shared" si="37"/>
        <v>-4.0000000000000002E-4</v>
      </c>
      <c r="N208" s="42">
        <f t="shared" si="38"/>
        <v>-4.0000000000000002E-4</v>
      </c>
      <c r="O208" s="43">
        <f t="shared" si="39"/>
        <v>1.6E-7</v>
      </c>
      <c r="P208" s="43">
        <f t="shared" si="40"/>
        <v>-0.34013437099999999</v>
      </c>
      <c r="Q208" s="43">
        <f t="shared" si="41"/>
        <v>-0.34013437099999999</v>
      </c>
      <c r="R208" s="43">
        <f t="shared" si="42"/>
        <v>0.11569139033556564</v>
      </c>
    </row>
    <row r="209" spans="1:18" x14ac:dyDescent="0.3">
      <c r="A209" s="47">
        <v>38191</v>
      </c>
      <c r="B209" s="48">
        <v>0</v>
      </c>
      <c r="C209" s="49">
        <v>0</v>
      </c>
      <c r="D209" s="10">
        <f t="shared" si="34"/>
        <v>-0.38980777739764078</v>
      </c>
      <c r="E209" s="10">
        <f t="shared" si="35"/>
        <v>-0.52735136612021827</v>
      </c>
      <c r="F209" s="10">
        <f t="shared" si="33"/>
        <v>0.15195010331968867</v>
      </c>
      <c r="G209" s="10">
        <f t="shared" si="33"/>
        <v>0.27809946334886049</v>
      </c>
      <c r="H209" s="11">
        <f t="shared" si="43"/>
        <v>0.20556566393493181</v>
      </c>
      <c r="I209" s="12">
        <f t="shared" si="44"/>
        <v>0</v>
      </c>
      <c r="J209" s="28">
        <f t="shared" si="45"/>
        <v>0</v>
      </c>
      <c r="K209" s="30">
        <f t="shared" si="36"/>
        <v>0</v>
      </c>
      <c r="L209" s="5"/>
      <c r="M209" s="30">
        <f t="shared" si="37"/>
        <v>0</v>
      </c>
      <c r="N209" s="42">
        <f t="shared" si="38"/>
        <v>0</v>
      </c>
      <c r="O209" s="43">
        <f t="shared" si="39"/>
        <v>0</v>
      </c>
      <c r="P209" s="43">
        <f t="shared" si="40"/>
        <v>-0.34013437099999999</v>
      </c>
      <c r="Q209" s="43">
        <f t="shared" si="41"/>
        <v>-0.34013437099999999</v>
      </c>
      <c r="R209" s="43">
        <f t="shared" si="42"/>
        <v>0.11569139033556564</v>
      </c>
    </row>
    <row r="210" spans="1:18" x14ac:dyDescent="0.3">
      <c r="A210" s="47">
        <v>38192</v>
      </c>
      <c r="B210" s="48">
        <v>0</v>
      </c>
      <c r="C210" s="49">
        <v>0</v>
      </c>
      <c r="D210" s="10">
        <f t="shared" si="34"/>
        <v>-0.38980777739764078</v>
      </c>
      <c r="E210" s="10">
        <f t="shared" si="35"/>
        <v>-0.52735136612021827</v>
      </c>
      <c r="F210" s="10">
        <f t="shared" si="33"/>
        <v>0.15195010331968867</v>
      </c>
      <c r="G210" s="10">
        <f t="shared" si="33"/>
        <v>0.27809946334886049</v>
      </c>
      <c r="H210" s="11">
        <f t="shared" si="43"/>
        <v>0.20556566393493181</v>
      </c>
      <c r="I210" s="12">
        <f t="shared" si="44"/>
        <v>0</v>
      </c>
      <c r="J210" s="28">
        <f t="shared" si="45"/>
        <v>0</v>
      </c>
      <c r="K210" s="30">
        <f t="shared" si="36"/>
        <v>0</v>
      </c>
      <c r="L210" s="5"/>
      <c r="M210" s="30">
        <f t="shared" si="37"/>
        <v>0</v>
      </c>
      <c r="N210" s="42">
        <f t="shared" si="38"/>
        <v>0</v>
      </c>
      <c r="O210" s="43">
        <f t="shared" si="39"/>
        <v>0</v>
      </c>
      <c r="P210" s="43">
        <f t="shared" si="40"/>
        <v>-0.34013437099999999</v>
      </c>
      <c r="Q210" s="43">
        <f t="shared" si="41"/>
        <v>-0.34013437099999999</v>
      </c>
      <c r="R210" s="43">
        <f t="shared" si="42"/>
        <v>0.11569139033556564</v>
      </c>
    </row>
    <row r="211" spans="1:18" x14ac:dyDescent="0.3">
      <c r="A211" s="47">
        <v>38193</v>
      </c>
      <c r="B211" s="48">
        <v>0</v>
      </c>
      <c r="C211" s="49">
        <v>0</v>
      </c>
      <c r="D211" s="10">
        <f t="shared" si="34"/>
        <v>-0.38980777739764078</v>
      </c>
      <c r="E211" s="10">
        <f t="shared" si="35"/>
        <v>-0.52735136612021827</v>
      </c>
      <c r="F211" s="10">
        <f t="shared" si="33"/>
        <v>0.15195010331968867</v>
      </c>
      <c r="G211" s="10">
        <f t="shared" si="33"/>
        <v>0.27809946334886049</v>
      </c>
      <c r="H211" s="11">
        <f t="shared" si="43"/>
        <v>0.20556566393493181</v>
      </c>
      <c r="I211" s="12">
        <f t="shared" si="44"/>
        <v>0</v>
      </c>
      <c r="J211" s="28">
        <f t="shared" si="45"/>
        <v>0</v>
      </c>
      <c r="K211" s="30">
        <f t="shared" si="36"/>
        <v>0</v>
      </c>
      <c r="L211" s="5"/>
      <c r="M211" s="30">
        <f t="shared" si="37"/>
        <v>0</v>
      </c>
      <c r="N211" s="42">
        <f t="shared" si="38"/>
        <v>0</v>
      </c>
      <c r="O211" s="43">
        <f t="shared" si="39"/>
        <v>0</v>
      </c>
      <c r="P211" s="43">
        <f t="shared" si="40"/>
        <v>-0.34013437099999999</v>
      </c>
      <c r="Q211" s="43">
        <f t="shared" si="41"/>
        <v>-0.34013437099999999</v>
      </c>
      <c r="R211" s="43">
        <f t="shared" si="42"/>
        <v>0.11569139033556564</v>
      </c>
    </row>
    <row r="212" spans="1:18" x14ac:dyDescent="0.3">
      <c r="A212" s="47">
        <v>38194</v>
      </c>
      <c r="B212" s="48">
        <v>0</v>
      </c>
      <c r="C212" s="49">
        <v>0</v>
      </c>
      <c r="D212" s="10">
        <f t="shared" si="34"/>
        <v>-0.38980777739764078</v>
      </c>
      <c r="E212" s="10">
        <f t="shared" si="35"/>
        <v>-0.52735136612021827</v>
      </c>
      <c r="F212" s="10">
        <f t="shared" si="33"/>
        <v>0.15195010331968867</v>
      </c>
      <c r="G212" s="10">
        <f t="shared" si="33"/>
        <v>0.27809946334886049</v>
      </c>
      <c r="H212" s="11">
        <f t="shared" si="43"/>
        <v>0.20556566393493181</v>
      </c>
      <c r="I212" s="12">
        <f t="shared" si="44"/>
        <v>0</v>
      </c>
      <c r="J212" s="28">
        <f t="shared" si="45"/>
        <v>0</v>
      </c>
      <c r="K212" s="30">
        <f t="shared" si="36"/>
        <v>0</v>
      </c>
      <c r="L212" s="5"/>
      <c r="M212" s="30">
        <f t="shared" si="37"/>
        <v>0</v>
      </c>
      <c r="N212" s="42">
        <f t="shared" si="38"/>
        <v>0</v>
      </c>
      <c r="O212" s="43">
        <f t="shared" si="39"/>
        <v>0</v>
      </c>
      <c r="P212" s="43">
        <f t="shared" si="40"/>
        <v>-0.34013437099999999</v>
      </c>
      <c r="Q212" s="43">
        <f t="shared" si="41"/>
        <v>-0.34013437099999999</v>
      </c>
      <c r="R212" s="43">
        <f t="shared" si="42"/>
        <v>0.11569139033556564</v>
      </c>
    </row>
    <row r="213" spans="1:18" x14ac:dyDescent="0.3">
      <c r="A213" s="47">
        <v>38195</v>
      </c>
      <c r="B213" s="48">
        <v>0</v>
      </c>
      <c r="C213" s="49">
        <v>1.37E-2</v>
      </c>
      <c r="D213" s="10">
        <f t="shared" si="34"/>
        <v>-0.38980777739764078</v>
      </c>
      <c r="E213" s="10">
        <f t="shared" si="35"/>
        <v>-0.51365136612021822</v>
      </c>
      <c r="F213" s="10">
        <f t="shared" ref="F213:G276" si="46">D213^2</f>
        <v>0.15195010331968867</v>
      </c>
      <c r="G213" s="10">
        <f t="shared" si="46"/>
        <v>0.26383772591716648</v>
      </c>
      <c r="H213" s="11">
        <f t="shared" si="43"/>
        <v>0.20022529738458411</v>
      </c>
      <c r="I213" s="12">
        <f t="shared" si="44"/>
        <v>1.37E-2</v>
      </c>
      <c r="J213" s="28">
        <f t="shared" si="45"/>
        <v>1.8769000000000001E-4</v>
      </c>
      <c r="K213" s="30">
        <f t="shared" si="36"/>
        <v>1.37E-2</v>
      </c>
      <c r="L213" s="5"/>
      <c r="M213" s="30">
        <f t="shared" si="37"/>
        <v>-1.37E-2</v>
      </c>
      <c r="N213" s="42">
        <f t="shared" si="38"/>
        <v>-1.37E-2</v>
      </c>
      <c r="O213" s="43">
        <f t="shared" si="39"/>
        <v>1.8769000000000001E-4</v>
      </c>
      <c r="P213" s="43">
        <f t="shared" si="40"/>
        <v>-0.34013437099999999</v>
      </c>
      <c r="Q213" s="43">
        <f t="shared" si="41"/>
        <v>-0.34013437099999999</v>
      </c>
      <c r="R213" s="43">
        <f t="shared" si="42"/>
        <v>0.11569139033556564</v>
      </c>
    </row>
    <row r="214" spans="1:18" x14ac:dyDescent="0.3">
      <c r="A214" s="47">
        <v>38196</v>
      </c>
      <c r="B214" s="48">
        <v>0</v>
      </c>
      <c r="C214" s="49">
        <v>0</v>
      </c>
      <c r="D214" s="10">
        <f t="shared" si="34"/>
        <v>-0.38980777739764078</v>
      </c>
      <c r="E214" s="10">
        <f t="shared" si="35"/>
        <v>-0.52735136612021827</v>
      </c>
      <c r="F214" s="10">
        <f t="shared" si="46"/>
        <v>0.15195010331968867</v>
      </c>
      <c r="G214" s="10">
        <f t="shared" si="46"/>
        <v>0.27809946334886049</v>
      </c>
      <c r="H214" s="11">
        <f t="shared" si="43"/>
        <v>0.20556566393493181</v>
      </c>
      <c r="I214" s="12">
        <f t="shared" si="44"/>
        <v>0</v>
      </c>
      <c r="J214" s="28">
        <f t="shared" si="45"/>
        <v>0</v>
      </c>
      <c r="K214" s="30">
        <f t="shared" si="36"/>
        <v>0</v>
      </c>
      <c r="L214" s="5"/>
      <c r="M214" s="30">
        <f t="shared" si="37"/>
        <v>0</v>
      </c>
      <c r="N214" s="42">
        <f t="shared" si="38"/>
        <v>0</v>
      </c>
      <c r="O214" s="43">
        <f t="shared" si="39"/>
        <v>0</v>
      </c>
      <c r="P214" s="43">
        <f t="shared" si="40"/>
        <v>-0.34013437099999999</v>
      </c>
      <c r="Q214" s="43">
        <f t="shared" si="41"/>
        <v>-0.34013437099999999</v>
      </c>
      <c r="R214" s="43">
        <f t="shared" si="42"/>
        <v>0.11569139033556564</v>
      </c>
    </row>
    <row r="215" spans="1:18" x14ac:dyDescent="0.3">
      <c r="A215" s="47">
        <v>38197</v>
      </c>
      <c r="B215" s="48">
        <v>0</v>
      </c>
      <c r="C215" s="49">
        <v>0</v>
      </c>
      <c r="D215" s="10">
        <f t="shared" si="34"/>
        <v>-0.38980777739764078</v>
      </c>
      <c r="E215" s="10">
        <f t="shared" si="35"/>
        <v>-0.52735136612021827</v>
      </c>
      <c r="F215" s="10">
        <f t="shared" si="46"/>
        <v>0.15195010331968867</v>
      </c>
      <c r="G215" s="10">
        <f t="shared" si="46"/>
        <v>0.27809946334886049</v>
      </c>
      <c r="H215" s="11">
        <f t="shared" si="43"/>
        <v>0.20556566393493181</v>
      </c>
      <c r="I215" s="12">
        <f t="shared" si="44"/>
        <v>0</v>
      </c>
      <c r="J215" s="28">
        <f t="shared" si="45"/>
        <v>0</v>
      </c>
      <c r="K215" s="30">
        <f t="shared" si="36"/>
        <v>0</v>
      </c>
      <c r="L215" s="5"/>
      <c r="M215" s="30">
        <f t="shared" si="37"/>
        <v>0</v>
      </c>
      <c r="N215" s="42">
        <f t="shared" si="38"/>
        <v>0</v>
      </c>
      <c r="O215" s="43">
        <f t="shared" si="39"/>
        <v>0</v>
      </c>
      <c r="P215" s="43">
        <f t="shared" si="40"/>
        <v>-0.34013437099999999</v>
      </c>
      <c r="Q215" s="43">
        <f t="shared" si="41"/>
        <v>-0.34013437099999999</v>
      </c>
      <c r="R215" s="43">
        <f t="shared" si="42"/>
        <v>0.11569139033556564</v>
      </c>
    </row>
    <row r="216" spans="1:18" x14ac:dyDescent="0.3">
      <c r="A216" s="47">
        <v>38198</v>
      </c>
      <c r="B216" s="48">
        <v>0</v>
      </c>
      <c r="C216" s="49">
        <v>0</v>
      </c>
      <c r="D216" s="10">
        <f t="shared" si="34"/>
        <v>-0.38980777739764078</v>
      </c>
      <c r="E216" s="10">
        <f t="shared" si="35"/>
        <v>-0.52735136612021827</v>
      </c>
      <c r="F216" s="10">
        <f t="shared" si="46"/>
        <v>0.15195010331968867</v>
      </c>
      <c r="G216" s="10">
        <f t="shared" si="46"/>
        <v>0.27809946334886049</v>
      </c>
      <c r="H216" s="11">
        <f t="shared" si="43"/>
        <v>0.20556566393493181</v>
      </c>
      <c r="I216" s="12">
        <f t="shared" si="44"/>
        <v>0</v>
      </c>
      <c r="J216" s="28">
        <f t="shared" si="45"/>
        <v>0</v>
      </c>
      <c r="K216" s="30">
        <f t="shared" si="36"/>
        <v>0</v>
      </c>
      <c r="L216" s="5"/>
      <c r="M216" s="30">
        <f t="shared" si="37"/>
        <v>0</v>
      </c>
      <c r="N216" s="42">
        <f t="shared" si="38"/>
        <v>0</v>
      </c>
      <c r="O216" s="43">
        <f t="shared" si="39"/>
        <v>0</v>
      </c>
      <c r="P216" s="43">
        <f t="shared" si="40"/>
        <v>-0.34013437099999999</v>
      </c>
      <c r="Q216" s="43">
        <f t="shared" si="41"/>
        <v>-0.34013437099999999</v>
      </c>
      <c r="R216" s="43">
        <f t="shared" si="42"/>
        <v>0.11569139033556564</v>
      </c>
    </row>
    <row r="217" spans="1:18" x14ac:dyDescent="0.3">
      <c r="A217" s="47">
        <v>38199</v>
      </c>
      <c r="B217" s="48">
        <v>0</v>
      </c>
      <c r="C217" s="49">
        <v>1.8E-3</v>
      </c>
      <c r="D217" s="10">
        <f t="shared" si="34"/>
        <v>-0.38980777739764078</v>
      </c>
      <c r="E217" s="10">
        <f t="shared" si="35"/>
        <v>-0.52555136612021824</v>
      </c>
      <c r="F217" s="10">
        <f t="shared" si="46"/>
        <v>0.15195010331968867</v>
      </c>
      <c r="G217" s="10">
        <f t="shared" si="46"/>
        <v>0.2762042384308277</v>
      </c>
      <c r="H217" s="11">
        <f t="shared" si="43"/>
        <v>0.20486400993561604</v>
      </c>
      <c r="I217" s="12">
        <f t="shared" si="44"/>
        <v>1.8E-3</v>
      </c>
      <c r="J217" s="28">
        <f t="shared" si="45"/>
        <v>3.2399999999999999E-6</v>
      </c>
      <c r="K217" s="30">
        <f t="shared" si="36"/>
        <v>1.8E-3</v>
      </c>
      <c r="L217" s="5"/>
      <c r="M217" s="30">
        <f t="shared" si="37"/>
        <v>-1.8E-3</v>
      </c>
      <c r="N217" s="42">
        <f t="shared" si="38"/>
        <v>-1.8E-3</v>
      </c>
      <c r="O217" s="43">
        <f t="shared" si="39"/>
        <v>3.2399999999999999E-6</v>
      </c>
      <c r="P217" s="43">
        <f t="shared" si="40"/>
        <v>-0.34013437099999999</v>
      </c>
      <c r="Q217" s="43">
        <f t="shared" si="41"/>
        <v>-0.34013437099999999</v>
      </c>
      <c r="R217" s="43">
        <f t="shared" si="42"/>
        <v>0.11569139033556564</v>
      </c>
    </row>
    <row r="218" spans="1:18" x14ac:dyDescent="0.3">
      <c r="A218" s="47">
        <v>38200</v>
      </c>
      <c r="B218" s="48">
        <v>0</v>
      </c>
      <c r="C218" s="49">
        <v>1.8E-3</v>
      </c>
      <c r="D218" s="10">
        <f t="shared" si="34"/>
        <v>-0.38980777739764078</v>
      </c>
      <c r="E218" s="10">
        <f t="shared" si="35"/>
        <v>-0.52555136612021824</v>
      </c>
      <c r="F218" s="10">
        <f t="shared" si="46"/>
        <v>0.15195010331968867</v>
      </c>
      <c r="G218" s="10">
        <f t="shared" si="46"/>
        <v>0.2762042384308277</v>
      </c>
      <c r="H218" s="11">
        <f t="shared" si="43"/>
        <v>0.20486400993561604</v>
      </c>
      <c r="I218" s="12">
        <f t="shared" si="44"/>
        <v>1.8E-3</v>
      </c>
      <c r="J218" s="28">
        <f t="shared" si="45"/>
        <v>3.2399999999999999E-6</v>
      </c>
      <c r="K218" s="30">
        <f t="shared" si="36"/>
        <v>1.8E-3</v>
      </c>
      <c r="L218" s="5"/>
      <c r="M218" s="30">
        <f t="shared" si="37"/>
        <v>-1.8E-3</v>
      </c>
      <c r="N218" s="42">
        <f t="shared" si="38"/>
        <v>-1.8E-3</v>
      </c>
      <c r="O218" s="43">
        <f t="shared" si="39"/>
        <v>3.2399999999999999E-6</v>
      </c>
      <c r="P218" s="43">
        <f t="shared" si="40"/>
        <v>-0.34013437099999999</v>
      </c>
      <c r="Q218" s="43">
        <f t="shared" si="41"/>
        <v>-0.34013437099999999</v>
      </c>
      <c r="R218" s="43">
        <f t="shared" si="42"/>
        <v>0.11569139033556564</v>
      </c>
    </row>
    <row r="219" spans="1:18" ht="15.75" customHeight="1" x14ac:dyDescent="0.3">
      <c r="A219" s="47">
        <v>38201</v>
      </c>
      <c r="B219" s="48">
        <v>0</v>
      </c>
      <c r="C219" s="49">
        <v>0</v>
      </c>
      <c r="D219" s="10">
        <f t="shared" si="34"/>
        <v>-0.38980777739764078</v>
      </c>
      <c r="E219" s="10">
        <f t="shared" si="35"/>
        <v>-0.52735136612021827</v>
      </c>
      <c r="F219" s="10">
        <f t="shared" si="46"/>
        <v>0.15195010331968867</v>
      </c>
      <c r="G219" s="10">
        <f t="shared" si="46"/>
        <v>0.27809946334886049</v>
      </c>
      <c r="H219" s="11">
        <f t="shared" si="43"/>
        <v>0.20556566393493181</v>
      </c>
      <c r="I219" s="12">
        <f t="shared" si="44"/>
        <v>0</v>
      </c>
      <c r="J219" s="28">
        <f t="shared" si="45"/>
        <v>0</v>
      </c>
      <c r="K219" s="30">
        <f t="shared" si="36"/>
        <v>0</v>
      </c>
      <c r="L219" s="5"/>
      <c r="M219" s="30">
        <f t="shared" si="37"/>
        <v>0</v>
      </c>
      <c r="N219" s="42">
        <f t="shared" si="38"/>
        <v>0</v>
      </c>
      <c r="O219" s="43">
        <f t="shared" si="39"/>
        <v>0</v>
      </c>
      <c r="P219" s="43">
        <f t="shared" si="40"/>
        <v>-0.34013437099999999</v>
      </c>
      <c r="Q219" s="43">
        <f t="shared" si="41"/>
        <v>-0.34013437099999999</v>
      </c>
      <c r="R219" s="43">
        <f t="shared" si="42"/>
        <v>0.11569139033556564</v>
      </c>
    </row>
    <row r="220" spans="1:18" ht="15.75" customHeight="1" x14ac:dyDescent="0.3">
      <c r="A220" s="47">
        <v>38202</v>
      </c>
      <c r="B220" s="48">
        <v>0</v>
      </c>
      <c r="C220" s="49">
        <v>8.9999999999999998E-4</v>
      </c>
      <c r="D220" s="10">
        <f t="shared" si="34"/>
        <v>-0.38980777739764078</v>
      </c>
      <c r="E220" s="10">
        <f t="shared" si="35"/>
        <v>-0.52645136612021826</v>
      </c>
      <c r="F220" s="10">
        <f t="shared" si="46"/>
        <v>0.15195010331968867</v>
      </c>
      <c r="G220" s="10">
        <f t="shared" si="46"/>
        <v>0.2771510408898441</v>
      </c>
      <c r="H220" s="11">
        <f t="shared" si="43"/>
        <v>0.20521483693527393</v>
      </c>
      <c r="I220" s="12">
        <f t="shared" si="44"/>
        <v>8.9999999999999998E-4</v>
      </c>
      <c r="J220" s="28">
        <f t="shared" si="45"/>
        <v>8.0999999999999997E-7</v>
      </c>
      <c r="K220" s="30">
        <f t="shared" si="36"/>
        <v>8.9999999999999998E-4</v>
      </c>
      <c r="L220" s="5"/>
      <c r="M220" s="30">
        <f t="shared" si="37"/>
        <v>-8.9999999999999998E-4</v>
      </c>
      <c r="N220" s="42">
        <f t="shared" si="38"/>
        <v>-8.9999999999999998E-4</v>
      </c>
      <c r="O220" s="43">
        <f t="shared" si="39"/>
        <v>8.0999999999999997E-7</v>
      </c>
      <c r="P220" s="43">
        <f t="shared" si="40"/>
        <v>-0.34013437099999999</v>
      </c>
      <c r="Q220" s="43">
        <f t="shared" si="41"/>
        <v>-0.34013437099999999</v>
      </c>
      <c r="R220" s="43">
        <f t="shared" si="42"/>
        <v>0.11569139033556564</v>
      </c>
    </row>
    <row r="221" spans="1:18" ht="15.75" customHeight="1" x14ac:dyDescent="0.3">
      <c r="A221" s="47">
        <v>38203</v>
      </c>
      <c r="B221" s="48">
        <v>0</v>
      </c>
      <c r="C221" s="49">
        <v>0</v>
      </c>
      <c r="D221" s="10">
        <f t="shared" si="34"/>
        <v>-0.38980777739764078</v>
      </c>
      <c r="E221" s="10">
        <f t="shared" si="35"/>
        <v>-0.52735136612021827</v>
      </c>
      <c r="F221" s="10">
        <f t="shared" si="46"/>
        <v>0.15195010331968867</v>
      </c>
      <c r="G221" s="10">
        <f t="shared" si="46"/>
        <v>0.27809946334886049</v>
      </c>
      <c r="H221" s="11">
        <f t="shared" si="43"/>
        <v>0.20556566393493181</v>
      </c>
      <c r="I221" s="12">
        <f t="shared" si="44"/>
        <v>0</v>
      </c>
      <c r="J221" s="28">
        <f t="shared" si="45"/>
        <v>0</v>
      </c>
      <c r="K221" s="30">
        <f t="shared" si="36"/>
        <v>0</v>
      </c>
      <c r="L221" s="5"/>
      <c r="M221" s="30">
        <f t="shared" si="37"/>
        <v>0</v>
      </c>
      <c r="N221" s="42">
        <f t="shared" si="38"/>
        <v>0</v>
      </c>
      <c r="O221" s="43">
        <f t="shared" si="39"/>
        <v>0</v>
      </c>
      <c r="P221" s="43">
        <f t="shared" si="40"/>
        <v>-0.34013437099999999</v>
      </c>
      <c r="Q221" s="43">
        <f t="shared" si="41"/>
        <v>-0.34013437099999999</v>
      </c>
      <c r="R221" s="43">
        <f t="shared" si="42"/>
        <v>0.11569139033556564</v>
      </c>
    </row>
    <row r="222" spans="1:18" ht="15.75" customHeight="1" x14ac:dyDescent="0.3">
      <c r="A222" s="47">
        <v>38204</v>
      </c>
      <c r="B222" s="48">
        <v>0</v>
      </c>
      <c r="C222" s="49">
        <v>0</v>
      </c>
      <c r="D222" s="10">
        <f t="shared" si="34"/>
        <v>-0.38980777739764078</v>
      </c>
      <c r="E222" s="10">
        <f t="shared" si="35"/>
        <v>-0.52735136612021827</v>
      </c>
      <c r="F222" s="10">
        <f t="shared" si="46"/>
        <v>0.15195010331968867</v>
      </c>
      <c r="G222" s="10">
        <f t="shared" si="46"/>
        <v>0.27809946334886049</v>
      </c>
      <c r="H222" s="11">
        <f t="shared" si="43"/>
        <v>0.20556566393493181</v>
      </c>
      <c r="I222" s="12">
        <f t="shared" si="44"/>
        <v>0</v>
      </c>
      <c r="J222" s="28">
        <f t="shared" si="45"/>
        <v>0</v>
      </c>
      <c r="K222" s="30">
        <f t="shared" si="36"/>
        <v>0</v>
      </c>
      <c r="L222" s="5"/>
      <c r="M222" s="30">
        <f t="shared" si="37"/>
        <v>0</v>
      </c>
      <c r="N222" s="42">
        <f t="shared" si="38"/>
        <v>0</v>
      </c>
      <c r="O222" s="43">
        <f t="shared" si="39"/>
        <v>0</v>
      </c>
      <c r="P222" s="43">
        <f t="shared" si="40"/>
        <v>-0.34013437099999999</v>
      </c>
      <c r="Q222" s="43">
        <f t="shared" si="41"/>
        <v>-0.34013437099999999</v>
      </c>
      <c r="R222" s="43">
        <f t="shared" si="42"/>
        <v>0.11569139033556564</v>
      </c>
    </row>
    <row r="223" spans="1:18" ht="15.75" customHeight="1" x14ac:dyDescent="0.3">
      <c r="A223" s="47">
        <v>38205</v>
      </c>
      <c r="B223" s="48">
        <v>0</v>
      </c>
      <c r="C223" s="49">
        <v>1.6000000000000001E-3</v>
      </c>
      <c r="D223" s="10">
        <f t="shared" si="34"/>
        <v>-0.38980777739764078</v>
      </c>
      <c r="E223" s="10">
        <f t="shared" si="35"/>
        <v>-0.52575136612021822</v>
      </c>
      <c r="F223" s="10">
        <f t="shared" si="46"/>
        <v>0.15195010331968867</v>
      </c>
      <c r="G223" s="10">
        <f t="shared" si="46"/>
        <v>0.27641449897727577</v>
      </c>
      <c r="H223" s="11">
        <f t="shared" si="43"/>
        <v>0.20494197149109555</v>
      </c>
      <c r="I223" s="12">
        <f t="shared" si="44"/>
        <v>1.6000000000000001E-3</v>
      </c>
      <c r="J223" s="28">
        <f t="shared" si="45"/>
        <v>2.5600000000000001E-6</v>
      </c>
      <c r="K223" s="30">
        <f t="shared" si="36"/>
        <v>1.6000000000000001E-3</v>
      </c>
      <c r="L223" s="5"/>
      <c r="M223" s="30">
        <f t="shared" si="37"/>
        <v>-1.6000000000000001E-3</v>
      </c>
      <c r="N223" s="42">
        <f t="shared" si="38"/>
        <v>-1.6000000000000001E-3</v>
      </c>
      <c r="O223" s="43">
        <f t="shared" si="39"/>
        <v>2.5600000000000001E-6</v>
      </c>
      <c r="P223" s="43">
        <f t="shared" si="40"/>
        <v>-0.34013437099999999</v>
      </c>
      <c r="Q223" s="43">
        <f t="shared" si="41"/>
        <v>-0.34013437099999999</v>
      </c>
      <c r="R223" s="43">
        <f t="shared" si="42"/>
        <v>0.11569139033556564</v>
      </c>
    </row>
    <row r="224" spans="1:18" ht="15.75" customHeight="1" x14ac:dyDescent="0.3">
      <c r="A224" s="47">
        <v>38206</v>
      </c>
      <c r="B224" s="48">
        <v>0</v>
      </c>
      <c r="C224" s="49">
        <v>0</v>
      </c>
      <c r="D224" s="10">
        <f t="shared" si="34"/>
        <v>-0.38980777739764078</v>
      </c>
      <c r="E224" s="10">
        <f t="shared" si="35"/>
        <v>-0.52735136612021827</v>
      </c>
      <c r="F224" s="10">
        <f t="shared" si="46"/>
        <v>0.15195010331968867</v>
      </c>
      <c r="G224" s="10">
        <f t="shared" si="46"/>
        <v>0.27809946334886049</v>
      </c>
      <c r="H224" s="11">
        <f t="shared" si="43"/>
        <v>0.20556566393493181</v>
      </c>
      <c r="I224" s="12">
        <f t="shared" si="44"/>
        <v>0</v>
      </c>
      <c r="J224" s="28">
        <f t="shared" si="45"/>
        <v>0</v>
      </c>
      <c r="K224" s="30">
        <f t="shared" si="36"/>
        <v>0</v>
      </c>
      <c r="L224" s="5"/>
      <c r="M224" s="30">
        <f t="shared" si="37"/>
        <v>0</v>
      </c>
      <c r="N224" s="42">
        <f t="shared" si="38"/>
        <v>0</v>
      </c>
      <c r="O224" s="43">
        <f t="shared" si="39"/>
        <v>0</v>
      </c>
      <c r="P224" s="43">
        <f t="shared" si="40"/>
        <v>-0.34013437099999999</v>
      </c>
      <c r="Q224" s="43">
        <f t="shared" si="41"/>
        <v>-0.34013437099999999</v>
      </c>
      <c r="R224" s="43">
        <f t="shared" si="42"/>
        <v>0.11569139033556564</v>
      </c>
    </row>
    <row r="225" spans="1:18" ht="15.75" customHeight="1" x14ac:dyDescent="0.3">
      <c r="A225" s="47">
        <v>38207</v>
      </c>
      <c r="B225" s="48">
        <v>0</v>
      </c>
      <c r="C225" s="49">
        <v>0</v>
      </c>
      <c r="D225" s="10">
        <f t="shared" si="34"/>
        <v>-0.38980777739764078</v>
      </c>
      <c r="E225" s="10">
        <f t="shared" si="35"/>
        <v>-0.52735136612021827</v>
      </c>
      <c r="F225" s="10">
        <f t="shared" si="46"/>
        <v>0.15195010331968867</v>
      </c>
      <c r="G225" s="10">
        <f t="shared" si="46"/>
        <v>0.27809946334886049</v>
      </c>
      <c r="H225" s="11">
        <f t="shared" si="43"/>
        <v>0.20556566393493181</v>
      </c>
      <c r="I225" s="12">
        <f t="shared" si="44"/>
        <v>0</v>
      </c>
      <c r="J225" s="28">
        <f t="shared" si="45"/>
        <v>0</v>
      </c>
      <c r="K225" s="30">
        <f t="shared" si="36"/>
        <v>0</v>
      </c>
      <c r="L225" s="5"/>
      <c r="M225" s="30">
        <f t="shared" si="37"/>
        <v>0</v>
      </c>
      <c r="N225" s="42">
        <f t="shared" si="38"/>
        <v>0</v>
      </c>
      <c r="O225" s="43">
        <f t="shared" si="39"/>
        <v>0</v>
      </c>
      <c r="P225" s="43">
        <f t="shared" si="40"/>
        <v>-0.34013437099999999</v>
      </c>
      <c r="Q225" s="43">
        <f t="shared" si="41"/>
        <v>-0.34013437099999999</v>
      </c>
      <c r="R225" s="43">
        <f t="shared" si="42"/>
        <v>0.11569139033556564</v>
      </c>
    </row>
    <row r="226" spans="1:18" ht="15.75" customHeight="1" x14ac:dyDescent="0.3">
      <c r="A226" s="47">
        <v>38208</v>
      </c>
      <c r="B226" s="48">
        <v>0</v>
      </c>
      <c r="C226" s="49">
        <v>4.8999999999999998E-3</v>
      </c>
      <c r="D226" s="10">
        <f t="shared" si="34"/>
        <v>-0.38980777739764078</v>
      </c>
      <c r="E226" s="10">
        <f t="shared" si="35"/>
        <v>-0.52245136612021825</v>
      </c>
      <c r="F226" s="10">
        <f t="shared" si="46"/>
        <v>0.15195010331968867</v>
      </c>
      <c r="G226" s="10">
        <f t="shared" si="46"/>
        <v>0.27295542996088235</v>
      </c>
      <c r="H226" s="11">
        <f t="shared" si="43"/>
        <v>0.20365560582568334</v>
      </c>
      <c r="I226" s="12">
        <f t="shared" si="44"/>
        <v>4.8999999999999998E-3</v>
      </c>
      <c r="J226" s="28">
        <f t="shared" si="45"/>
        <v>2.4009999999999999E-5</v>
      </c>
      <c r="K226" s="30">
        <f t="shared" si="36"/>
        <v>4.8999999999999998E-3</v>
      </c>
      <c r="L226" s="5"/>
      <c r="M226" s="30">
        <f t="shared" si="37"/>
        <v>-4.8999999999999998E-3</v>
      </c>
      <c r="N226" s="42">
        <f t="shared" si="38"/>
        <v>-4.8999999999999998E-3</v>
      </c>
      <c r="O226" s="43">
        <f t="shared" si="39"/>
        <v>2.4009999999999999E-5</v>
      </c>
      <c r="P226" s="43">
        <f t="shared" si="40"/>
        <v>-0.34013437099999999</v>
      </c>
      <c r="Q226" s="43">
        <f t="shared" si="41"/>
        <v>-0.34013437099999999</v>
      </c>
      <c r="R226" s="43">
        <f t="shared" si="42"/>
        <v>0.11569139033556564</v>
      </c>
    </row>
    <row r="227" spans="1:18" ht="15.75" customHeight="1" x14ac:dyDescent="0.3">
      <c r="A227" s="47">
        <v>38209</v>
      </c>
      <c r="B227" s="48">
        <v>0</v>
      </c>
      <c r="C227" s="49">
        <v>6.9999999999999999E-4</v>
      </c>
      <c r="D227" s="10">
        <f t="shared" si="34"/>
        <v>-0.38980777739764078</v>
      </c>
      <c r="E227" s="10">
        <f t="shared" si="35"/>
        <v>-0.52665136612021823</v>
      </c>
      <c r="F227" s="10">
        <f t="shared" si="46"/>
        <v>0.15195010331968867</v>
      </c>
      <c r="G227" s="10">
        <f t="shared" si="46"/>
        <v>0.27736166143629215</v>
      </c>
      <c r="H227" s="11">
        <f t="shared" si="43"/>
        <v>0.20529279849075344</v>
      </c>
      <c r="I227" s="12">
        <f t="shared" si="44"/>
        <v>6.9999999999999999E-4</v>
      </c>
      <c r="J227" s="28">
        <f t="shared" si="45"/>
        <v>4.8999999999999997E-7</v>
      </c>
      <c r="K227" s="30">
        <f t="shared" si="36"/>
        <v>6.9999999999999999E-4</v>
      </c>
      <c r="L227" s="5"/>
      <c r="M227" s="30">
        <f t="shared" si="37"/>
        <v>-6.9999999999999999E-4</v>
      </c>
      <c r="N227" s="42">
        <f t="shared" si="38"/>
        <v>-6.9999999999999999E-4</v>
      </c>
      <c r="O227" s="43">
        <f t="shared" si="39"/>
        <v>4.8999999999999997E-7</v>
      </c>
      <c r="P227" s="43">
        <f t="shared" si="40"/>
        <v>-0.34013437099999999</v>
      </c>
      <c r="Q227" s="43">
        <f t="shared" si="41"/>
        <v>-0.34013437099999999</v>
      </c>
      <c r="R227" s="43">
        <f t="shared" si="42"/>
        <v>0.11569139033556564</v>
      </c>
    </row>
    <row r="228" spans="1:18" ht="15.75" customHeight="1" x14ac:dyDescent="0.3">
      <c r="A228" s="47">
        <v>38210</v>
      </c>
      <c r="B228" s="48">
        <v>0</v>
      </c>
      <c r="C228" s="49">
        <v>0</v>
      </c>
      <c r="D228" s="10">
        <f t="shared" si="34"/>
        <v>-0.38980777739764078</v>
      </c>
      <c r="E228" s="10">
        <f t="shared" si="35"/>
        <v>-0.52735136612021827</v>
      </c>
      <c r="F228" s="10">
        <f t="shared" si="46"/>
        <v>0.15195010331968867</v>
      </c>
      <c r="G228" s="10">
        <f t="shared" si="46"/>
        <v>0.27809946334886049</v>
      </c>
      <c r="H228" s="11">
        <f t="shared" si="43"/>
        <v>0.20556566393493181</v>
      </c>
      <c r="I228" s="12">
        <f t="shared" si="44"/>
        <v>0</v>
      </c>
      <c r="J228" s="28">
        <f t="shared" si="45"/>
        <v>0</v>
      </c>
      <c r="K228" s="30">
        <f t="shared" si="36"/>
        <v>0</v>
      </c>
      <c r="L228" s="5"/>
      <c r="M228" s="30">
        <f t="shared" si="37"/>
        <v>0</v>
      </c>
      <c r="N228" s="42">
        <f t="shared" si="38"/>
        <v>0</v>
      </c>
      <c r="O228" s="43">
        <f t="shared" si="39"/>
        <v>0</v>
      </c>
      <c r="P228" s="43">
        <f t="shared" si="40"/>
        <v>-0.34013437099999999</v>
      </c>
      <c r="Q228" s="43">
        <f t="shared" si="41"/>
        <v>-0.34013437099999999</v>
      </c>
      <c r="R228" s="43">
        <f t="shared" si="42"/>
        <v>0.11569139033556564</v>
      </c>
    </row>
    <row r="229" spans="1:18" ht="15.75" customHeight="1" x14ac:dyDescent="0.3">
      <c r="A229" s="47">
        <v>38211</v>
      </c>
      <c r="B229" s="48">
        <v>0</v>
      </c>
      <c r="C229" s="49">
        <v>0</v>
      </c>
      <c r="D229" s="10">
        <f t="shared" si="34"/>
        <v>-0.38980777739764078</v>
      </c>
      <c r="E229" s="10">
        <f t="shared" si="35"/>
        <v>-0.52735136612021827</v>
      </c>
      <c r="F229" s="10">
        <f t="shared" si="46"/>
        <v>0.15195010331968867</v>
      </c>
      <c r="G229" s="10">
        <f t="shared" si="46"/>
        <v>0.27809946334886049</v>
      </c>
      <c r="H229" s="11">
        <f t="shared" si="43"/>
        <v>0.20556566393493181</v>
      </c>
      <c r="I229" s="12">
        <f t="shared" si="44"/>
        <v>0</v>
      </c>
      <c r="J229" s="28">
        <f t="shared" si="45"/>
        <v>0</v>
      </c>
      <c r="K229" s="30">
        <f t="shared" si="36"/>
        <v>0</v>
      </c>
      <c r="L229" s="5"/>
      <c r="M229" s="30">
        <f t="shared" si="37"/>
        <v>0</v>
      </c>
      <c r="N229" s="42">
        <f t="shared" si="38"/>
        <v>0</v>
      </c>
      <c r="O229" s="43">
        <f t="shared" si="39"/>
        <v>0</v>
      </c>
      <c r="P229" s="43">
        <f t="shared" si="40"/>
        <v>-0.34013437099999999</v>
      </c>
      <c r="Q229" s="43">
        <f t="shared" si="41"/>
        <v>-0.34013437099999999</v>
      </c>
      <c r="R229" s="43">
        <f t="shared" si="42"/>
        <v>0.11569139033556564</v>
      </c>
    </row>
    <row r="230" spans="1:18" ht="15.75" customHeight="1" x14ac:dyDescent="0.3">
      <c r="A230" s="47">
        <v>38212</v>
      </c>
      <c r="B230" s="48">
        <v>0</v>
      </c>
      <c r="C230" s="49">
        <v>1.1000000000000001E-3</v>
      </c>
      <c r="D230" s="10">
        <f t="shared" si="34"/>
        <v>-0.38980777739764078</v>
      </c>
      <c r="E230" s="10">
        <f t="shared" si="35"/>
        <v>-0.52625136612021828</v>
      </c>
      <c r="F230" s="10">
        <f t="shared" si="46"/>
        <v>0.15195010331968867</v>
      </c>
      <c r="G230" s="10">
        <f t="shared" si="46"/>
        <v>0.27694050034339601</v>
      </c>
      <c r="H230" s="11">
        <f t="shared" si="43"/>
        <v>0.20513687537979441</v>
      </c>
      <c r="I230" s="12">
        <f t="shared" si="44"/>
        <v>1.1000000000000001E-3</v>
      </c>
      <c r="J230" s="28">
        <f t="shared" si="45"/>
        <v>1.2100000000000001E-6</v>
      </c>
      <c r="K230" s="30">
        <f t="shared" si="36"/>
        <v>1.1000000000000001E-3</v>
      </c>
      <c r="L230" s="5"/>
      <c r="M230" s="30">
        <f t="shared" si="37"/>
        <v>-1.1000000000000001E-3</v>
      </c>
      <c r="N230" s="42">
        <f t="shared" si="38"/>
        <v>-1.1000000000000001E-3</v>
      </c>
      <c r="O230" s="43">
        <f t="shared" si="39"/>
        <v>1.2100000000000001E-6</v>
      </c>
      <c r="P230" s="43">
        <f t="shared" si="40"/>
        <v>-0.34013437099999999</v>
      </c>
      <c r="Q230" s="43">
        <f t="shared" si="41"/>
        <v>-0.34013437099999999</v>
      </c>
      <c r="R230" s="43">
        <f t="shared" si="42"/>
        <v>0.11569139033556564</v>
      </c>
    </row>
    <row r="231" spans="1:18" ht="15.75" customHeight="1" x14ac:dyDescent="0.3">
      <c r="A231" s="47">
        <v>38213</v>
      </c>
      <c r="B231" s="48">
        <v>0</v>
      </c>
      <c r="C231" s="49">
        <v>2.3999999999999998E-3</v>
      </c>
      <c r="D231" s="10">
        <f t="shared" si="34"/>
        <v>-0.38980777739764078</v>
      </c>
      <c r="E231" s="10">
        <f t="shared" si="35"/>
        <v>-0.52495136612021831</v>
      </c>
      <c r="F231" s="10">
        <f t="shared" si="46"/>
        <v>0.15195010331968867</v>
      </c>
      <c r="G231" s="10">
        <f t="shared" si="46"/>
        <v>0.27557393679148351</v>
      </c>
      <c r="H231" s="11">
        <f t="shared" si="43"/>
        <v>0.20463012526917748</v>
      </c>
      <c r="I231" s="12">
        <f t="shared" si="44"/>
        <v>2.3999999999999998E-3</v>
      </c>
      <c r="J231" s="28">
        <f t="shared" si="45"/>
        <v>5.7599999999999991E-6</v>
      </c>
      <c r="K231" s="30">
        <f t="shared" si="36"/>
        <v>2.3999999999999998E-3</v>
      </c>
      <c r="L231" s="5"/>
      <c r="M231" s="30">
        <f t="shared" si="37"/>
        <v>-2.3999999999999998E-3</v>
      </c>
      <c r="N231" s="42">
        <f t="shared" si="38"/>
        <v>-2.3999999999999998E-3</v>
      </c>
      <c r="O231" s="43">
        <f t="shared" si="39"/>
        <v>5.7599999999999991E-6</v>
      </c>
      <c r="P231" s="43">
        <f t="shared" si="40"/>
        <v>-0.34013437099999999</v>
      </c>
      <c r="Q231" s="43">
        <f t="shared" si="41"/>
        <v>-0.34013437099999999</v>
      </c>
      <c r="R231" s="43">
        <f t="shared" si="42"/>
        <v>0.11569139033556564</v>
      </c>
    </row>
    <row r="232" spans="1:18" ht="15.75" customHeight="1" x14ac:dyDescent="0.3">
      <c r="A232" s="47">
        <v>38214</v>
      </c>
      <c r="B232" s="48">
        <v>0</v>
      </c>
      <c r="C232" s="49">
        <v>1.8E-3</v>
      </c>
      <c r="D232" s="10">
        <f t="shared" si="34"/>
        <v>-0.38980777739764078</v>
      </c>
      <c r="E232" s="10">
        <f t="shared" si="35"/>
        <v>-0.52555136612021824</v>
      </c>
      <c r="F232" s="10">
        <f t="shared" si="46"/>
        <v>0.15195010331968867</v>
      </c>
      <c r="G232" s="10">
        <f t="shared" si="46"/>
        <v>0.2762042384308277</v>
      </c>
      <c r="H232" s="11">
        <f t="shared" si="43"/>
        <v>0.20486400993561604</v>
      </c>
      <c r="I232" s="12">
        <f t="shared" si="44"/>
        <v>1.8E-3</v>
      </c>
      <c r="J232" s="28">
        <f t="shared" si="45"/>
        <v>3.2399999999999999E-6</v>
      </c>
      <c r="K232" s="30">
        <f t="shared" si="36"/>
        <v>1.8E-3</v>
      </c>
      <c r="L232" s="5"/>
      <c r="M232" s="30">
        <f t="shared" si="37"/>
        <v>-1.8E-3</v>
      </c>
      <c r="N232" s="42">
        <f t="shared" si="38"/>
        <v>-1.8E-3</v>
      </c>
      <c r="O232" s="43">
        <f t="shared" si="39"/>
        <v>3.2399999999999999E-6</v>
      </c>
      <c r="P232" s="43">
        <f t="shared" si="40"/>
        <v>-0.34013437099999999</v>
      </c>
      <c r="Q232" s="43">
        <f t="shared" si="41"/>
        <v>-0.34013437099999999</v>
      </c>
      <c r="R232" s="43">
        <f t="shared" si="42"/>
        <v>0.11569139033556564</v>
      </c>
    </row>
    <row r="233" spans="1:18" ht="15.75" customHeight="1" x14ac:dyDescent="0.3">
      <c r="A233" s="47">
        <v>38215</v>
      </c>
      <c r="B233" s="48">
        <v>0</v>
      </c>
      <c r="C233" s="49">
        <v>5.0000000000000001E-3</v>
      </c>
      <c r="D233" s="10">
        <f t="shared" si="34"/>
        <v>-0.38980777739764078</v>
      </c>
      <c r="E233" s="10">
        <f t="shared" si="35"/>
        <v>-0.52235136612021826</v>
      </c>
      <c r="F233" s="10">
        <f t="shared" si="46"/>
        <v>0.15195010331968867</v>
      </c>
      <c r="G233" s="10">
        <f t="shared" si="46"/>
        <v>0.27285094968765833</v>
      </c>
      <c r="H233" s="11">
        <f t="shared" si="43"/>
        <v>0.20361662504794359</v>
      </c>
      <c r="I233" s="12">
        <f t="shared" si="44"/>
        <v>5.0000000000000001E-3</v>
      </c>
      <c r="J233" s="28">
        <f t="shared" si="45"/>
        <v>2.5000000000000001E-5</v>
      </c>
      <c r="K233" s="30">
        <f t="shared" si="36"/>
        <v>5.0000000000000001E-3</v>
      </c>
      <c r="L233" s="5"/>
      <c r="M233" s="30">
        <f t="shared" si="37"/>
        <v>-5.0000000000000001E-3</v>
      </c>
      <c r="N233" s="42">
        <f t="shared" si="38"/>
        <v>-5.0000000000000001E-3</v>
      </c>
      <c r="O233" s="43">
        <f t="shared" si="39"/>
        <v>2.5000000000000001E-5</v>
      </c>
      <c r="P233" s="43">
        <f t="shared" si="40"/>
        <v>-0.34013437099999999</v>
      </c>
      <c r="Q233" s="43">
        <f t="shared" si="41"/>
        <v>-0.34013437099999999</v>
      </c>
      <c r="R233" s="43">
        <f t="shared" si="42"/>
        <v>0.11569139033556564</v>
      </c>
    </row>
    <row r="234" spans="1:18" ht="15.75" customHeight="1" x14ac:dyDescent="0.3">
      <c r="A234" s="47">
        <v>38216</v>
      </c>
      <c r="B234" s="48">
        <v>0</v>
      </c>
      <c r="C234" s="49">
        <v>6.9999999999999999E-4</v>
      </c>
      <c r="D234" s="10">
        <f t="shared" si="34"/>
        <v>-0.38980777739764078</v>
      </c>
      <c r="E234" s="10">
        <f t="shared" si="35"/>
        <v>-0.52665136612021823</v>
      </c>
      <c r="F234" s="10">
        <f t="shared" si="46"/>
        <v>0.15195010331968867</v>
      </c>
      <c r="G234" s="10">
        <f t="shared" si="46"/>
        <v>0.27736166143629215</v>
      </c>
      <c r="H234" s="11">
        <f t="shared" si="43"/>
        <v>0.20529279849075344</v>
      </c>
      <c r="I234" s="12">
        <f t="shared" si="44"/>
        <v>6.9999999999999999E-4</v>
      </c>
      <c r="J234" s="28">
        <f t="shared" si="45"/>
        <v>4.8999999999999997E-7</v>
      </c>
      <c r="K234" s="30">
        <f t="shared" si="36"/>
        <v>6.9999999999999999E-4</v>
      </c>
      <c r="L234" s="5"/>
      <c r="M234" s="30">
        <f t="shared" si="37"/>
        <v>-6.9999999999999999E-4</v>
      </c>
      <c r="N234" s="42">
        <f t="shared" si="38"/>
        <v>-6.9999999999999999E-4</v>
      </c>
      <c r="O234" s="43">
        <f t="shared" si="39"/>
        <v>4.8999999999999997E-7</v>
      </c>
      <c r="P234" s="43">
        <f t="shared" si="40"/>
        <v>-0.34013437099999999</v>
      </c>
      <c r="Q234" s="43">
        <f t="shared" si="41"/>
        <v>-0.34013437099999999</v>
      </c>
      <c r="R234" s="43">
        <f t="shared" si="42"/>
        <v>0.11569139033556564</v>
      </c>
    </row>
    <row r="235" spans="1:18" ht="15.75" customHeight="1" x14ac:dyDescent="0.3">
      <c r="A235" s="47">
        <v>38217</v>
      </c>
      <c r="B235" s="48">
        <v>0</v>
      </c>
      <c r="C235" s="49">
        <v>3.7000000000000002E-3</v>
      </c>
      <c r="D235" s="10">
        <f t="shared" si="34"/>
        <v>-0.38980777739764078</v>
      </c>
      <c r="E235" s="10">
        <f t="shared" si="35"/>
        <v>-0.52365136612021823</v>
      </c>
      <c r="F235" s="10">
        <f t="shared" si="46"/>
        <v>0.15195010331968867</v>
      </c>
      <c r="G235" s="10">
        <f t="shared" si="46"/>
        <v>0.27421075323957084</v>
      </c>
      <c r="H235" s="11">
        <f t="shared" si="43"/>
        <v>0.20412337515856052</v>
      </c>
      <c r="I235" s="12">
        <f t="shared" si="44"/>
        <v>3.7000000000000002E-3</v>
      </c>
      <c r="J235" s="28">
        <f t="shared" si="45"/>
        <v>1.3690000000000001E-5</v>
      </c>
      <c r="K235" s="30">
        <f t="shared" si="36"/>
        <v>3.7000000000000002E-3</v>
      </c>
      <c r="L235" s="5"/>
      <c r="M235" s="30">
        <f t="shared" si="37"/>
        <v>-3.7000000000000002E-3</v>
      </c>
      <c r="N235" s="42">
        <f t="shared" si="38"/>
        <v>-3.7000000000000002E-3</v>
      </c>
      <c r="O235" s="43">
        <f t="shared" si="39"/>
        <v>1.3690000000000001E-5</v>
      </c>
      <c r="P235" s="43">
        <f t="shared" si="40"/>
        <v>-0.34013437099999999</v>
      </c>
      <c r="Q235" s="43">
        <f t="shared" si="41"/>
        <v>-0.34013437099999999</v>
      </c>
      <c r="R235" s="43">
        <f t="shared" si="42"/>
        <v>0.11569139033556564</v>
      </c>
    </row>
    <row r="236" spans="1:18" ht="15.75" customHeight="1" x14ac:dyDescent="0.3">
      <c r="A236" s="47">
        <v>38218</v>
      </c>
      <c r="B236" s="48">
        <v>0</v>
      </c>
      <c r="C236" s="49">
        <v>0</v>
      </c>
      <c r="D236" s="10">
        <f t="shared" si="34"/>
        <v>-0.38980777739764078</v>
      </c>
      <c r="E236" s="10">
        <f t="shared" si="35"/>
        <v>-0.52735136612021827</v>
      </c>
      <c r="F236" s="10">
        <f t="shared" si="46"/>
        <v>0.15195010331968867</v>
      </c>
      <c r="G236" s="10">
        <f t="shared" si="46"/>
        <v>0.27809946334886049</v>
      </c>
      <c r="H236" s="11">
        <f t="shared" si="43"/>
        <v>0.20556566393493181</v>
      </c>
      <c r="I236" s="12">
        <f t="shared" si="44"/>
        <v>0</v>
      </c>
      <c r="J236" s="28">
        <f t="shared" si="45"/>
        <v>0</v>
      </c>
      <c r="K236" s="30">
        <f t="shared" si="36"/>
        <v>0</v>
      </c>
      <c r="L236" s="5"/>
      <c r="M236" s="30">
        <f t="shared" si="37"/>
        <v>0</v>
      </c>
      <c r="N236" s="42">
        <f t="shared" si="38"/>
        <v>0</v>
      </c>
      <c r="O236" s="43">
        <f t="shared" si="39"/>
        <v>0</v>
      </c>
      <c r="P236" s="43">
        <f t="shared" si="40"/>
        <v>-0.34013437099999999</v>
      </c>
      <c r="Q236" s="43">
        <f t="shared" si="41"/>
        <v>-0.34013437099999999</v>
      </c>
      <c r="R236" s="43">
        <f t="shared" si="42"/>
        <v>0.11569139033556564</v>
      </c>
    </row>
    <row r="237" spans="1:18" ht="15.75" customHeight="1" x14ac:dyDescent="0.3">
      <c r="A237" s="47">
        <v>38219</v>
      </c>
      <c r="B237" s="48">
        <v>0</v>
      </c>
      <c r="C237" s="49">
        <v>2E-3</v>
      </c>
      <c r="D237" s="10">
        <f t="shared" si="34"/>
        <v>-0.38980777739764078</v>
      </c>
      <c r="E237" s="10">
        <f t="shared" si="35"/>
        <v>-0.52535136612021827</v>
      </c>
      <c r="F237" s="10">
        <f t="shared" si="46"/>
        <v>0.15195010331968867</v>
      </c>
      <c r="G237" s="10">
        <f t="shared" si="46"/>
        <v>0.27599405788437964</v>
      </c>
      <c r="H237" s="11">
        <f t="shared" si="43"/>
        <v>0.20478604838013653</v>
      </c>
      <c r="I237" s="12">
        <f t="shared" si="44"/>
        <v>2E-3</v>
      </c>
      <c r="J237" s="28">
        <f t="shared" si="45"/>
        <v>3.9999999999999998E-6</v>
      </c>
      <c r="K237" s="30">
        <f t="shared" si="36"/>
        <v>2E-3</v>
      </c>
      <c r="L237" s="5"/>
      <c r="M237" s="30">
        <f t="shared" si="37"/>
        <v>-2E-3</v>
      </c>
      <c r="N237" s="42">
        <f t="shared" si="38"/>
        <v>-2E-3</v>
      </c>
      <c r="O237" s="43">
        <f t="shared" si="39"/>
        <v>3.9999999999999998E-6</v>
      </c>
      <c r="P237" s="43">
        <f t="shared" si="40"/>
        <v>-0.34013437099999999</v>
      </c>
      <c r="Q237" s="43">
        <f t="shared" si="41"/>
        <v>-0.34013437099999999</v>
      </c>
      <c r="R237" s="43">
        <f t="shared" si="42"/>
        <v>0.11569139033556564</v>
      </c>
    </row>
    <row r="238" spans="1:18" ht="15.75" customHeight="1" x14ac:dyDescent="0.3">
      <c r="A238" s="47">
        <v>38220</v>
      </c>
      <c r="B238" s="48">
        <v>0</v>
      </c>
      <c r="C238" s="49">
        <v>4.1000000000000003E-3</v>
      </c>
      <c r="D238" s="10">
        <f t="shared" si="34"/>
        <v>-0.38980777739764078</v>
      </c>
      <c r="E238" s="10">
        <f t="shared" si="35"/>
        <v>-0.52325136612021828</v>
      </c>
      <c r="F238" s="10">
        <f t="shared" si="46"/>
        <v>0.15195010331968867</v>
      </c>
      <c r="G238" s="10">
        <f t="shared" si="46"/>
        <v>0.27379199214667471</v>
      </c>
      <c r="H238" s="11">
        <f t="shared" si="43"/>
        <v>0.20396745204760147</v>
      </c>
      <c r="I238" s="12">
        <f t="shared" si="44"/>
        <v>4.1000000000000003E-3</v>
      </c>
      <c r="J238" s="28">
        <f t="shared" si="45"/>
        <v>1.6810000000000003E-5</v>
      </c>
      <c r="K238" s="30">
        <f t="shared" si="36"/>
        <v>4.1000000000000003E-3</v>
      </c>
      <c r="L238" s="5"/>
      <c r="M238" s="30">
        <f t="shared" si="37"/>
        <v>-4.1000000000000003E-3</v>
      </c>
      <c r="N238" s="42">
        <f t="shared" si="38"/>
        <v>-4.1000000000000003E-3</v>
      </c>
      <c r="O238" s="43">
        <f t="shared" si="39"/>
        <v>1.6810000000000003E-5</v>
      </c>
      <c r="P238" s="43">
        <f t="shared" si="40"/>
        <v>-0.34013437099999999</v>
      </c>
      <c r="Q238" s="43">
        <f t="shared" si="41"/>
        <v>-0.34013437099999999</v>
      </c>
      <c r="R238" s="43">
        <f t="shared" si="42"/>
        <v>0.11569139033556564</v>
      </c>
    </row>
    <row r="239" spans="1:18" ht="15.75" customHeight="1" x14ac:dyDescent="0.3">
      <c r="A239" s="47">
        <v>38221</v>
      </c>
      <c r="B239" s="48">
        <v>0</v>
      </c>
      <c r="C239" s="49">
        <v>0</v>
      </c>
      <c r="D239" s="10">
        <f t="shared" si="34"/>
        <v>-0.38980777739764078</v>
      </c>
      <c r="E239" s="10">
        <f t="shared" si="35"/>
        <v>-0.52735136612021827</v>
      </c>
      <c r="F239" s="10">
        <f t="shared" si="46"/>
        <v>0.15195010331968867</v>
      </c>
      <c r="G239" s="10">
        <f t="shared" si="46"/>
        <v>0.27809946334886049</v>
      </c>
      <c r="H239" s="11">
        <f t="shared" si="43"/>
        <v>0.20556566393493181</v>
      </c>
      <c r="I239" s="12">
        <f t="shared" si="44"/>
        <v>0</v>
      </c>
      <c r="J239" s="28">
        <f t="shared" si="45"/>
        <v>0</v>
      </c>
      <c r="K239" s="30">
        <f t="shared" si="36"/>
        <v>0</v>
      </c>
      <c r="L239" s="5"/>
      <c r="M239" s="30">
        <f t="shared" si="37"/>
        <v>0</v>
      </c>
      <c r="N239" s="42">
        <f t="shared" si="38"/>
        <v>0</v>
      </c>
      <c r="O239" s="43">
        <f t="shared" si="39"/>
        <v>0</v>
      </c>
      <c r="P239" s="43">
        <f t="shared" si="40"/>
        <v>-0.34013437099999999</v>
      </c>
      <c r="Q239" s="43">
        <f t="shared" si="41"/>
        <v>-0.34013437099999999</v>
      </c>
      <c r="R239" s="43">
        <f t="shared" si="42"/>
        <v>0.11569139033556564</v>
      </c>
    </row>
    <row r="240" spans="1:18" ht="15.75" customHeight="1" x14ac:dyDescent="0.3">
      <c r="A240" s="47">
        <v>38222</v>
      </c>
      <c r="B240" s="48">
        <v>0</v>
      </c>
      <c r="C240" s="49">
        <v>1.6000000000000001E-3</v>
      </c>
      <c r="D240" s="10">
        <f t="shared" si="34"/>
        <v>-0.38980777739764078</v>
      </c>
      <c r="E240" s="10">
        <f t="shared" si="35"/>
        <v>-0.52575136612021822</v>
      </c>
      <c r="F240" s="10">
        <f t="shared" si="46"/>
        <v>0.15195010331968867</v>
      </c>
      <c r="G240" s="10">
        <f t="shared" si="46"/>
        <v>0.27641449897727577</v>
      </c>
      <c r="H240" s="11">
        <f t="shared" si="43"/>
        <v>0.20494197149109555</v>
      </c>
      <c r="I240" s="12">
        <f t="shared" si="44"/>
        <v>1.6000000000000001E-3</v>
      </c>
      <c r="J240" s="28">
        <f t="shared" si="45"/>
        <v>2.5600000000000001E-6</v>
      </c>
      <c r="K240" s="30">
        <f t="shared" si="36"/>
        <v>1.6000000000000001E-3</v>
      </c>
      <c r="L240" s="5"/>
      <c r="M240" s="30">
        <f t="shared" si="37"/>
        <v>-1.6000000000000001E-3</v>
      </c>
      <c r="N240" s="42">
        <f t="shared" si="38"/>
        <v>-1.6000000000000001E-3</v>
      </c>
      <c r="O240" s="43">
        <f t="shared" si="39"/>
        <v>2.5600000000000001E-6</v>
      </c>
      <c r="P240" s="43">
        <f t="shared" si="40"/>
        <v>-0.34013437099999999</v>
      </c>
      <c r="Q240" s="43">
        <f t="shared" si="41"/>
        <v>-0.34013437099999999</v>
      </c>
      <c r="R240" s="43">
        <f t="shared" si="42"/>
        <v>0.11569139033556564</v>
      </c>
    </row>
    <row r="241" spans="1:18" ht="15.75" customHeight="1" x14ac:dyDescent="0.3">
      <c r="A241" s="47">
        <v>38223</v>
      </c>
      <c r="B241" s="48">
        <v>0</v>
      </c>
      <c r="C241" s="49">
        <v>4.1999999999999997E-3</v>
      </c>
      <c r="D241" s="10">
        <f t="shared" si="34"/>
        <v>-0.38980777739764078</v>
      </c>
      <c r="E241" s="10">
        <f t="shared" si="35"/>
        <v>-0.52315136612021829</v>
      </c>
      <c r="F241" s="10">
        <f t="shared" si="46"/>
        <v>0.15195010331968867</v>
      </c>
      <c r="G241" s="10">
        <f t="shared" si="46"/>
        <v>0.27368735187345067</v>
      </c>
      <c r="H241" s="11">
        <f t="shared" si="43"/>
        <v>0.20392847126986172</v>
      </c>
      <c r="I241" s="12">
        <f t="shared" si="44"/>
        <v>4.1999999999999997E-3</v>
      </c>
      <c r="J241" s="28">
        <f t="shared" si="45"/>
        <v>1.7639999999999997E-5</v>
      </c>
      <c r="K241" s="30">
        <f t="shared" si="36"/>
        <v>4.1999999999999997E-3</v>
      </c>
      <c r="L241" s="5"/>
      <c r="M241" s="30">
        <f t="shared" si="37"/>
        <v>-4.1999999999999997E-3</v>
      </c>
      <c r="N241" s="42">
        <f t="shared" si="38"/>
        <v>-4.1999999999999997E-3</v>
      </c>
      <c r="O241" s="43">
        <f t="shared" si="39"/>
        <v>1.7639999999999997E-5</v>
      </c>
      <c r="P241" s="43">
        <f t="shared" si="40"/>
        <v>-0.34013437099999999</v>
      </c>
      <c r="Q241" s="43">
        <f t="shared" si="41"/>
        <v>-0.34013437099999999</v>
      </c>
      <c r="R241" s="43">
        <f t="shared" si="42"/>
        <v>0.11569139033556564</v>
      </c>
    </row>
    <row r="242" spans="1:18" ht="15.75" customHeight="1" x14ac:dyDescent="0.3">
      <c r="A242" s="47">
        <v>38224</v>
      </c>
      <c r="B242" s="48">
        <v>0</v>
      </c>
      <c r="C242" s="49">
        <v>1.26E-2</v>
      </c>
      <c r="D242" s="10">
        <f t="shared" si="34"/>
        <v>-0.38980777739764078</v>
      </c>
      <c r="E242" s="10">
        <f t="shared" si="35"/>
        <v>-0.51475136612021832</v>
      </c>
      <c r="F242" s="10">
        <f t="shared" si="46"/>
        <v>0.15195010331968867</v>
      </c>
      <c r="G242" s="10">
        <f t="shared" si="46"/>
        <v>0.26496896892263105</v>
      </c>
      <c r="H242" s="11">
        <f t="shared" si="43"/>
        <v>0.20065408593972156</v>
      </c>
      <c r="I242" s="12">
        <f t="shared" si="44"/>
        <v>1.26E-2</v>
      </c>
      <c r="J242" s="28">
        <f t="shared" si="45"/>
        <v>1.5876E-4</v>
      </c>
      <c r="K242" s="30">
        <f t="shared" si="36"/>
        <v>1.26E-2</v>
      </c>
      <c r="L242" s="5"/>
      <c r="M242" s="30">
        <f t="shared" si="37"/>
        <v>-1.26E-2</v>
      </c>
      <c r="N242" s="42">
        <f t="shared" si="38"/>
        <v>-1.26E-2</v>
      </c>
      <c r="O242" s="43">
        <f t="shared" si="39"/>
        <v>1.5876E-4</v>
      </c>
      <c r="P242" s="43">
        <f t="shared" si="40"/>
        <v>-0.34013437099999999</v>
      </c>
      <c r="Q242" s="43">
        <f t="shared" si="41"/>
        <v>-0.34013437099999999</v>
      </c>
      <c r="R242" s="43">
        <f t="shared" si="42"/>
        <v>0.11569139033556564</v>
      </c>
    </row>
    <row r="243" spans="1:18" ht="15.75" customHeight="1" x14ac:dyDescent="0.3">
      <c r="A243" s="47">
        <v>38225</v>
      </c>
      <c r="B243" s="48">
        <v>0</v>
      </c>
      <c r="C243" s="49">
        <v>2.7000000000000001E-3</v>
      </c>
      <c r="D243" s="10">
        <f t="shared" si="34"/>
        <v>-0.38980777739764078</v>
      </c>
      <c r="E243" s="10">
        <f t="shared" si="35"/>
        <v>-0.52465136612021823</v>
      </c>
      <c r="F243" s="10">
        <f t="shared" si="46"/>
        <v>0.15195010331968867</v>
      </c>
      <c r="G243" s="10">
        <f t="shared" si="46"/>
        <v>0.27525905597181127</v>
      </c>
      <c r="H243" s="11">
        <f t="shared" si="43"/>
        <v>0.20451318293595816</v>
      </c>
      <c r="I243" s="12">
        <f t="shared" si="44"/>
        <v>2.7000000000000001E-3</v>
      </c>
      <c r="J243" s="28">
        <f t="shared" si="45"/>
        <v>7.2900000000000005E-6</v>
      </c>
      <c r="K243" s="30">
        <f t="shared" si="36"/>
        <v>2.7000000000000001E-3</v>
      </c>
      <c r="L243" s="5"/>
      <c r="M243" s="30">
        <f t="shared" si="37"/>
        <v>-2.7000000000000001E-3</v>
      </c>
      <c r="N243" s="42">
        <f t="shared" si="38"/>
        <v>-2.7000000000000001E-3</v>
      </c>
      <c r="O243" s="43">
        <f t="shared" si="39"/>
        <v>7.2900000000000005E-6</v>
      </c>
      <c r="P243" s="43">
        <f t="shared" si="40"/>
        <v>-0.34013437099999999</v>
      </c>
      <c r="Q243" s="43">
        <f t="shared" si="41"/>
        <v>-0.34013437099999999</v>
      </c>
      <c r="R243" s="43">
        <f t="shared" si="42"/>
        <v>0.11569139033556564</v>
      </c>
    </row>
    <row r="244" spans="1:18" ht="15.75" customHeight="1" x14ac:dyDescent="0.3">
      <c r="A244" s="47">
        <v>38226</v>
      </c>
      <c r="B244" s="48">
        <v>0</v>
      </c>
      <c r="C244" s="49">
        <v>0</v>
      </c>
      <c r="D244" s="10">
        <f t="shared" si="34"/>
        <v>-0.38980777739764078</v>
      </c>
      <c r="E244" s="10">
        <f t="shared" si="35"/>
        <v>-0.52735136612021827</v>
      </c>
      <c r="F244" s="10">
        <f t="shared" si="46"/>
        <v>0.15195010331968867</v>
      </c>
      <c r="G244" s="10">
        <f t="shared" si="46"/>
        <v>0.27809946334886049</v>
      </c>
      <c r="H244" s="11">
        <f t="shared" si="43"/>
        <v>0.20556566393493181</v>
      </c>
      <c r="I244" s="12">
        <f t="shared" si="44"/>
        <v>0</v>
      </c>
      <c r="J244" s="28">
        <f t="shared" si="45"/>
        <v>0</v>
      </c>
      <c r="K244" s="30">
        <f t="shared" si="36"/>
        <v>0</v>
      </c>
      <c r="L244" s="5"/>
      <c r="M244" s="30">
        <f t="shared" si="37"/>
        <v>0</v>
      </c>
      <c r="N244" s="42">
        <f t="shared" si="38"/>
        <v>0</v>
      </c>
      <c r="O244" s="43">
        <f t="shared" si="39"/>
        <v>0</v>
      </c>
      <c r="P244" s="43">
        <f t="shared" si="40"/>
        <v>-0.34013437099999999</v>
      </c>
      <c r="Q244" s="43">
        <f t="shared" si="41"/>
        <v>-0.34013437099999999</v>
      </c>
      <c r="R244" s="43">
        <f t="shared" si="42"/>
        <v>0.11569139033556564</v>
      </c>
    </row>
    <row r="245" spans="1:18" ht="15.75" customHeight="1" x14ac:dyDescent="0.3">
      <c r="A245" s="47">
        <v>38227</v>
      </c>
      <c r="B245" s="48">
        <v>0</v>
      </c>
      <c r="C245" s="49">
        <v>1.6999999999999999E-3</v>
      </c>
      <c r="D245" s="10">
        <f t="shared" si="34"/>
        <v>-0.38980777739764078</v>
      </c>
      <c r="E245" s="10">
        <f t="shared" si="35"/>
        <v>-0.52565136612021823</v>
      </c>
      <c r="F245" s="10">
        <f t="shared" si="46"/>
        <v>0.15195010331968867</v>
      </c>
      <c r="G245" s="10">
        <f t="shared" si="46"/>
        <v>0.27630935870405171</v>
      </c>
      <c r="H245" s="11">
        <f t="shared" si="43"/>
        <v>0.2049029907133558</v>
      </c>
      <c r="I245" s="12">
        <f t="shared" si="44"/>
        <v>1.6999999999999999E-3</v>
      </c>
      <c r="J245" s="28">
        <f t="shared" si="45"/>
        <v>2.8899999999999999E-6</v>
      </c>
      <c r="K245" s="30">
        <f t="shared" si="36"/>
        <v>1.6999999999999999E-3</v>
      </c>
      <c r="L245" s="5"/>
      <c r="M245" s="30">
        <f t="shared" si="37"/>
        <v>-1.6999999999999999E-3</v>
      </c>
      <c r="N245" s="42">
        <f t="shared" si="38"/>
        <v>-1.6999999999999999E-3</v>
      </c>
      <c r="O245" s="43">
        <f t="shared" si="39"/>
        <v>2.8899999999999999E-6</v>
      </c>
      <c r="P245" s="43">
        <f t="shared" si="40"/>
        <v>-0.34013437099999999</v>
      </c>
      <c r="Q245" s="43">
        <f t="shared" si="41"/>
        <v>-0.34013437099999999</v>
      </c>
      <c r="R245" s="43">
        <f t="shared" si="42"/>
        <v>0.11569139033556564</v>
      </c>
    </row>
    <row r="246" spans="1:18" ht="15.75" customHeight="1" x14ac:dyDescent="0.3">
      <c r="A246" s="47">
        <v>38228</v>
      </c>
      <c r="B246" s="48">
        <v>0</v>
      </c>
      <c r="C246" s="49">
        <v>0</v>
      </c>
      <c r="D246" s="10">
        <f t="shared" si="34"/>
        <v>-0.38980777739764078</v>
      </c>
      <c r="E246" s="10">
        <f t="shared" si="35"/>
        <v>-0.52735136612021827</v>
      </c>
      <c r="F246" s="10">
        <f t="shared" si="46"/>
        <v>0.15195010331968867</v>
      </c>
      <c r="G246" s="10">
        <f t="shared" si="46"/>
        <v>0.27809946334886049</v>
      </c>
      <c r="H246" s="11">
        <f t="shared" si="43"/>
        <v>0.20556566393493181</v>
      </c>
      <c r="I246" s="12">
        <f t="shared" si="44"/>
        <v>0</v>
      </c>
      <c r="J246" s="28">
        <f t="shared" si="45"/>
        <v>0</v>
      </c>
      <c r="K246" s="30">
        <f t="shared" si="36"/>
        <v>0</v>
      </c>
      <c r="L246" s="5"/>
      <c r="M246" s="30">
        <f t="shared" si="37"/>
        <v>0</v>
      </c>
      <c r="N246" s="42">
        <f t="shared" si="38"/>
        <v>0</v>
      </c>
      <c r="O246" s="43">
        <f t="shared" si="39"/>
        <v>0</v>
      </c>
      <c r="P246" s="43">
        <f t="shared" si="40"/>
        <v>-0.34013437099999999</v>
      </c>
      <c r="Q246" s="43">
        <f t="shared" si="41"/>
        <v>-0.34013437099999999</v>
      </c>
      <c r="R246" s="43">
        <f t="shared" si="42"/>
        <v>0.11569139033556564</v>
      </c>
    </row>
    <row r="247" spans="1:18" ht="15.75" customHeight="1" x14ac:dyDescent="0.3">
      <c r="A247" s="47">
        <v>38229</v>
      </c>
      <c r="B247" s="48">
        <v>0</v>
      </c>
      <c r="C247" s="49">
        <v>0</v>
      </c>
      <c r="D247" s="10">
        <f t="shared" si="34"/>
        <v>-0.38980777739764078</v>
      </c>
      <c r="E247" s="10">
        <f t="shared" si="35"/>
        <v>-0.52735136612021827</v>
      </c>
      <c r="F247" s="10">
        <f t="shared" si="46"/>
        <v>0.15195010331968867</v>
      </c>
      <c r="G247" s="10">
        <f t="shared" si="46"/>
        <v>0.27809946334886049</v>
      </c>
      <c r="H247" s="11">
        <f t="shared" si="43"/>
        <v>0.20556566393493181</v>
      </c>
      <c r="I247" s="12">
        <f t="shared" si="44"/>
        <v>0</v>
      </c>
      <c r="J247" s="28">
        <f t="shared" si="45"/>
        <v>0</v>
      </c>
      <c r="K247" s="30">
        <f t="shared" si="36"/>
        <v>0</v>
      </c>
      <c r="L247" s="5"/>
      <c r="M247" s="30">
        <f t="shared" si="37"/>
        <v>0</v>
      </c>
      <c r="N247" s="42">
        <f t="shared" si="38"/>
        <v>0</v>
      </c>
      <c r="O247" s="43">
        <f t="shared" si="39"/>
        <v>0</v>
      </c>
      <c r="P247" s="43">
        <f t="shared" si="40"/>
        <v>-0.34013437099999999</v>
      </c>
      <c r="Q247" s="43">
        <f t="shared" si="41"/>
        <v>-0.34013437099999999</v>
      </c>
      <c r="R247" s="43">
        <f t="shared" si="42"/>
        <v>0.11569139033556564</v>
      </c>
    </row>
    <row r="248" spans="1:18" ht="15.75" customHeight="1" x14ac:dyDescent="0.3">
      <c r="A248" s="47">
        <v>38230</v>
      </c>
      <c r="B248" s="48">
        <v>0</v>
      </c>
      <c r="C248" s="49">
        <v>3.2000000000000002E-3</v>
      </c>
      <c r="D248" s="10">
        <f t="shared" si="34"/>
        <v>-0.38980777739764078</v>
      </c>
      <c r="E248" s="10">
        <f t="shared" si="35"/>
        <v>-0.52415136612021829</v>
      </c>
      <c r="F248" s="10">
        <f t="shared" si="46"/>
        <v>0.15195010331968867</v>
      </c>
      <c r="G248" s="10">
        <f t="shared" si="46"/>
        <v>0.27473465460569113</v>
      </c>
      <c r="H248" s="11">
        <f t="shared" si="43"/>
        <v>0.20431827904725935</v>
      </c>
      <c r="I248" s="12">
        <f t="shared" si="44"/>
        <v>3.2000000000000002E-3</v>
      </c>
      <c r="J248" s="28">
        <f t="shared" si="45"/>
        <v>1.024E-5</v>
      </c>
      <c r="K248" s="30">
        <f t="shared" si="36"/>
        <v>3.2000000000000002E-3</v>
      </c>
      <c r="L248" s="5"/>
      <c r="M248" s="30">
        <f t="shared" si="37"/>
        <v>-3.2000000000000002E-3</v>
      </c>
      <c r="N248" s="42">
        <f t="shared" si="38"/>
        <v>-3.2000000000000002E-3</v>
      </c>
      <c r="O248" s="43">
        <f t="shared" si="39"/>
        <v>1.024E-5</v>
      </c>
      <c r="P248" s="43">
        <f t="shared" si="40"/>
        <v>-0.34013437099999999</v>
      </c>
      <c r="Q248" s="43">
        <f t="shared" si="41"/>
        <v>-0.34013437099999999</v>
      </c>
      <c r="R248" s="43">
        <f t="shared" si="42"/>
        <v>0.11569139033556564</v>
      </c>
    </row>
    <row r="249" spans="1:18" ht="15.75" customHeight="1" x14ac:dyDescent="0.3">
      <c r="A249" s="47">
        <v>38231</v>
      </c>
      <c r="B249" s="48">
        <v>0</v>
      </c>
      <c r="C249" s="49">
        <v>0</v>
      </c>
      <c r="D249" s="10">
        <f t="shared" si="34"/>
        <v>-0.38980777739764078</v>
      </c>
      <c r="E249" s="10">
        <f t="shared" si="35"/>
        <v>-0.52735136612021827</v>
      </c>
      <c r="F249" s="10">
        <f t="shared" si="46"/>
        <v>0.15195010331968867</v>
      </c>
      <c r="G249" s="10">
        <f t="shared" si="46"/>
        <v>0.27809946334886049</v>
      </c>
      <c r="H249" s="11">
        <f t="shared" si="43"/>
        <v>0.20556566393493181</v>
      </c>
      <c r="I249" s="12">
        <f t="shared" si="44"/>
        <v>0</v>
      </c>
      <c r="J249" s="28">
        <f t="shared" si="45"/>
        <v>0</v>
      </c>
      <c r="K249" s="30">
        <f t="shared" si="36"/>
        <v>0</v>
      </c>
      <c r="L249" s="5"/>
      <c r="M249" s="30">
        <f t="shared" si="37"/>
        <v>0</v>
      </c>
      <c r="N249" s="42">
        <f t="shared" si="38"/>
        <v>0</v>
      </c>
      <c r="O249" s="43">
        <f t="shared" si="39"/>
        <v>0</v>
      </c>
      <c r="P249" s="43">
        <f t="shared" si="40"/>
        <v>-0.34013437099999999</v>
      </c>
      <c r="Q249" s="43">
        <f t="shared" si="41"/>
        <v>-0.34013437099999999</v>
      </c>
      <c r="R249" s="43">
        <f t="shared" si="42"/>
        <v>0.11569139033556564</v>
      </c>
    </row>
    <row r="250" spans="1:18" ht="15.75" customHeight="1" x14ac:dyDescent="0.3">
      <c r="A250" s="47">
        <v>38232</v>
      </c>
      <c r="B250" s="48">
        <v>0</v>
      </c>
      <c r="C250" s="49">
        <v>0</v>
      </c>
      <c r="D250" s="10">
        <f t="shared" si="34"/>
        <v>-0.38980777739764078</v>
      </c>
      <c r="E250" s="10">
        <f t="shared" si="35"/>
        <v>-0.52735136612021827</v>
      </c>
      <c r="F250" s="10">
        <f t="shared" si="46"/>
        <v>0.15195010331968867</v>
      </c>
      <c r="G250" s="10">
        <f t="shared" si="46"/>
        <v>0.27809946334886049</v>
      </c>
      <c r="H250" s="11">
        <f t="shared" si="43"/>
        <v>0.20556566393493181</v>
      </c>
      <c r="I250" s="12">
        <f t="shared" si="44"/>
        <v>0</v>
      </c>
      <c r="J250" s="28">
        <f t="shared" si="45"/>
        <v>0</v>
      </c>
      <c r="K250" s="30">
        <f t="shared" si="36"/>
        <v>0</v>
      </c>
      <c r="L250" s="5"/>
      <c r="M250" s="30">
        <f t="shared" si="37"/>
        <v>0</v>
      </c>
      <c r="N250" s="42">
        <f t="shared" si="38"/>
        <v>0</v>
      </c>
      <c r="O250" s="43">
        <f t="shared" si="39"/>
        <v>0</v>
      </c>
      <c r="P250" s="43">
        <f t="shared" si="40"/>
        <v>-0.34013437099999999</v>
      </c>
      <c r="Q250" s="43">
        <f t="shared" si="41"/>
        <v>-0.34013437099999999</v>
      </c>
      <c r="R250" s="43">
        <f t="shared" si="42"/>
        <v>0.11569139033556564</v>
      </c>
    </row>
    <row r="251" spans="1:18" ht="15.75" customHeight="1" x14ac:dyDescent="0.3">
      <c r="A251" s="47">
        <v>38233</v>
      </c>
      <c r="B251" s="48">
        <v>0</v>
      </c>
      <c r="C251" s="49">
        <v>6.7999999999999996E-3</v>
      </c>
      <c r="D251" s="10">
        <f t="shared" si="34"/>
        <v>-0.38980777739764078</v>
      </c>
      <c r="E251" s="10">
        <f t="shared" si="35"/>
        <v>-0.52055136612021824</v>
      </c>
      <c r="F251" s="10">
        <f t="shared" si="46"/>
        <v>0.15195010331968867</v>
      </c>
      <c r="G251" s="10">
        <f t="shared" si="46"/>
        <v>0.2709737247696255</v>
      </c>
      <c r="H251" s="11">
        <f t="shared" si="43"/>
        <v>0.20291497104862782</v>
      </c>
      <c r="I251" s="12">
        <f t="shared" si="44"/>
        <v>6.7999999999999996E-3</v>
      </c>
      <c r="J251" s="28">
        <f t="shared" si="45"/>
        <v>4.6239999999999998E-5</v>
      </c>
      <c r="K251" s="30">
        <f t="shared" si="36"/>
        <v>6.7999999999999996E-3</v>
      </c>
      <c r="L251" s="5"/>
      <c r="M251" s="30">
        <f t="shared" si="37"/>
        <v>-6.7999999999999996E-3</v>
      </c>
      <c r="N251" s="42">
        <f t="shared" si="38"/>
        <v>-6.7999999999999996E-3</v>
      </c>
      <c r="O251" s="43">
        <f t="shared" si="39"/>
        <v>4.6239999999999998E-5</v>
      </c>
      <c r="P251" s="43">
        <f t="shared" si="40"/>
        <v>-0.34013437099999999</v>
      </c>
      <c r="Q251" s="43">
        <f t="shared" si="41"/>
        <v>-0.34013437099999999</v>
      </c>
      <c r="R251" s="43">
        <f t="shared" si="42"/>
        <v>0.11569139033556564</v>
      </c>
    </row>
    <row r="252" spans="1:18" ht="15.75" customHeight="1" x14ac:dyDescent="0.3">
      <c r="A252" s="47">
        <v>38234</v>
      </c>
      <c r="B252" s="48">
        <v>0</v>
      </c>
      <c r="C252" s="49">
        <v>1.5299999999999999E-2</v>
      </c>
      <c r="D252" s="10">
        <f t="shared" si="34"/>
        <v>-0.38980777739764078</v>
      </c>
      <c r="E252" s="10">
        <f t="shared" si="35"/>
        <v>-0.51205136612021829</v>
      </c>
      <c r="F252" s="10">
        <f t="shared" si="46"/>
        <v>0.15195010331968867</v>
      </c>
      <c r="G252" s="10">
        <f t="shared" si="46"/>
        <v>0.26219660154558183</v>
      </c>
      <c r="H252" s="11">
        <f t="shared" si="43"/>
        <v>0.19960160494074791</v>
      </c>
      <c r="I252" s="12">
        <f t="shared" si="44"/>
        <v>1.5299999999999999E-2</v>
      </c>
      <c r="J252" s="28">
        <f t="shared" si="45"/>
        <v>2.3408999999999998E-4</v>
      </c>
      <c r="K252" s="30">
        <f t="shared" si="36"/>
        <v>1.5299999999999999E-2</v>
      </c>
      <c r="L252" s="5"/>
      <c r="M252" s="30">
        <f t="shared" si="37"/>
        <v>-1.5299999999999999E-2</v>
      </c>
      <c r="N252" s="42">
        <f t="shared" si="38"/>
        <v>-1.5299999999999999E-2</v>
      </c>
      <c r="O252" s="43">
        <f t="shared" si="39"/>
        <v>2.3408999999999998E-4</v>
      </c>
      <c r="P252" s="43">
        <f t="shared" si="40"/>
        <v>-0.34013437099999999</v>
      </c>
      <c r="Q252" s="43">
        <f t="shared" si="41"/>
        <v>-0.34013437099999999</v>
      </c>
      <c r="R252" s="43">
        <f t="shared" si="42"/>
        <v>0.11569139033556564</v>
      </c>
    </row>
    <row r="253" spans="1:18" ht="15.75" customHeight="1" x14ac:dyDescent="0.3">
      <c r="A253" s="47">
        <v>38235</v>
      </c>
      <c r="B253" s="48">
        <v>0</v>
      </c>
      <c r="C253" s="49">
        <v>3.8E-3</v>
      </c>
      <c r="D253" s="10">
        <f t="shared" si="34"/>
        <v>-0.38980777739764078</v>
      </c>
      <c r="E253" s="10">
        <f t="shared" si="35"/>
        <v>-0.52355136612021824</v>
      </c>
      <c r="F253" s="10">
        <f t="shared" si="46"/>
        <v>0.15195010331968867</v>
      </c>
      <c r="G253" s="10">
        <f t="shared" si="46"/>
        <v>0.27410603296634678</v>
      </c>
      <c r="H253" s="11">
        <f t="shared" si="43"/>
        <v>0.20408439438082077</v>
      </c>
      <c r="I253" s="12">
        <f t="shared" si="44"/>
        <v>3.8E-3</v>
      </c>
      <c r="J253" s="28">
        <f t="shared" si="45"/>
        <v>1.4440000000000001E-5</v>
      </c>
      <c r="K253" s="30">
        <f t="shared" si="36"/>
        <v>3.8E-3</v>
      </c>
      <c r="L253" s="5"/>
      <c r="M253" s="30">
        <f t="shared" si="37"/>
        <v>-3.8E-3</v>
      </c>
      <c r="N253" s="42">
        <f t="shared" si="38"/>
        <v>-3.8E-3</v>
      </c>
      <c r="O253" s="43">
        <f t="shared" si="39"/>
        <v>1.4440000000000001E-5</v>
      </c>
      <c r="P253" s="43">
        <f t="shared" si="40"/>
        <v>-0.34013437099999999</v>
      </c>
      <c r="Q253" s="43">
        <f t="shared" si="41"/>
        <v>-0.34013437099999999</v>
      </c>
      <c r="R253" s="43">
        <f t="shared" si="42"/>
        <v>0.11569139033556564</v>
      </c>
    </row>
    <row r="254" spans="1:18" ht="15.75" customHeight="1" x14ac:dyDescent="0.3">
      <c r="A254" s="47">
        <v>38236</v>
      </c>
      <c r="B254" s="48">
        <v>0</v>
      </c>
      <c r="C254" s="49">
        <v>0</v>
      </c>
      <c r="D254" s="10">
        <f t="shared" si="34"/>
        <v>-0.38980777739764078</v>
      </c>
      <c r="E254" s="10">
        <f t="shared" si="35"/>
        <v>-0.52735136612021827</v>
      </c>
      <c r="F254" s="10">
        <f t="shared" si="46"/>
        <v>0.15195010331968867</v>
      </c>
      <c r="G254" s="10">
        <f t="shared" si="46"/>
        <v>0.27809946334886049</v>
      </c>
      <c r="H254" s="11">
        <f t="shared" si="43"/>
        <v>0.20556566393493181</v>
      </c>
      <c r="I254" s="12">
        <f t="shared" si="44"/>
        <v>0</v>
      </c>
      <c r="J254" s="28">
        <f t="shared" si="45"/>
        <v>0</v>
      </c>
      <c r="K254" s="30">
        <f t="shared" si="36"/>
        <v>0</v>
      </c>
      <c r="L254" s="5"/>
      <c r="M254" s="30">
        <f t="shared" si="37"/>
        <v>0</v>
      </c>
      <c r="N254" s="42">
        <f t="shared" si="38"/>
        <v>0</v>
      </c>
      <c r="O254" s="43">
        <f t="shared" si="39"/>
        <v>0</v>
      </c>
      <c r="P254" s="43">
        <f t="shared" si="40"/>
        <v>-0.34013437099999999</v>
      </c>
      <c r="Q254" s="43">
        <f t="shared" si="41"/>
        <v>-0.34013437099999999</v>
      </c>
      <c r="R254" s="43">
        <f t="shared" si="42"/>
        <v>0.11569139033556564</v>
      </c>
    </row>
    <row r="255" spans="1:18" ht="15.75" customHeight="1" x14ac:dyDescent="0.3">
      <c r="A255" s="47">
        <v>38237</v>
      </c>
      <c r="B255" s="48">
        <v>0</v>
      </c>
      <c r="C255" s="49">
        <v>8.9999999999999998E-4</v>
      </c>
      <c r="D255" s="10">
        <f t="shared" si="34"/>
        <v>-0.38980777739764078</v>
      </c>
      <c r="E255" s="10">
        <f t="shared" si="35"/>
        <v>-0.52645136612021826</v>
      </c>
      <c r="F255" s="10">
        <f t="shared" si="46"/>
        <v>0.15195010331968867</v>
      </c>
      <c r="G255" s="10">
        <f t="shared" si="46"/>
        <v>0.2771510408898441</v>
      </c>
      <c r="H255" s="11">
        <f t="shared" si="43"/>
        <v>0.20521483693527393</v>
      </c>
      <c r="I255" s="12">
        <f t="shared" si="44"/>
        <v>8.9999999999999998E-4</v>
      </c>
      <c r="J255" s="28">
        <f t="shared" si="45"/>
        <v>8.0999999999999997E-7</v>
      </c>
      <c r="K255" s="30">
        <f t="shared" si="36"/>
        <v>8.9999999999999998E-4</v>
      </c>
      <c r="L255" s="5"/>
      <c r="M255" s="30">
        <f t="shared" si="37"/>
        <v>-8.9999999999999998E-4</v>
      </c>
      <c r="N255" s="42">
        <f t="shared" si="38"/>
        <v>-8.9999999999999998E-4</v>
      </c>
      <c r="O255" s="43">
        <f t="shared" si="39"/>
        <v>8.0999999999999997E-7</v>
      </c>
      <c r="P255" s="43">
        <f t="shared" si="40"/>
        <v>-0.34013437099999999</v>
      </c>
      <c r="Q255" s="43">
        <f t="shared" si="41"/>
        <v>-0.34013437099999999</v>
      </c>
      <c r="R255" s="43">
        <f t="shared" si="42"/>
        <v>0.11569139033556564</v>
      </c>
    </row>
    <row r="256" spans="1:18" ht="15.75" customHeight="1" x14ac:dyDescent="0.3">
      <c r="A256" s="47">
        <v>38238</v>
      </c>
      <c r="B256" s="48">
        <v>0</v>
      </c>
      <c r="C256" s="49">
        <v>5.1000000000000004E-3</v>
      </c>
      <c r="D256" s="10">
        <f t="shared" si="34"/>
        <v>-0.38980777739764078</v>
      </c>
      <c r="E256" s="10">
        <f t="shared" si="35"/>
        <v>-0.52225136612021827</v>
      </c>
      <c r="F256" s="10">
        <f t="shared" si="46"/>
        <v>0.15195010331968867</v>
      </c>
      <c r="G256" s="10">
        <f t="shared" si="46"/>
        <v>0.27274648941443425</v>
      </c>
      <c r="H256" s="11">
        <f t="shared" si="43"/>
        <v>0.20357764427020383</v>
      </c>
      <c r="I256" s="12">
        <f t="shared" si="44"/>
        <v>5.1000000000000004E-3</v>
      </c>
      <c r="J256" s="28">
        <f t="shared" si="45"/>
        <v>2.6010000000000003E-5</v>
      </c>
      <c r="K256" s="30">
        <f t="shared" si="36"/>
        <v>5.1000000000000004E-3</v>
      </c>
      <c r="L256" s="5"/>
      <c r="M256" s="30">
        <f t="shared" si="37"/>
        <v>-5.1000000000000004E-3</v>
      </c>
      <c r="N256" s="42">
        <f t="shared" si="38"/>
        <v>-5.1000000000000004E-3</v>
      </c>
      <c r="O256" s="43">
        <f t="shared" si="39"/>
        <v>2.6010000000000003E-5</v>
      </c>
      <c r="P256" s="43">
        <f t="shared" si="40"/>
        <v>-0.34013437099999999</v>
      </c>
      <c r="Q256" s="43">
        <f t="shared" si="41"/>
        <v>-0.34013437099999999</v>
      </c>
      <c r="R256" s="43">
        <f t="shared" si="42"/>
        <v>0.11569139033556564</v>
      </c>
    </row>
    <row r="257" spans="1:18" ht="15.75" customHeight="1" x14ac:dyDescent="0.3">
      <c r="A257" s="47">
        <v>38239</v>
      </c>
      <c r="B257" s="48">
        <v>0</v>
      </c>
      <c r="C257" s="49">
        <v>0</v>
      </c>
      <c r="D257" s="10">
        <f t="shared" si="34"/>
        <v>-0.38980777739764078</v>
      </c>
      <c r="E257" s="10">
        <f t="shared" si="35"/>
        <v>-0.52735136612021827</v>
      </c>
      <c r="F257" s="10">
        <f t="shared" si="46"/>
        <v>0.15195010331968867</v>
      </c>
      <c r="G257" s="10">
        <f t="shared" si="46"/>
        <v>0.27809946334886049</v>
      </c>
      <c r="H257" s="11">
        <f t="shared" si="43"/>
        <v>0.20556566393493181</v>
      </c>
      <c r="I257" s="12">
        <f t="shared" si="44"/>
        <v>0</v>
      </c>
      <c r="J257" s="28">
        <f t="shared" si="45"/>
        <v>0</v>
      </c>
      <c r="K257" s="30">
        <f t="shared" si="36"/>
        <v>0</v>
      </c>
      <c r="L257" s="5"/>
      <c r="M257" s="30">
        <f t="shared" si="37"/>
        <v>0</v>
      </c>
      <c r="N257" s="42">
        <f t="shared" si="38"/>
        <v>0</v>
      </c>
      <c r="O257" s="43">
        <f t="shared" si="39"/>
        <v>0</v>
      </c>
      <c r="P257" s="43">
        <f t="shared" si="40"/>
        <v>-0.34013437099999999</v>
      </c>
      <c r="Q257" s="43">
        <f t="shared" si="41"/>
        <v>-0.34013437099999999</v>
      </c>
      <c r="R257" s="43">
        <f t="shared" si="42"/>
        <v>0.11569139033556564</v>
      </c>
    </row>
    <row r="258" spans="1:18" ht="15.75" customHeight="1" x14ac:dyDescent="0.3">
      <c r="A258" s="47">
        <v>38240</v>
      </c>
      <c r="B258" s="48"/>
      <c r="C258" s="49">
        <v>0</v>
      </c>
      <c r="D258" s="10">
        <f t="shared" si="34"/>
        <v>-0.38980777739764078</v>
      </c>
      <c r="E258" s="10">
        <f t="shared" si="35"/>
        <v>-0.52735136612021827</v>
      </c>
      <c r="F258" s="10">
        <f t="shared" si="46"/>
        <v>0.15195010331968867</v>
      </c>
      <c r="G258" s="10">
        <f t="shared" si="46"/>
        <v>0.27809946334886049</v>
      </c>
      <c r="H258" s="11">
        <f t="shared" si="43"/>
        <v>0.20556566393493181</v>
      </c>
      <c r="I258" s="12">
        <f t="shared" si="44"/>
        <v>0</v>
      </c>
      <c r="J258" s="28">
        <f t="shared" si="45"/>
        <v>0</v>
      </c>
      <c r="K258" s="30">
        <f t="shared" si="36"/>
        <v>0</v>
      </c>
      <c r="L258" s="5"/>
      <c r="M258" s="30">
        <f t="shared" si="37"/>
        <v>0</v>
      </c>
      <c r="N258" s="42">
        <f t="shared" si="38"/>
        <v>0</v>
      </c>
      <c r="O258" s="43">
        <f t="shared" si="39"/>
        <v>0</v>
      </c>
      <c r="P258" s="43">
        <f t="shared" si="40"/>
        <v>-0.34013437099999999</v>
      </c>
      <c r="Q258" s="43">
        <f t="shared" si="41"/>
        <v>-0.34013437099999999</v>
      </c>
      <c r="R258" s="43">
        <f t="shared" si="42"/>
        <v>0.11569139033556564</v>
      </c>
    </row>
    <row r="259" spans="1:18" ht="15.75" customHeight="1" x14ac:dyDescent="0.3">
      <c r="A259" s="47">
        <v>38241</v>
      </c>
      <c r="B259" s="48">
        <v>0</v>
      </c>
      <c r="C259" s="49">
        <v>0</v>
      </c>
      <c r="D259" s="10">
        <f t="shared" si="34"/>
        <v>-0.38980777739764078</v>
      </c>
      <c r="E259" s="10">
        <f t="shared" si="35"/>
        <v>-0.52735136612021827</v>
      </c>
      <c r="F259" s="10">
        <f t="shared" si="46"/>
        <v>0.15195010331968867</v>
      </c>
      <c r="G259" s="10">
        <f t="shared" si="46"/>
        <v>0.27809946334886049</v>
      </c>
      <c r="H259" s="11">
        <f t="shared" si="43"/>
        <v>0.20556566393493181</v>
      </c>
      <c r="I259" s="12">
        <f t="shared" si="44"/>
        <v>0</v>
      </c>
      <c r="J259" s="28">
        <f t="shared" si="45"/>
        <v>0</v>
      </c>
      <c r="K259" s="30">
        <f t="shared" si="36"/>
        <v>0</v>
      </c>
      <c r="L259" s="5"/>
      <c r="M259" s="30">
        <f t="shared" si="37"/>
        <v>0</v>
      </c>
      <c r="N259" s="42">
        <f t="shared" si="38"/>
        <v>0</v>
      </c>
      <c r="O259" s="43">
        <f t="shared" si="39"/>
        <v>0</v>
      </c>
      <c r="P259" s="43">
        <f t="shared" si="40"/>
        <v>-0.34013437099999999</v>
      </c>
      <c r="Q259" s="43">
        <f t="shared" si="41"/>
        <v>-0.34013437099999999</v>
      </c>
      <c r="R259" s="43">
        <f t="shared" si="42"/>
        <v>0.11569139033556564</v>
      </c>
    </row>
    <row r="260" spans="1:18" ht="15.75" customHeight="1" x14ac:dyDescent="0.3">
      <c r="A260" s="47">
        <v>38242</v>
      </c>
      <c r="B260" s="48">
        <v>0</v>
      </c>
      <c r="C260" s="49">
        <v>0</v>
      </c>
      <c r="D260" s="10">
        <f t="shared" si="34"/>
        <v>-0.38980777739764078</v>
      </c>
      <c r="E260" s="10">
        <f t="shared" si="35"/>
        <v>-0.52735136612021827</v>
      </c>
      <c r="F260" s="10">
        <f t="shared" si="46"/>
        <v>0.15195010331968867</v>
      </c>
      <c r="G260" s="10">
        <f t="shared" si="46"/>
        <v>0.27809946334886049</v>
      </c>
      <c r="H260" s="11">
        <f t="shared" si="43"/>
        <v>0.20556566393493181</v>
      </c>
      <c r="I260" s="12">
        <f t="shared" si="44"/>
        <v>0</v>
      </c>
      <c r="J260" s="28">
        <f t="shared" si="45"/>
        <v>0</v>
      </c>
      <c r="K260" s="30">
        <f t="shared" si="36"/>
        <v>0</v>
      </c>
      <c r="L260" s="5"/>
      <c r="M260" s="30">
        <f t="shared" si="37"/>
        <v>0</v>
      </c>
      <c r="N260" s="42">
        <f t="shared" si="38"/>
        <v>0</v>
      </c>
      <c r="O260" s="43">
        <f t="shared" si="39"/>
        <v>0</v>
      </c>
      <c r="P260" s="43">
        <f t="shared" si="40"/>
        <v>-0.34013437099999999</v>
      </c>
      <c r="Q260" s="43">
        <f t="shared" si="41"/>
        <v>-0.34013437099999999</v>
      </c>
      <c r="R260" s="43">
        <f t="shared" si="42"/>
        <v>0.11569139033556564</v>
      </c>
    </row>
    <row r="261" spans="1:18" ht="15.75" customHeight="1" x14ac:dyDescent="0.3">
      <c r="A261" s="47">
        <v>38243</v>
      </c>
      <c r="B261" s="48">
        <v>0</v>
      </c>
      <c r="C261" s="49">
        <v>0</v>
      </c>
      <c r="D261" s="10">
        <f t="shared" ref="D261:D324" si="47">B261-$C$375</f>
        <v>-0.38980777739764078</v>
      </c>
      <c r="E261" s="10">
        <f t="shared" ref="E261:E324" si="48">C261-$D$375</f>
        <v>-0.52735136612021827</v>
      </c>
      <c r="F261" s="10">
        <f t="shared" si="46"/>
        <v>0.15195010331968867</v>
      </c>
      <c r="G261" s="10">
        <f t="shared" si="46"/>
        <v>0.27809946334886049</v>
      </c>
      <c r="H261" s="11">
        <f t="shared" si="43"/>
        <v>0.20556566393493181</v>
      </c>
      <c r="I261" s="12">
        <f t="shared" si="44"/>
        <v>0</v>
      </c>
      <c r="J261" s="28">
        <f t="shared" si="45"/>
        <v>0</v>
      </c>
      <c r="K261" s="30">
        <f t="shared" si="36"/>
        <v>0</v>
      </c>
      <c r="L261" s="5"/>
      <c r="M261" s="30">
        <f t="shared" si="37"/>
        <v>0</v>
      </c>
      <c r="N261" s="42">
        <f t="shared" si="38"/>
        <v>0</v>
      </c>
      <c r="O261" s="43">
        <f t="shared" si="39"/>
        <v>0</v>
      </c>
      <c r="P261" s="43">
        <f t="shared" si="40"/>
        <v>-0.34013437099999999</v>
      </c>
      <c r="Q261" s="43">
        <f t="shared" si="41"/>
        <v>-0.34013437099999999</v>
      </c>
      <c r="R261" s="43">
        <f t="shared" si="42"/>
        <v>0.11569139033556564</v>
      </c>
    </row>
    <row r="262" spans="1:18" ht="15.75" customHeight="1" x14ac:dyDescent="0.3">
      <c r="A262" s="47">
        <v>38244</v>
      </c>
      <c r="B262" s="48">
        <v>0</v>
      </c>
      <c r="C262" s="49">
        <v>0</v>
      </c>
      <c r="D262" s="10">
        <f t="shared" si="47"/>
        <v>-0.38980777739764078</v>
      </c>
      <c r="E262" s="10">
        <f t="shared" si="48"/>
        <v>-0.52735136612021827</v>
      </c>
      <c r="F262" s="10">
        <f t="shared" si="46"/>
        <v>0.15195010331968867</v>
      </c>
      <c r="G262" s="10">
        <f t="shared" si="46"/>
        <v>0.27809946334886049</v>
      </c>
      <c r="H262" s="11">
        <f t="shared" si="43"/>
        <v>0.20556566393493181</v>
      </c>
      <c r="I262" s="12">
        <f t="shared" si="44"/>
        <v>0</v>
      </c>
      <c r="J262" s="28">
        <f t="shared" si="45"/>
        <v>0</v>
      </c>
      <c r="K262" s="30">
        <f t="shared" ref="K262:K325" si="49">C262-B262</f>
        <v>0</v>
      </c>
      <c r="L262" s="5"/>
      <c r="M262" s="30">
        <f t="shared" ref="M262:M325" si="50">B262-C262</f>
        <v>0</v>
      </c>
      <c r="N262" s="42">
        <f t="shared" ref="N262:N325" si="51">B262-C262</f>
        <v>0</v>
      </c>
      <c r="O262" s="43">
        <f t="shared" ref="O262:O325" si="52">M262*N262</f>
        <v>0</v>
      </c>
      <c r="P262" s="43">
        <f t="shared" ref="P262:P325" si="53">B262-0.340134371</f>
        <v>-0.34013437099999999</v>
      </c>
      <c r="Q262" s="43">
        <f t="shared" ref="Q262:Q325" si="54">B262-0.340134371</f>
        <v>-0.34013437099999999</v>
      </c>
      <c r="R262" s="43">
        <f t="shared" ref="R262:R325" si="55">P262*Q262</f>
        <v>0.11569139033556564</v>
      </c>
    </row>
    <row r="263" spans="1:18" ht="15.75" customHeight="1" x14ac:dyDescent="0.3">
      <c r="A263" s="47">
        <v>38245</v>
      </c>
      <c r="B263" s="48">
        <v>0</v>
      </c>
      <c r="C263" s="49">
        <v>0</v>
      </c>
      <c r="D263" s="10">
        <f t="shared" si="47"/>
        <v>-0.38980777739764078</v>
      </c>
      <c r="E263" s="10">
        <f t="shared" si="48"/>
        <v>-0.52735136612021827</v>
      </c>
      <c r="F263" s="10">
        <f t="shared" si="46"/>
        <v>0.15195010331968867</v>
      </c>
      <c r="G263" s="10">
        <f t="shared" si="46"/>
        <v>0.27809946334886049</v>
      </c>
      <c r="H263" s="11">
        <f t="shared" si="43"/>
        <v>0.20556566393493181</v>
      </c>
      <c r="I263" s="12">
        <f t="shared" si="44"/>
        <v>0</v>
      </c>
      <c r="J263" s="28">
        <f t="shared" si="45"/>
        <v>0</v>
      </c>
      <c r="K263" s="30">
        <f t="shared" si="49"/>
        <v>0</v>
      </c>
      <c r="L263" s="5"/>
      <c r="M263" s="30">
        <f t="shared" si="50"/>
        <v>0</v>
      </c>
      <c r="N263" s="42">
        <f t="shared" si="51"/>
        <v>0</v>
      </c>
      <c r="O263" s="43">
        <f t="shared" si="52"/>
        <v>0</v>
      </c>
      <c r="P263" s="43">
        <f t="shared" si="53"/>
        <v>-0.34013437099999999</v>
      </c>
      <c r="Q263" s="43">
        <f t="shared" si="54"/>
        <v>-0.34013437099999999</v>
      </c>
      <c r="R263" s="43">
        <f t="shared" si="55"/>
        <v>0.11569139033556564</v>
      </c>
    </row>
    <row r="264" spans="1:18" ht="15.75" customHeight="1" x14ac:dyDescent="0.3">
      <c r="A264" s="47">
        <v>38246</v>
      </c>
      <c r="B264" s="48">
        <v>0</v>
      </c>
      <c r="C264" s="49">
        <v>0</v>
      </c>
      <c r="D264" s="10">
        <f t="shared" si="47"/>
        <v>-0.38980777739764078</v>
      </c>
      <c r="E264" s="10">
        <f t="shared" si="48"/>
        <v>-0.52735136612021827</v>
      </c>
      <c r="F264" s="10">
        <f t="shared" si="46"/>
        <v>0.15195010331968867</v>
      </c>
      <c r="G264" s="10">
        <f t="shared" si="46"/>
        <v>0.27809946334886049</v>
      </c>
      <c r="H264" s="11">
        <f t="shared" si="43"/>
        <v>0.20556566393493181</v>
      </c>
      <c r="I264" s="12">
        <f t="shared" si="44"/>
        <v>0</v>
      </c>
      <c r="J264" s="28">
        <f t="shared" si="45"/>
        <v>0</v>
      </c>
      <c r="K264" s="30">
        <f t="shared" si="49"/>
        <v>0</v>
      </c>
      <c r="L264" s="5"/>
      <c r="M264" s="30">
        <f t="shared" si="50"/>
        <v>0</v>
      </c>
      <c r="N264" s="42">
        <f t="shared" si="51"/>
        <v>0</v>
      </c>
      <c r="O264" s="43">
        <f t="shared" si="52"/>
        <v>0</v>
      </c>
      <c r="P264" s="43">
        <f t="shared" si="53"/>
        <v>-0.34013437099999999</v>
      </c>
      <c r="Q264" s="43">
        <f t="shared" si="54"/>
        <v>-0.34013437099999999</v>
      </c>
      <c r="R264" s="43">
        <f t="shared" si="55"/>
        <v>0.11569139033556564</v>
      </c>
    </row>
    <row r="265" spans="1:18" ht="15.75" customHeight="1" x14ac:dyDescent="0.3">
      <c r="A265" s="47">
        <v>38247</v>
      </c>
      <c r="B265" s="48">
        <v>0</v>
      </c>
      <c r="C265" s="49">
        <v>0</v>
      </c>
      <c r="D265" s="10">
        <f t="shared" si="47"/>
        <v>-0.38980777739764078</v>
      </c>
      <c r="E265" s="10">
        <f t="shared" si="48"/>
        <v>-0.52735136612021827</v>
      </c>
      <c r="F265" s="10">
        <f t="shared" si="46"/>
        <v>0.15195010331968867</v>
      </c>
      <c r="G265" s="10">
        <f t="shared" si="46"/>
        <v>0.27809946334886049</v>
      </c>
      <c r="H265" s="11">
        <f t="shared" si="43"/>
        <v>0.20556566393493181</v>
      </c>
      <c r="I265" s="12">
        <f t="shared" si="44"/>
        <v>0</v>
      </c>
      <c r="J265" s="28">
        <f t="shared" si="45"/>
        <v>0</v>
      </c>
      <c r="K265" s="30">
        <f t="shared" si="49"/>
        <v>0</v>
      </c>
      <c r="L265" s="5"/>
      <c r="M265" s="30">
        <f t="shared" si="50"/>
        <v>0</v>
      </c>
      <c r="N265" s="42">
        <f t="shared" si="51"/>
        <v>0</v>
      </c>
      <c r="O265" s="43">
        <f t="shared" si="52"/>
        <v>0</v>
      </c>
      <c r="P265" s="43">
        <f t="shared" si="53"/>
        <v>-0.34013437099999999</v>
      </c>
      <c r="Q265" s="43">
        <f t="shared" si="54"/>
        <v>-0.34013437099999999</v>
      </c>
      <c r="R265" s="43">
        <f t="shared" si="55"/>
        <v>0.11569139033556564</v>
      </c>
    </row>
    <row r="266" spans="1:18" ht="15.75" customHeight="1" x14ac:dyDescent="0.3">
      <c r="A266" s="47">
        <v>38248</v>
      </c>
      <c r="B266" s="48">
        <v>0</v>
      </c>
      <c r="C266" s="49">
        <v>6.9999999999999999E-4</v>
      </c>
      <c r="D266" s="10">
        <f t="shared" si="47"/>
        <v>-0.38980777739764078</v>
      </c>
      <c r="E266" s="10">
        <f t="shared" si="48"/>
        <v>-0.52665136612021823</v>
      </c>
      <c r="F266" s="10">
        <f t="shared" si="46"/>
        <v>0.15195010331968867</v>
      </c>
      <c r="G266" s="10">
        <f t="shared" si="46"/>
        <v>0.27736166143629215</v>
      </c>
      <c r="H266" s="11">
        <f t="shared" si="43"/>
        <v>0.20529279849075344</v>
      </c>
      <c r="I266" s="12">
        <f t="shared" si="44"/>
        <v>6.9999999999999999E-4</v>
      </c>
      <c r="J266" s="28">
        <f t="shared" si="45"/>
        <v>4.8999999999999997E-7</v>
      </c>
      <c r="K266" s="30">
        <f t="shared" si="49"/>
        <v>6.9999999999999999E-4</v>
      </c>
      <c r="L266" s="5"/>
      <c r="M266" s="30">
        <f t="shared" si="50"/>
        <v>-6.9999999999999999E-4</v>
      </c>
      <c r="N266" s="42">
        <f t="shared" si="51"/>
        <v>-6.9999999999999999E-4</v>
      </c>
      <c r="O266" s="43">
        <f t="shared" si="52"/>
        <v>4.8999999999999997E-7</v>
      </c>
      <c r="P266" s="43">
        <f t="shared" si="53"/>
        <v>-0.34013437099999999</v>
      </c>
      <c r="Q266" s="43">
        <f t="shared" si="54"/>
        <v>-0.34013437099999999</v>
      </c>
      <c r="R266" s="43">
        <f t="shared" si="55"/>
        <v>0.11569139033556564</v>
      </c>
    </row>
    <row r="267" spans="1:18" ht="15.75" customHeight="1" x14ac:dyDescent="0.3">
      <c r="A267" s="47">
        <v>38249</v>
      </c>
      <c r="B267" s="48">
        <v>0</v>
      </c>
      <c r="C267" s="49">
        <v>5.4999999999999997E-3</v>
      </c>
      <c r="D267" s="10">
        <f t="shared" si="47"/>
        <v>-0.38980777739764078</v>
      </c>
      <c r="E267" s="10">
        <f t="shared" si="48"/>
        <v>-0.52185136612021832</v>
      </c>
      <c r="F267" s="10">
        <f t="shared" si="46"/>
        <v>0.15195010331968867</v>
      </c>
      <c r="G267" s="10">
        <f t="shared" si="46"/>
        <v>0.27232884832153814</v>
      </c>
      <c r="H267" s="11">
        <f t="shared" ref="H267:H330" si="56">D267*E267</f>
        <v>0.20342172115924481</v>
      </c>
      <c r="I267" s="12">
        <f t="shared" ref="I267:I330" si="57">ABS(C267-B267)</f>
        <v>5.4999999999999997E-3</v>
      </c>
      <c r="J267" s="28">
        <f t="shared" ref="J267:J330" si="58">I267^2</f>
        <v>3.0249999999999997E-5</v>
      </c>
      <c r="K267" s="30">
        <f t="shared" si="49"/>
        <v>5.4999999999999997E-3</v>
      </c>
      <c r="L267" s="5"/>
      <c r="M267" s="30">
        <f t="shared" si="50"/>
        <v>-5.4999999999999997E-3</v>
      </c>
      <c r="N267" s="42">
        <f t="shared" si="51"/>
        <v>-5.4999999999999997E-3</v>
      </c>
      <c r="O267" s="43">
        <f t="shared" si="52"/>
        <v>3.0249999999999997E-5</v>
      </c>
      <c r="P267" s="43">
        <f t="shared" si="53"/>
        <v>-0.34013437099999999</v>
      </c>
      <c r="Q267" s="43">
        <f t="shared" si="54"/>
        <v>-0.34013437099999999</v>
      </c>
      <c r="R267" s="43">
        <f t="shared" si="55"/>
        <v>0.11569139033556564</v>
      </c>
    </row>
    <row r="268" spans="1:18" ht="15.75" customHeight="1" x14ac:dyDescent="0.3">
      <c r="A268" s="47">
        <v>38250</v>
      </c>
      <c r="B268" s="48">
        <v>0</v>
      </c>
      <c r="C268" s="49">
        <v>0</v>
      </c>
      <c r="D268" s="10">
        <f t="shared" si="47"/>
        <v>-0.38980777739764078</v>
      </c>
      <c r="E268" s="10">
        <f t="shared" si="48"/>
        <v>-0.52735136612021827</v>
      </c>
      <c r="F268" s="10">
        <f t="shared" si="46"/>
        <v>0.15195010331968867</v>
      </c>
      <c r="G268" s="10">
        <f t="shared" si="46"/>
        <v>0.27809946334886049</v>
      </c>
      <c r="H268" s="11">
        <f t="shared" si="56"/>
        <v>0.20556566393493181</v>
      </c>
      <c r="I268" s="12">
        <f t="shared" si="57"/>
        <v>0</v>
      </c>
      <c r="J268" s="28">
        <f t="shared" si="58"/>
        <v>0</v>
      </c>
      <c r="K268" s="30">
        <f t="shared" si="49"/>
        <v>0</v>
      </c>
      <c r="L268" s="5"/>
      <c r="M268" s="30">
        <f t="shared" si="50"/>
        <v>0</v>
      </c>
      <c r="N268" s="42">
        <f t="shared" si="51"/>
        <v>0</v>
      </c>
      <c r="O268" s="43">
        <f t="shared" si="52"/>
        <v>0</v>
      </c>
      <c r="P268" s="43">
        <f t="shared" si="53"/>
        <v>-0.34013437099999999</v>
      </c>
      <c r="Q268" s="43">
        <f t="shared" si="54"/>
        <v>-0.34013437099999999</v>
      </c>
      <c r="R268" s="43">
        <f t="shared" si="55"/>
        <v>0.11569139033556564</v>
      </c>
    </row>
    <row r="269" spans="1:18" ht="15.75" customHeight="1" x14ac:dyDescent="0.3">
      <c r="A269" s="47">
        <v>38251</v>
      </c>
      <c r="B269" s="48">
        <v>0</v>
      </c>
      <c r="C269" s="49">
        <v>0</v>
      </c>
      <c r="D269" s="10">
        <f t="shared" si="47"/>
        <v>-0.38980777739764078</v>
      </c>
      <c r="E269" s="10">
        <f t="shared" si="48"/>
        <v>-0.52735136612021827</v>
      </c>
      <c r="F269" s="10">
        <f t="shared" si="46"/>
        <v>0.15195010331968867</v>
      </c>
      <c r="G269" s="10">
        <f t="shared" si="46"/>
        <v>0.27809946334886049</v>
      </c>
      <c r="H269" s="11">
        <f t="shared" si="56"/>
        <v>0.20556566393493181</v>
      </c>
      <c r="I269" s="12">
        <f t="shared" si="57"/>
        <v>0</v>
      </c>
      <c r="J269" s="28">
        <f t="shared" si="58"/>
        <v>0</v>
      </c>
      <c r="K269" s="30">
        <f t="shared" si="49"/>
        <v>0</v>
      </c>
      <c r="L269" s="5"/>
      <c r="M269" s="30">
        <f t="shared" si="50"/>
        <v>0</v>
      </c>
      <c r="N269" s="42">
        <f t="shared" si="51"/>
        <v>0</v>
      </c>
      <c r="O269" s="43">
        <f t="shared" si="52"/>
        <v>0</v>
      </c>
      <c r="P269" s="43">
        <f t="shared" si="53"/>
        <v>-0.34013437099999999</v>
      </c>
      <c r="Q269" s="43">
        <f t="shared" si="54"/>
        <v>-0.34013437099999999</v>
      </c>
      <c r="R269" s="43">
        <f t="shared" si="55"/>
        <v>0.11569139033556564</v>
      </c>
    </row>
    <row r="270" spans="1:18" ht="15.75" customHeight="1" x14ac:dyDescent="0.3">
      <c r="A270" s="47">
        <v>38252</v>
      </c>
      <c r="B270" s="48">
        <v>0</v>
      </c>
      <c r="C270" s="49">
        <v>0</v>
      </c>
      <c r="D270" s="10">
        <f t="shared" si="47"/>
        <v>-0.38980777739764078</v>
      </c>
      <c r="E270" s="10">
        <f t="shared" si="48"/>
        <v>-0.52735136612021827</v>
      </c>
      <c r="F270" s="10">
        <f t="shared" si="46"/>
        <v>0.15195010331968867</v>
      </c>
      <c r="G270" s="10">
        <f t="shared" si="46"/>
        <v>0.27809946334886049</v>
      </c>
      <c r="H270" s="11">
        <f t="shared" si="56"/>
        <v>0.20556566393493181</v>
      </c>
      <c r="I270" s="12">
        <f t="shared" si="57"/>
        <v>0</v>
      </c>
      <c r="J270" s="28">
        <f t="shared" si="58"/>
        <v>0</v>
      </c>
      <c r="K270" s="30">
        <f t="shared" si="49"/>
        <v>0</v>
      </c>
      <c r="L270" s="5"/>
      <c r="M270" s="30">
        <f t="shared" si="50"/>
        <v>0</v>
      </c>
      <c r="N270" s="42">
        <f t="shared" si="51"/>
        <v>0</v>
      </c>
      <c r="O270" s="43">
        <f t="shared" si="52"/>
        <v>0</v>
      </c>
      <c r="P270" s="43">
        <f t="shared" si="53"/>
        <v>-0.34013437099999999</v>
      </c>
      <c r="Q270" s="43">
        <f t="shared" si="54"/>
        <v>-0.34013437099999999</v>
      </c>
      <c r="R270" s="43">
        <f t="shared" si="55"/>
        <v>0.11569139033556564</v>
      </c>
    </row>
    <row r="271" spans="1:18" ht="15.75" customHeight="1" x14ac:dyDescent="0.3">
      <c r="A271" s="47">
        <v>38253</v>
      </c>
      <c r="B271" s="48">
        <v>0</v>
      </c>
      <c r="C271" s="49">
        <v>7.8399999999999997E-2</v>
      </c>
      <c r="D271" s="10">
        <f t="shared" si="47"/>
        <v>-0.38980777739764078</v>
      </c>
      <c r="E271" s="10">
        <f t="shared" si="48"/>
        <v>-0.44895136612021824</v>
      </c>
      <c r="F271" s="10">
        <f t="shared" si="46"/>
        <v>0.15195010331968867</v>
      </c>
      <c r="G271" s="10">
        <f t="shared" si="46"/>
        <v>0.20155732914121025</v>
      </c>
      <c r="H271" s="11">
        <f t="shared" si="56"/>
        <v>0.17500473418695675</v>
      </c>
      <c r="I271" s="12">
        <f t="shared" si="57"/>
        <v>7.8399999999999997E-2</v>
      </c>
      <c r="J271" s="28">
        <f t="shared" si="58"/>
        <v>6.1465599999999997E-3</v>
      </c>
      <c r="K271" s="30">
        <f t="shared" si="49"/>
        <v>7.8399999999999997E-2</v>
      </c>
      <c r="L271" s="5"/>
      <c r="M271" s="30">
        <f t="shared" si="50"/>
        <v>-7.8399999999999997E-2</v>
      </c>
      <c r="N271" s="42">
        <f t="shared" si="51"/>
        <v>-7.8399999999999997E-2</v>
      </c>
      <c r="O271" s="43">
        <f t="shared" si="52"/>
        <v>6.1465599999999997E-3</v>
      </c>
      <c r="P271" s="43">
        <f t="shared" si="53"/>
        <v>-0.34013437099999999</v>
      </c>
      <c r="Q271" s="43">
        <f t="shared" si="54"/>
        <v>-0.34013437099999999</v>
      </c>
      <c r="R271" s="43">
        <f t="shared" si="55"/>
        <v>0.11569139033556564</v>
      </c>
    </row>
    <row r="272" spans="1:18" ht="15.75" customHeight="1" x14ac:dyDescent="0.3">
      <c r="A272" s="47">
        <v>38254</v>
      </c>
      <c r="B272" s="48">
        <v>0</v>
      </c>
      <c r="C272" s="49">
        <v>2.4199999999999999E-2</v>
      </c>
      <c r="D272" s="10">
        <f t="shared" si="47"/>
        <v>-0.38980777739764078</v>
      </c>
      <c r="E272" s="10">
        <f t="shared" si="48"/>
        <v>-0.50315136612021827</v>
      </c>
      <c r="F272" s="10">
        <f t="shared" si="46"/>
        <v>0.15195010331968867</v>
      </c>
      <c r="G272" s="10">
        <f t="shared" si="46"/>
        <v>0.25316129722864195</v>
      </c>
      <c r="H272" s="11">
        <f t="shared" si="56"/>
        <v>0.1961323157219089</v>
      </c>
      <c r="I272" s="12">
        <f t="shared" si="57"/>
        <v>2.4199999999999999E-2</v>
      </c>
      <c r="J272" s="28">
        <f t="shared" si="58"/>
        <v>5.8564000000000001E-4</v>
      </c>
      <c r="K272" s="30">
        <f t="shared" si="49"/>
        <v>2.4199999999999999E-2</v>
      </c>
      <c r="L272" s="5"/>
      <c r="M272" s="30">
        <f t="shared" si="50"/>
        <v>-2.4199999999999999E-2</v>
      </c>
      <c r="N272" s="42">
        <f t="shared" si="51"/>
        <v>-2.4199999999999999E-2</v>
      </c>
      <c r="O272" s="43">
        <f t="shared" si="52"/>
        <v>5.8564000000000001E-4</v>
      </c>
      <c r="P272" s="43">
        <f t="shared" si="53"/>
        <v>-0.34013437099999999</v>
      </c>
      <c r="Q272" s="43">
        <f t="shared" si="54"/>
        <v>-0.34013437099999999</v>
      </c>
      <c r="R272" s="43">
        <f t="shared" si="55"/>
        <v>0.11569139033556564</v>
      </c>
    </row>
    <row r="273" spans="1:18" ht="15.75" customHeight="1" x14ac:dyDescent="0.3">
      <c r="A273" s="47">
        <v>38255</v>
      </c>
      <c r="B273" s="48">
        <v>0</v>
      </c>
      <c r="C273" s="49">
        <v>0</v>
      </c>
      <c r="D273" s="10">
        <f t="shared" si="47"/>
        <v>-0.38980777739764078</v>
      </c>
      <c r="E273" s="10">
        <f t="shared" si="48"/>
        <v>-0.52735136612021827</v>
      </c>
      <c r="F273" s="10">
        <f t="shared" si="46"/>
        <v>0.15195010331968867</v>
      </c>
      <c r="G273" s="10">
        <f t="shared" si="46"/>
        <v>0.27809946334886049</v>
      </c>
      <c r="H273" s="11">
        <f t="shared" si="56"/>
        <v>0.20556566393493181</v>
      </c>
      <c r="I273" s="12">
        <f t="shared" si="57"/>
        <v>0</v>
      </c>
      <c r="J273" s="28">
        <f t="shared" si="58"/>
        <v>0</v>
      </c>
      <c r="K273" s="30">
        <f t="shared" si="49"/>
        <v>0</v>
      </c>
      <c r="L273" s="5"/>
      <c r="M273" s="30">
        <f t="shared" si="50"/>
        <v>0</v>
      </c>
      <c r="N273" s="42">
        <f t="shared" si="51"/>
        <v>0</v>
      </c>
      <c r="O273" s="43">
        <f t="shared" si="52"/>
        <v>0</v>
      </c>
      <c r="P273" s="43">
        <f t="shared" si="53"/>
        <v>-0.34013437099999999</v>
      </c>
      <c r="Q273" s="43">
        <f t="shared" si="54"/>
        <v>-0.34013437099999999</v>
      </c>
      <c r="R273" s="43">
        <f t="shared" si="55"/>
        <v>0.11569139033556564</v>
      </c>
    </row>
    <row r="274" spans="1:18" ht="15.75" customHeight="1" x14ac:dyDescent="0.3">
      <c r="A274" s="47">
        <v>38256</v>
      </c>
      <c r="B274" s="48">
        <v>0</v>
      </c>
      <c r="C274" s="49">
        <v>0</v>
      </c>
      <c r="D274" s="10">
        <f t="shared" si="47"/>
        <v>-0.38980777739764078</v>
      </c>
      <c r="E274" s="10">
        <f t="shared" si="48"/>
        <v>-0.52735136612021827</v>
      </c>
      <c r="F274" s="10">
        <f t="shared" si="46"/>
        <v>0.15195010331968867</v>
      </c>
      <c r="G274" s="10">
        <f t="shared" si="46"/>
        <v>0.27809946334886049</v>
      </c>
      <c r="H274" s="11">
        <f t="shared" si="56"/>
        <v>0.20556566393493181</v>
      </c>
      <c r="I274" s="12">
        <f t="shared" si="57"/>
        <v>0</v>
      </c>
      <c r="J274" s="28">
        <f t="shared" si="58"/>
        <v>0</v>
      </c>
      <c r="K274" s="30">
        <f t="shared" si="49"/>
        <v>0</v>
      </c>
      <c r="L274" s="5"/>
      <c r="M274" s="30">
        <f t="shared" si="50"/>
        <v>0</v>
      </c>
      <c r="N274" s="42">
        <f t="shared" si="51"/>
        <v>0</v>
      </c>
      <c r="O274" s="43">
        <f t="shared" si="52"/>
        <v>0</v>
      </c>
      <c r="P274" s="43">
        <f t="shared" si="53"/>
        <v>-0.34013437099999999</v>
      </c>
      <c r="Q274" s="43">
        <f t="shared" si="54"/>
        <v>-0.34013437099999999</v>
      </c>
      <c r="R274" s="43">
        <f t="shared" si="55"/>
        <v>0.11569139033556564</v>
      </c>
    </row>
    <row r="275" spans="1:18" ht="15.75" customHeight="1" x14ac:dyDescent="0.3">
      <c r="A275" s="47">
        <v>38257</v>
      </c>
      <c r="B275" s="48">
        <v>0</v>
      </c>
      <c r="C275" s="49">
        <v>0</v>
      </c>
      <c r="D275" s="10">
        <f t="shared" si="47"/>
        <v>-0.38980777739764078</v>
      </c>
      <c r="E275" s="10">
        <f t="shared" si="48"/>
        <v>-0.52735136612021827</v>
      </c>
      <c r="F275" s="10">
        <f t="shared" si="46"/>
        <v>0.15195010331968867</v>
      </c>
      <c r="G275" s="10">
        <f t="shared" si="46"/>
        <v>0.27809946334886049</v>
      </c>
      <c r="H275" s="11">
        <f t="shared" si="56"/>
        <v>0.20556566393493181</v>
      </c>
      <c r="I275" s="12">
        <f t="shared" si="57"/>
        <v>0</v>
      </c>
      <c r="J275" s="28">
        <f t="shared" si="58"/>
        <v>0</v>
      </c>
      <c r="K275" s="30">
        <f t="shared" si="49"/>
        <v>0</v>
      </c>
      <c r="L275" s="5"/>
      <c r="M275" s="30">
        <f t="shared" si="50"/>
        <v>0</v>
      </c>
      <c r="N275" s="42">
        <f t="shared" si="51"/>
        <v>0</v>
      </c>
      <c r="O275" s="43">
        <f t="shared" si="52"/>
        <v>0</v>
      </c>
      <c r="P275" s="43">
        <f t="shared" si="53"/>
        <v>-0.34013437099999999</v>
      </c>
      <c r="Q275" s="43">
        <f t="shared" si="54"/>
        <v>-0.34013437099999999</v>
      </c>
      <c r="R275" s="43">
        <f t="shared" si="55"/>
        <v>0.11569139033556564</v>
      </c>
    </row>
    <row r="276" spans="1:18" ht="15.75" customHeight="1" x14ac:dyDescent="0.3">
      <c r="A276" s="47">
        <v>38258</v>
      </c>
      <c r="B276" s="48">
        <v>0</v>
      </c>
      <c r="C276" s="49">
        <v>0</v>
      </c>
      <c r="D276" s="10">
        <f t="shared" si="47"/>
        <v>-0.38980777739764078</v>
      </c>
      <c r="E276" s="10">
        <f t="shared" si="48"/>
        <v>-0.52735136612021827</v>
      </c>
      <c r="F276" s="10">
        <f t="shared" si="46"/>
        <v>0.15195010331968867</v>
      </c>
      <c r="G276" s="10">
        <f t="shared" si="46"/>
        <v>0.27809946334886049</v>
      </c>
      <c r="H276" s="11">
        <f t="shared" si="56"/>
        <v>0.20556566393493181</v>
      </c>
      <c r="I276" s="12">
        <f t="shared" si="57"/>
        <v>0</v>
      </c>
      <c r="J276" s="28">
        <f t="shared" si="58"/>
        <v>0</v>
      </c>
      <c r="K276" s="30">
        <f t="shared" si="49"/>
        <v>0</v>
      </c>
      <c r="L276" s="5"/>
      <c r="M276" s="30">
        <f t="shared" si="50"/>
        <v>0</v>
      </c>
      <c r="N276" s="42">
        <f t="shared" si="51"/>
        <v>0</v>
      </c>
      <c r="O276" s="43">
        <f t="shared" si="52"/>
        <v>0</v>
      </c>
      <c r="P276" s="43">
        <f t="shared" si="53"/>
        <v>-0.34013437099999999</v>
      </c>
      <c r="Q276" s="43">
        <f t="shared" si="54"/>
        <v>-0.34013437099999999</v>
      </c>
      <c r="R276" s="43">
        <f t="shared" si="55"/>
        <v>0.11569139033556564</v>
      </c>
    </row>
    <row r="277" spans="1:18" ht="15.75" customHeight="1" x14ac:dyDescent="0.3">
      <c r="A277" s="47">
        <v>38259</v>
      </c>
      <c r="B277" s="48">
        <v>0</v>
      </c>
      <c r="C277" s="49">
        <v>1.1000000000000001E-3</v>
      </c>
      <c r="D277" s="10">
        <f t="shared" si="47"/>
        <v>-0.38980777739764078</v>
      </c>
      <c r="E277" s="10">
        <f t="shared" si="48"/>
        <v>-0.52625136612021828</v>
      </c>
      <c r="F277" s="10">
        <f t="shared" ref="F277:G340" si="59">D277^2</f>
        <v>0.15195010331968867</v>
      </c>
      <c r="G277" s="10">
        <f t="shared" si="59"/>
        <v>0.27694050034339601</v>
      </c>
      <c r="H277" s="11">
        <f t="shared" si="56"/>
        <v>0.20513687537979441</v>
      </c>
      <c r="I277" s="12">
        <f t="shared" si="57"/>
        <v>1.1000000000000001E-3</v>
      </c>
      <c r="J277" s="28">
        <f t="shared" si="58"/>
        <v>1.2100000000000001E-6</v>
      </c>
      <c r="K277" s="30">
        <f t="shared" si="49"/>
        <v>1.1000000000000001E-3</v>
      </c>
      <c r="L277" s="5"/>
      <c r="M277" s="30">
        <f t="shared" si="50"/>
        <v>-1.1000000000000001E-3</v>
      </c>
      <c r="N277" s="42">
        <f t="shared" si="51"/>
        <v>-1.1000000000000001E-3</v>
      </c>
      <c r="O277" s="43">
        <f t="shared" si="52"/>
        <v>1.2100000000000001E-6</v>
      </c>
      <c r="P277" s="43">
        <f t="shared" si="53"/>
        <v>-0.34013437099999999</v>
      </c>
      <c r="Q277" s="43">
        <f t="shared" si="54"/>
        <v>-0.34013437099999999</v>
      </c>
      <c r="R277" s="43">
        <f t="shared" si="55"/>
        <v>0.11569139033556564</v>
      </c>
    </row>
    <row r="278" spans="1:18" ht="15.75" customHeight="1" x14ac:dyDescent="0.3">
      <c r="A278" s="47">
        <v>38260</v>
      </c>
      <c r="B278" s="48">
        <v>0</v>
      </c>
      <c r="C278" s="49">
        <v>0</v>
      </c>
      <c r="D278" s="10">
        <f t="shared" si="47"/>
        <v>-0.38980777739764078</v>
      </c>
      <c r="E278" s="10">
        <f t="shared" si="48"/>
        <v>-0.52735136612021827</v>
      </c>
      <c r="F278" s="10">
        <f t="shared" si="59"/>
        <v>0.15195010331968867</v>
      </c>
      <c r="G278" s="10">
        <f t="shared" si="59"/>
        <v>0.27809946334886049</v>
      </c>
      <c r="H278" s="11">
        <f t="shared" si="56"/>
        <v>0.20556566393493181</v>
      </c>
      <c r="I278" s="12">
        <f t="shared" si="57"/>
        <v>0</v>
      </c>
      <c r="J278" s="28">
        <f t="shared" si="58"/>
        <v>0</v>
      </c>
      <c r="K278" s="30">
        <f t="shared" si="49"/>
        <v>0</v>
      </c>
      <c r="L278" s="5"/>
      <c r="M278" s="30">
        <f t="shared" si="50"/>
        <v>0</v>
      </c>
      <c r="N278" s="42">
        <f t="shared" si="51"/>
        <v>0</v>
      </c>
      <c r="O278" s="43">
        <f t="shared" si="52"/>
        <v>0</v>
      </c>
      <c r="P278" s="43">
        <f t="shared" si="53"/>
        <v>-0.34013437099999999</v>
      </c>
      <c r="Q278" s="43">
        <f t="shared" si="54"/>
        <v>-0.34013437099999999</v>
      </c>
      <c r="R278" s="43">
        <f t="shared" si="55"/>
        <v>0.11569139033556564</v>
      </c>
    </row>
    <row r="279" spans="1:18" ht="15.75" customHeight="1" x14ac:dyDescent="0.3">
      <c r="A279" s="47">
        <v>38261</v>
      </c>
      <c r="B279" s="48">
        <v>0</v>
      </c>
      <c r="C279" s="49">
        <v>0</v>
      </c>
      <c r="D279" s="10">
        <f t="shared" si="47"/>
        <v>-0.38980777739764078</v>
      </c>
      <c r="E279" s="10">
        <f t="shared" si="48"/>
        <v>-0.52735136612021827</v>
      </c>
      <c r="F279" s="10">
        <f t="shared" si="59"/>
        <v>0.15195010331968867</v>
      </c>
      <c r="G279" s="10">
        <f t="shared" si="59"/>
        <v>0.27809946334886049</v>
      </c>
      <c r="H279" s="11">
        <f t="shared" si="56"/>
        <v>0.20556566393493181</v>
      </c>
      <c r="I279" s="12">
        <f t="shared" si="57"/>
        <v>0</v>
      </c>
      <c r="J279" s="28">
        <f t="shared" si="58"/>
        <v>0</v>
      </c>
      <c r="K279" s="30">
        <f t="shared" si="49"/>
        <v>0</v>
      </c>
      <c r="L279" s="5"/>
      <c r="M279" s="30">
        <f t="shared" si="50"/>
        <v>0</v>
      </c>
      <c r="N279" s="42">
        <f t="shared" si="51"/>
        <v>0</v>
      </c>
      <c r="O279" s="43">
        <f t="shared" si="52"/>
        <v>0</v>
      </c>
      <c r="P279" s="43">
        <f t="shared" si="53"/>
        <v>-0.34013437099999999</v>
      </c>
      <c r="Q279" s="43">
        <f t="shared" si="54"/>
        <v>-0.34013437099999999</v>
      </c>
      <c r="R279" s="43">
        <f t="shared" si="55"/>
        <v>0.11569139033556564</v>
      </c>
    </row>
    <row r="280" spans="1:18" ht="15.75" customHeight="1" x14ac:dyDescent="0.3">
      <c r="A280" s="47">
        <v>38262</v>
      </c>
      <c r="B280" s="48">
        <v>0</v>
      </c>
      <c r="C280" s="49">
        <v>0</v>
      </c>
      <c r="D280" s="10">
        <f t="shared" si="47"/>
        <v>-0.38980777739764078</v>
      </c>
      <c r="E280" s="10">
        <f t="shared" si="48"/>
        <v>-0.52735136612021827</v>
      </c>
      <c r="F280" s="10">
        <f t="shared" si="59"/>
        <v>0.15195010331968867</v>
      </c>
      <c r="G280" s="10">
        <f t="shared" si="59"/>
        <v>0.27809946334886049</v>
      </c>
      <c r="H280" s="11">
        <f t="shared" si="56"/>
        <v>0.20556566393493181</v>
      </c>
      <c r="I280" s="12">
        <f t="shared" si="57"/>
        <v>0</v>
      </c>
      <c r="J280" s="28">
        <f t="shared" si="58"/>
        <v>0</v>
      </c>
      <c r="K280" s="30">
        <f t="shared" si="49"/>
        <v>0</v>
      </c>
      <c r="L280" s="5"/>
      <c r="M280" s="30">
        <f t="shared" si="50"/>
        <v>0</v>
      </c>
      <c r="N280" s="42">
        <f t="shared" si="51"/>
        <v>0</v>
      </c>
      <c r="O280" s="43">
        <f t="shared" si="52"/>
        <v>0</v>
      </c>
      <c r="P280" s="43">
        <f t="shared" si="53"/>
        <v>-0.34013437099999999</v>
      </c>
      <c r="Q280" s="43">
        <f t="shared" si="54"/>
        <v>-0.34013437099999999</v>
      </c>
      <c r="R280" s="43">
        <f t="shared" si="55"/>
        <v>0.11569139033556564</v>
      </c>
    </row>
    <row r="281" spans="1:18" ht="15.75" customHeight="1" x14ac:dyDescent="0.3">
      <c r="A281" s="47">
        <v>38263</v>
      </c>
      <c r="B281" s="48">
        <v>0</v>
      </c>
      <c r="C281" s="49">
        <v>0</v>
      </c>
      <c r="D281" s="10">
        <f t="shared" si="47"/>
        <v>-0.38980777739764078</v>
      </c>
      <c r="E281" s="10">
        <f t="shared" si="48"/>
        <v>-0.52735136612021827</v>
      </c>
      <c r="F281" s="10">
        <f t="shared" si="59"/>
        <v>0.15195010331968867</v>
      </c>
      <c r="G281" s="10">
        <f t="shared" si="59"/>
        <v>0.27809946334886049</v>
      </c>
      <c r="H281" s="11">
        <f t="shared" si="56"/>
        <v>0.20556566393493181</v>
      </c>
      <c r="I281" s="12">
        <f t="shared" si="57"/>
        <v>0</v>
      </c>
      <c r="J281" s="28">
        <f t="shared" si="58"/>
        <v>0</v>
      </c>
      <c r="K281" s="30">
        <f t="shared" si="49"/>
        <v>0</v>
      </c>
      <c r="L281" s="5"/>
      <c r="M281" s="30">
        <f t="shared" si="50"/>
        <v>0</v>
      </c>
      <c r="N281" s="42">
        <f t="shared" si="51"/>
        <v>0</v>
      </c>
      <c r="O281" s="43">
        <f t="shared" si="52"/>
        <v>0</v>
      </c>
      <c r="P281" s="43">
        <f t="shared" si="53"/>
        <v>-0.34013437099999999</v>
      </c>
      <c r="Q281" s="43">
        <f t="shared" si="54"/>
        <v>-0.34013437099999999</v>
      </c>
      <c r="R281" s="43">
        <f t="shared" si="55"/>
        <v>0.11569139033556564</v>
      </c>
    </row>
    <row r="282" spans="1:18" ht="15.75" customHeight="1" x14ac:dyDescent="0.3">
      <c r="A282" s="47">
        <v>38264</v>
      </c>
      <c r="B282" s="48">
        <v>0</v>
      </c>
      <c r="C282" s="49">
        <v>5.0000000000000001E-4</v>
      </c>
      <c r="D282" s="10">
        <f t="shared" si="47"/>
        <v>-0.38980777739764078</v>
      </c>
      <c r="E282" s="10">
        <f t="shared" si="48"/>
        <v>-0.52685136612021832</v>
      </c>
      <c r="F282" s="10">
        <f t="shared" si="59"/>
        <v>0.15195010331968867</v>
      </c>
      <c r="G282" s="10">
        <f t="shared" si="59"/>
        <v>0.27757236198274032</v>
      </c>
      <c r="H282" s="11">
        <f t="shared" si="56"/>
        <v>0.205370760046233</v>
      </c>
      <c r="I282" s="12">
        <f t="shared" si="57"/>
        <v>5.0000000000000001E-4</v>
      </c>
      <c r="J282" s="28">
        <f t="shared" si="58"/>
        <v>2.4999999999999999E-7</v>
      </c>
      <c r="K282" s="30">
        <f t="shared" si="49"/>
        <v>5.0000000000000001E-4</v>
      </c>
      <c r="L282" s="5"/>
      <c r="M282" s="30">
        <f t="shared" si="50"/>
        <v>-5.0000000000000001E-4</v>
      </c>
      <c r="N282" s="42">
        <f t="shared" si="51"/>
        <v>-5.0000000000000001E-4</v>
      </c>
      <c r="O282" s="43">
        <f t="shared" si="52"/>
        <v>2.4999999999999999E-7</v>
      </c>
      <c r="P282" s="43">
        <f t="shared" si="53"/>
        <v>-0.34013437099999999</v>
      </c>
      <c r="Q282" s="43">
        <f t="shared" si="54"/>
        <v>-0.34013437099999999</v>
      </c>
      <c r="R282" s="43">
        <f t="shared" si="55"/>
        <v>0.11569139033556564</v>
      </c>
    </row>
    <row r="283" spans="1:18" ht="15.75" customHeight="1" x14ac:dyDescent="0.3">
      <c r="A283" s="47">
        <v>38265</v>
      </c>
      <c r="B283" s="48">
        <v>0</v>
      </c>
      <c r="C283" s="49">
        <v>2.2000000000000001E-3</v>
      </c>
      <c r="D283" s="10">
        <f t="shared" si="47"/>
        <v>-0.38980777739764078</v>
      </c>
      <c r="E283" s="10">
        <f t="shared" si="48"/>
        <v>-0.52515136612021829</v>
      </c>
      <c r="F283" s="10">
        <f t="shared" si="59"/>
        <v>0.15195010331968867</v>
      </c>
      <c r="G283" s="10">
        <f t="shared" si="59"/>
        <v>0.27578395733793154</v>
      </c>
      <c r="H283" s="11">
        <f t="shared" si="56"/>
        <v>0.20470808682465699</v>
      </c>
      <c r="I283" s="12">
        <f t="shared" si="57"/>
        <v>2.2000000000000001E-3</v>
      </c>
      <c r="J283" s="28">
        <f t="shared" si="58"/>
        <v>4.8400000000000002E-6</v>
      </c>
      <c r="K283" s="30">
        <f t="shared" si="49"/>
        <v>2.2000000000000001E-3</v>
      </c>
      <c r="L283" s="5"/>
      <c r="M283" s="30">
        <f t="shared" si="50"/>
        <v>-2.2000000000000001E-3</v>
      </c>
      <c r="N283" s="42">
        <f t="shared" si="51"/>
        <v>-2.2000000000000001E-3</v>
      </c>
      <c r="O283" s="43">
        <f t="shared" si="52"/>
        <v>4.8400000000000002E-6</v>
      </c>
      <c r="P283" s="43">
        <f t="shared" si="53"/>
        <v>-0.34013437099999999</v>
      </c>
      <c r="Q283" s="43">
        <f t="shared" si="54"/>
        <v>-0.34013437099999999</v>
      </c>
      <c r="R283" s="43">
        <f t="shared" si="55"/>
        <v>0.11569139033556564</v>
      </c>
    </row>
    <row r="284" spans="1:18" ht="15.75" customHeight="1" x14ac:dyDescent="0.3">
      <c r="A284" s="47">
        <v>38266</v>
      </c>
      <c r="B284" s="48">
        <v>0</v>
      </c>
      <c r="C284" s="49">
        <v>0.15190000000000001</v>
      </c>
      <c r="D284" s="10">
        <f t="shared" si="47"/>
        <v>-0.38980777739764078</v>
      </c>
      <c r="E284" s="10">
        <f t="shared" si="48"/>
        <v>-0.37545136612021823</v>
      </c>
      <c r="F284" s="10">
        <f t="shared" si="59"/>
        <v>0.15195010331968867</v>
      </c>
      <c r="G284" s="10">
        <f t="shared" si="59"/>
        <v>0.14096372832153817</v>
      </c>
      <c r="H284" s="11">
        <f t="shared" si="56"/>
        <v>0.14635386254823016</v>
      </c>
      <c r="I284" s="12">
        <f t="shared" si="57"/>
        <v>0.15190000000000001</v>
      </c>
      <c r="J284" s="28">
        <f t="shared" si="58"/>
        <v>2.3073610000000001E-2</v>
      </c>
      <c r="K284" s="30">
        <f t="shared" si="49"/>
        <v>0.15190000000000001</v>
      </c>
      <c r="L284" s="5"/>
      <c r="M284" s="30">
        <f t="shared" si="50"/>
        <v>-0.15190000000000001</v>
      </c>
      <c r="N284" s="42">
        <f t="shared" si="51"/>
        <v>-0.15190000000000001</v>
      </c>
      <c r="O284" s="43">
        <f t="shared" si="52"/>
        <v>2.3073610000000001E-2</v>
      </c>
      <c r="P284" s="43">
        <f t="shared" si="53"/>
        <v>-0.34013437099999999</v>
      </c>
      <c r="Q284" s="43">
        <f t="shared" si="54"/>
        <v>-0.34013437099999999</v>
      </c>
      <c r="R284" s="43">
        <f t="shared" si="55"/>
        <v>0.11569139033556564</v>
      </c>
    </row>
    <row r="285" spans="1:18" ht="15.75" customHeight="1" x14ac:dyDescent="0.3">
      <c r="A285" s="47">
        <v>38267</v>
      </c>
      <c r="B285" s="48">
        <v>0</v>
      </c>
      <c r="C285" s="49">
        <v>1.0099</v>
      </c>
      <c r="D285" s="10">
        <f t="shared" si="47"/>
        <v>-0.38980777739764078</v>
      </c>
      <c r="E285" s="10">
        <f t="shared" si="48"/>
        <v>0.48254863387978175</v>
      </c>
      <c r="F285" s="10">
        <f t="shared" si="59"/>
        <v>0.15195010331968867</v>
      </c>
      <c r="G285" s="10">
        <f t="shared" si="59"/>
        <v>0.23285318405924366</v>
      </c>
      <c r="H285" s="11">
        <f t="shared" si="56"/>
        <v>-0.18810121045894562</v>
      </c>
      <c r="I285" s="12">
        <f t="shared" si="57"/>
        <v>1.0099</v>
      </c>
      <c r="J285" s="28">
        <f t="shared" si="58"/>
        <v>1.0198980100000001</v>
      </c>
      <c r="K285" s="30">
        <f t="shared" si="49"/>
        <v>1.0099</v>
      </c>
      <c r="L285" s="5"/>
      <c r="M285" s="30">
        <f t="shared" si="50"/>
        <v>-1.0099</v>
      </c>
      <c r="N285" s="42">
        <f t="shared" si="51"/>
        <v>-1.0099</v>
      </c>
      <c r="O285" s="43">
        <f t="shared" si="52"/>
        <v>1.0198980100000001</v>
      </c>
      <c r="P285" s="43">
        <f t="shared" si="53"/>
        <v>-0.34013437099999999</v>
      </c>
      <c r="Q285" s="43">
        <f t="shared" si="54"/>
        <v>-0.34013437099999999</v>
      </c>
      <c r="R285" s="43">
        <f t="shared" si="55"/>
        <v>0.11569139033556564</v>
      </c>
    </row>
    <row r="286" spans="1:18" ht="15.75" customHeight="1" x14ac:dyDescent="0.3">
      <c r="A286" s="47">
        <v>38268</v>
      </c>
      <c r="B286" s="48">
        <v>0</v>
      </c>
      <c r="C286" s="49">
        <v>0.76370000000000005</v>
      </c>
      <c r="D286" s="10">
        <f t="shared" si="47"/>
        <v>-0.38980777739764078</v>
      </c>
      <c r="E286" s="10">
        <f t="shared" si="48"/>
        <v>0.23634863387978178</v>
      </c>
      <c r="F286" s="10">
        <f t="shared" si="59"/>
        <v>0.15195010331968867</v>
      </c>
      <c r="G286" s="10">
        <f t="shared" si="59"/>
        <v>5.5860676736839129E-2</v>
      </c>
      <c r="H286" s="11">
        <f t="shared" si="56"/>
        <v>-9.2130535663646471E-2</v>
      </c>
      <c r="I286" s="12">
        <f t="shared" si="57"/>
        <v>0.76370000000000005</v>
      </c>
      <c r="J286" s="28">
        <f t="shared" si="58"/>
        <v>0.58323769000000003</v>
      </c>
      <c r="K286" s="30">
        <f t="shared" si="49"/>
        <v>0.76370000000000005</v>
      </c>
      <c r="L286" s="5"/>
      <c r="M286" s="30">
        <f t="shared" si="50"/>
        <v>-0.76370000000000005</v>
      </c>
      <c r="N286" s="42">
        <f t="shared" si="51"/>
        <v>-0.76370000000000005</v>
      </c>
      <c r="O286" s="43">
        <f t="shared" si="52"/>
        <v>0.58323769000000003</v>
      </c>
      <c r="P286" s="43">
        <f t="shared" si="53"/>
        <v>-0.34013437099999999</v>
      </c>
      <c r="Q286" s="43">
        <f t="shared" si="54"/>
        <v>-0.34013437099999999</v>
      </c>
      <c r="R286" s="43">
        <f t="shared" si="55"/>
        <v>0.11569139033556564</v>
      </c>
    </row>
    <row r="287" spans="1:18" ht="15.75" customHeight="1" x14ac:dyDescent="0.3">
      <c r="A287" s="47">
        <v>38269</v>
      </c>
      <c r="B287" s="48">
        <v>0</v>
      </c>
      <c r="C287" s="49">
        <v>0.45100000000000001</v>
      </c>
      <c r="D287" s="10">
        <f t="shared" si="47"/>
        <v>-0.38980777739764078</v>
      </c>
      <c r="E287" s="10">
        <f t="shared" si="48"/>
        <v>-7.6351366120218256E-2</v>
      </c>
      <c r="F287" s="10">
        <f t="shared" si="59"/>
        <v>0.15195010331968867</v>
      </c>
      <c r="G287" s="10">
        <f t="shared" si="59"/>
        <v>5.8295311084236119E-3</v>
      </c>
      <c r="H287" s="11">
        <f t="shared" si="56"/>
        <v>2.9762356328595811E-2</v>
      </c>
      <c r="I287" s="12">
        <f t="shared" si="57"/>
        <v>0.45100000000000001</v>
      </c>
      <c r="J287" s="28">
        <f t="shared" si="58"/>
        <v>0.203401</v>
      </c>
      <c r="K287" s="30">
        <f t="shared" si="49"/>
        <v>0.45100000000000001</v>
      </c>
      <c r="L287" s="5"/>
      <c r="M287" s="30">
        <f t="shared" si="50"/>
        <v>-0.45100000000000001</v>
      </c>
      <c r="N287" s="42">
        <f t="shared" si="51"/>
        <v>-0.45100000000000001</v>
      </c>
      <c r="O287" s="43">
        <f t="shared" si="52"/>
        <v>0.203401</v>
      </c>
      <c r="P287" s="43">
        <f t="shared" si="53"/>
        <v>-0.34013437099999999</v>
      </c>
      <c r="Q287" s="43">
        <f t="shared" si="54"/>
        <v>-0.34013437099999999</v>
      </c>
      <c r="R287" s="43">
        <f t="shared" si="55"/>
        <v>0.11569139033556564</v>
      </c>
    </row>
    <row r="288" spans="1:18" ht="15.75" customHeight="1" x14ac:dyDescent="0.3">
      <c r="A288" s="47">
        <v>38270</v>
      </c>
      <c r="B288" s="48">
        <v>0</v>
      </c>
      <c r="C288" s="49">
        <v>0</v>
      </c>
      <c r="D288" s="10">
        <f t="shared" si="47"/>
        <v>-0.38980777739764078</v>
      </c>
      <c r="E288" s="10">
        <f t="shared" si="48"/>
        <v>-0.52735136612021827</v>
      </c>
      <c r="F288" s="10">
        <f t="shared" si="59"/>
        <v>0.15195010331968867</v>
      </c>
      <c r="G288" s="10">
        <f t="shared" si="59"/>
        <v>0.27809946334886049</v>
      </c>
      <c r="H288" s="11">
        <f t="shared" si="56"/>
        <v>0.20556566393493181</v>
      </c>
      <c r="I288" s="12">
        <f t="shared" si="57"/>
        <v>0</v>
      </c>
      <c r="J288" s="28">
        <f t="shared" si="58"/>
        <v>0</v>
      </c>
      <c r="K288" s="30">
        <f t="shared" si="49"/>
        <v>0</v>
      </c>
      <c r="L288" s="5"/>
      <c r="M288" s="30">
        <f t="shared" si="50"/>
        <v>0</v>
      </c>
      <c r="N288" s="42">
        <f t="shared" si="51"/>
        <v>0</v>
      </c>
      <c r="O288" s="43">
        <f t="shared" si="52"/>
        <v>0</v>
      </c>
      <c r="P288" s="43">
        <f t="shared" si="53"/>
        <v>-0.34013437099999999</v>
      </c>
      <c r="Q288" s="43">
        <f t="shared" si="54"/>
        <v>-0.34013437099999999</v>
      </c>
      <c r="R288" s="43">
        <f t="shared" si="55"/>
        <v>0.11569139033556564</v>
      </c>
    </row>
    <row r="289" spans="1:18" ht="15.75" customHeight="1" x14ac:dyDescent="0.3">
      <c r="A289" s="47">
        <v>38271</v>
      </c>
      <c r="B289" s="48">
        <v>0</v>
      </c>
      <c r="C289" s="49">
        <v>0</v>
      </c>
      <c r="D289" s="10">
        <f t="shared" si="47"/>
        <v>-0.38980777739764078</v>
      </c>
      <c r="E289" s="10">
        <f t="shared" si="48"/>
        <v>-0.52735136612021827</v>
      </c>
      <c r="F289" s="10">
        <f t="shared" si="59"/>
        <v>0.15195010331968867</v>
      </c>
      <c r="G289" s="10">
        <f t="shared" si="59"/>
        <v>0.27809946334886049</v>
      </c>
      <c r="H289" s="11">
        <f t="shared" si="56"/>
        <v>0.20556566393493181</v>
      </c>
      <c r="I289" s="12">
        <f t="shared" si="57"/>
        <v>0</v>
      </c>
      <c r="J289" s="28">
        <f t="shared" si="58"/>
        <v>0</v>
      </c>
      <c r="K289" s="30">
        <f t="shared" si="49"/>
        <v>0</v>
      </c>
      <c r="L289" s="5"/>
      <c r="M289" s="30">
        <f t="shared" si="50"/>
        <v>0</v>
      </c>
      <c r="N289" s="42">
        <f t="shared" si="51"/>
        <v>0</v>
      </c>
      <c r="O289" s="43">
        <f t="shared" si="52"/>
        <v>0</v>
      </c>
      <c r="P289" s="43">
        <f t="shared" si="53"/>
        <v>-0.34013437099999999</v>
      </c>
      <c r="Q289" s="43">
        <f t="shared" si="54"/>
        <v>-0.34013437099999999</v>
      </c>
      <c r="R289" s="43">
        <f t="shared" si="55"/>
        <v>0.11569139033556564</v>
      </c>
    </row>
    <row r="290" spans="1:18" ht="15.75" customHeight="1" x14ac:dyDescent="0.3">
      <c r="A290" s="47">
        <v>38272</v>
      </c>
      <c r="B290" s="48">
        <v>0</v>
      </c>
      <c r="C290" s="49">
        <v>0</v>
      </c>
      <c r="D290" s="10">
        <f t="shared" si="47"/>
        <v>-0.38980777739764078</v>
      </c>
      <c r="E290" s="10">
        <f t="shared" si="48"/>
        <v>-0.52735136612021827</v>
      </c>
      <c r="F290" s="10">
        <f t="shared" si="59"/>
        <v>0.15195010331968867</v>
      </c>
      <c r="G290" s="10">
        <f t="shared" si="59"/>
        <v>0.27809946334886049</v>
      </c>
      <c r="H290" s="11">
        <f t="shared" si="56"/>
        <v>0.20556566393493181</v>
      </c>
      <c r="I290" s="12">
        <f t="shared" si="57"/>
        <v>0</v>
      </c>
      <c r="J290" s="28">
        <f t="shared" si="58"/>
        <v>0</v>
      </c>
      <c r="K290" s="30">
        <f t="shared" si="49"/>
        <v>0</v>
      </c>
      <c r="L290" s="5"/>
      <c r="M290" s="30">
        <f t="shared" si="50"/>
        <v>0</v>
      </c>
      <c r="N290" s="42">
        <f t="shared" si="51"/>
        <v>0</v>
      </c>
      <c r="O290" s="43">
        <f t="shared" si="52"/>
        <v>0</v>
      </c>
      <c r="P290" s="43">
        <f t="shared" si="53"/>
        <v>-0.34013437099999999</v>
      </c>
      <c r="Q290" s="43">
        <f t="shared" si="54"/>
        <v>-0.34013437099999999</v>
      </c>
      <c r="R290" s="43">
        <f t="shared" si="55"/>
        <v>0.11569139033556564</v>
      </c>
    </row>
    <row r="291" spans="1:18" ht="15.75" customHeight="1" x14ac:dyDescent="0.3">
      <c r="A291" s="47">
        <v>38273</v>
      </c>
      <c r="B291" s="48">
        <v>0</v>
      </c>
      <c r="C291" s="49">
        <v>0</v>
      </c>
      <c r="D291" s="10">
        <f t="shared" si="47"/>
        <v>-0.38980777739764078</v>
      </c>
      <c r="E291" s="10">
        <f t="shared" si="48"/>
        <v>-0.52735136612021827</v>
      </c>
      <c r="F291" s="10">
        <f t="shared" si="59"/>
        <v>0.15195010331968867</v>
      </c>
      <c r="G291" s="10">
        <f t="shared" si="59"/>
        <v>0.27809946334886049</v>
      </c>
      <c r="H291" s="11">
        <f t="shared" si="56"/>
        <v>0.20556566393493181</v>
      </c>
      <c r="I291" s="12">
        <f t="shared" si="57"/>
        <v>0</v>
      </c>
      <c r="J291" s="28">
        <f t="shared" si="58"/>
        <v>0</v>
      </c>
      <c r="K291" s="30">
        <f t="shared" si="49"/>
        <v>0</v>
      </c>
      <c r="L291" s="5"/>
      <c r="M291" s="30">
        <f t="shared" si="50"/>
        <v>0</v>
      </c>
      <c r="N291" s="42">
        <f t="shared" si="51"/>
        <v>0</v>
      </c>
      <c r="O291" s="43">
        <f t="shared" si="52"/>
        <v>0</v>
      </c>
      <c r="P291" s="43">
        <f t="shared" si="53"/>
        <v>-0.34013437099999999</v>
      </c>
      <c r="Q291" s="43">
        <f t="shared" si="54"/>
        <v>-0.34013437099999999</v>
      </c>
      <c r="R291" s="43">
        <f t="shared" si="55"/>
        <v>0.11569139033556564</v>
      </c>
    </row>
    <row r="292" spans="1:18" ht="15.75" customHeight="1" x14ac:dyDescent="0.3">
      <c r="A292" s="47">
        <v>38274</v>
      </c>
      <c r="B292" s="48">
        <v>0</v>
      </c>
      <c r="C292" s="49">
        <v>3.5000000000000001E-3</v>
      </c>
      <c r="D292" s="10">
        <f t="shared" si="47"/>
        <v>-0.38980777739764078</v>
      </c>
      <c r="E292" s="10">
        <f t="shared" si="48"/>
        <v>-0.52385136612021832</v>
      </c>
      <c r="F292" s="10">
        <f t="shared" si="59"/>
        <v>0.15195010331968867</v>
      </c>
      <c r="G292" s="10">
        <f t="shared" si="59"/>
        <v>0.27442025378601903</v>
      </c>
      <c r="H292" s="11">
        <f t="shared" si="56"/>
        <v>0.20420133671404009</v>
      </c>
      <c r="I292" s="12">
        <f t="shared" si="57"/>
        <v>3.5000000000000001E-3</v>
      </c>
      <c r="J292" s="28">
        <f t="shared" si="58"/>
        <v>1.2250000000000001E-5</v>
      </c>
      <c r="K292" s="30">
        <f t="shared" si="49"/>
        <v>3.5000000000000001E-3</v>
      </c>
      <c r="L292" s="5"/>
      <c r="M292" s="30">
        <f t="shared" si="50"/>
        <v>-3.5000000000000001E-3</v>
      </c>
      <c r="N292" s="42">
        <f t="shared" si="51"/>
        <v>-3.5000000000000001E-3</v>
      </c>
      <c r="O292" s="43">
        <f t="shared" si="52"/>
        <v>1.2250000000000001E-5</v>
      </c>
      <c r="P292" s="43">
        <f t="shared" si="53"/>
        <v>-0.34013437099999999</v>
      </c>
      <c r="Q292" s="43">
        <f t="shared" si="54"/>
        <v>-0.34013437099999999</v>
      </c>
      <c r="R292" s="43">
        <f t="shared" si="55"/>
        <v>0.11569139033556564</v>
      </c>
    </row>
    <row r="293" spans="1:18" ht="15.75" customHeight="1" x14ac:dyDescent="0.3">
      <c r="A293" s="47">
        <v>38275</v>
      </c>
      <c r="B293" s="48">
        <v>0</v>
      </c>
      <c r="C293" s="49">
        <v>5.0000000000000001E-4</v>
      </c>
      <c r="D293" s="10">
        <f t="shared" si="47"/>
        <v>-0.38980777739764078</v>
      </c>
      <c r="E293" s="10">
        <f t="shared" si="48"/>
        <v>-0.52685136612021832</v>
      </c>
      <c r="F293" s="10">
        <f t="shared" si="59"/>
        <v>0.15195010331968867</v>
      </c>
      <c r="G293" s="10">
        <f t="shared" si="59"/>
        <v>0.27757236198274032</v>
      </c>
      <c r="H293" s="11">
        <f t="shared" si="56"/>
        <v>0.205370760046233</v>
      </c>
      <c r="I293" s="12">
        <f t="shared" si="57"/>
        <v>5.0000000000000001E-4</v>
      </c>
      <c r="J293" s="28">
        <f t="shared" si="58"/>
        <v>2.4999999999999999E-7</v>
      </c>
      <c r="K293" s="30">
        <f t="shared" si="49"/>
        <v>5.0000000000000001E-4</v>
      </c>
      <c r="L293" s="5"/>
      <c r="M293" s="30">
        <f t="shared" si="50"/>
        <v>-5.0000000000000001E-4</v>
      </c>
      <c r="N293" s="42">
        <f t="shared" si="51"/>
        <v>-5.0000000000000001E-4</v>
      </c>
      <c r="O293" s="43">
        <f t="shared" si="52"/>
        <v>2.4999999999999999E-7</v>
      </c>
      <c r="P293" s="43">
        <f t="shared" si="53"/>
        <v>-0.34013437099999999</v>
      </c>
      <c r="Q293" s="43">
        <f t="shared" si="54"/>
        <v>-0.34013437099999999</v>
      </c>
      <c r="R293" s="43">
        <f t="shared" si="55"/>
        <v>0.11569139033556564</v>
      </c>
    </row>
    <row r="294" spans="1:18" ht="15.75" customHeight="1" x14ac:dyDescent="0.3">
      <c r="A294" s="47">
        <v>38276</v>
      </c>
      <c r="B294" s="48">
        <v>0</v>
      </c>
      <c r="C294" s="49">
        <v>0</v>
      </c>
      <c r="D294" s="10">
        <f t="shared" si="47"/>
        <v>-0.38980777739764078</v>
      </c>
      <c r="E294" s="10">
        <f t="shared" si="48"/>
        <v>-0.52735136612021827</v>
      </c>
      <c r="F294" s="10">
        <f t="shared" si="59"/>
        <v>0.15195010331968867</v>
      </c>
      <c r="G294" s="10">
        <f t="shared" si="59"/>
        <v>0.27809946334886049</v>
      </c>
      <c r="H294" s="11">
        <f t="shared" si="56"/>
        <v>0.20556566393493181</v>
      </c>
      <c r="I294" s="12">
        <f t="shared" si="57"/>
        <v>0</v>
      </c>
      <c r="J294" s="28">
        <f t="shared" si="58"/>
        <v>0</v>
      </c>
      <c r="K294" s="30">
        <f t="shared" si="49"/>
        <v>0</v>
      </c>
      <c r="L294" s="5"/>
      <c r="M294" s="30">
        <f t="shared" si="50"/>
        <v>0</v>
      </c>
      <c r="N294" s="42">
        <f t="shared" si="51"/>
        <v>0</v>
      </c>
      <c r="O294" s="43">
        <f t="shared" si="52"/>
        <v>0</v>
      </c>
      <c r="P294" s="43">
        <f t="shared" si="53"/>
        <v>-0.34013437099999999</v>
      </c>
      <c r="Q294" s="43">
        <f t="shared" si="54"/>
        <v>-0.34013437099999999</v>
      </c>
      <c r="R294" s="43">
        <f t="shared" si="55"/>
        <v>0.11569139033556564</v>
      </c>
    </row>
    <row r="295" spans="1:18" ht="15.75" customHeight="1" x14ac:dyDescent="0.3">
      <c r="A295" s="47">
        <v>38277</v>
      </c>
      <c r="B295" s="48">
        <v>0</v>
      </c>
      <c r="C295" s="49">
        <v>0</v>
      </c>
      <c r="D295" s="10">
        <f t="shared" si="47"/>
        <v>-0.38980777739764078</v>
      </c>
      <c r="E295" s="10">
        <f t="shared" si="48"/>
        <v>-0.52735136612021827</v>
      </c>
      <c r="F295" s="10">
        <f t="shared" si="59"/>
        <v>0.15195010331968867</v>
      </c>
      <c r="G295" s="10">
        <f t="shared" si="59"/>
        <v>0.27809946334886049</v>
      </c>
      <c r="H295" s="11">
        <f t="shared" si="56"/>
        <v>0.20556566393493181</v>
      </c>
      <c r="I295" s="12">
        <f t="shared" si="57"/>
        <v>0</v>
      </c>
      <c r="J295" s="28">
        <f t="shared" si="58"/>
        <v>0</v>
      </c>
      <c r="K295" s="30">
        <f t="shared" si="49"/>
        <v>0</v>
      </c>
      <c r="L295" s="5"/>
      <c r="M295" s="30">
        <f t="shared" si="50"/>
        <v>0</v>
      </c>
      <c r="N295" s="42">
        <f t="shared" si="51"/>
        <v>0</v>
      </c>
      <c r="O295" s="43">
        <f t="shared" si="52"/>
        <v>0</v>
      </c>
      <c r="P295" s="43">
        <f t="shared" si="53"/>
        <v>-0.34013437099999999</v>
      </c>
      <c r="Q295" s="43">
        <f t="shared" si="54"/>
        <v>-0.34013437099999999</v>
      </c>
      <c r="R295" s="43">
        <f t="shared" si="55"/>
        <v>0.11569139033556564</v>
      </c>
    </row>
    <row r="296" spans="1:18" ht="15.75" customHeight="1" x14ac:dyDescent="0.3">
      <c r="A296" s="47">
        <v>38278</v>
      </c>
      <c r="B296" s="48">
        <v>0</v>
      </c>
      <c r="C296" s="49">
        <v>0</v>
      </c>
      <c r="D296" s="10">
        <f t="shared" si="47"/>
        <v>-0.38980777739764078</v>
      </c>
      <c r="E296" s="10">
        <f t="shared" si="48"/>
        <v>-0.52735136612021827</v>
      </c>
      <c r="F296" s="10">
        <f t="shared" si="59"/>
        <v>0.15195010331968867</v>
      </c>
      <c r="G296" s="10">
        <f t="shared" si="59"/>
        <v>0.27809946334886049</v>
      </c>
      <c r="H296" s="11">
        <f t="shared" si="56"/>
        <v>0.20556566393493181</v>
      </c>
      <c r="I296" s="12">
        <f t="shared" si="57"/>
        <v>0</v>
      </c>
      <c r="J296" s="28">
        <f t="shared" si="58"/>
        <v>0</v>
      </c>
      <c r="K296" s="30">
        <f t="shared" si="49"/>
        <v>0</v>
      </c>
      <c r="L296" s="5"/>
      <c r="M296" s="30">
        <f t="shared" si="50"/>
        <v>0</v>
      </c>
      <c r="N296" s="42">
        <f t="shared" si="51"/>
        <v>0</v>
      </c>
      <c r="O296" s="43">
        <f t="shared" si="52"/>
        <v>0</v>
      </c>
      <c r="P296" s="43">
        <f t="shared" si="53"/>
        <v>-0.34013437099999999</v>
      </c>
      <c r="Q296" s="43">
        <f t="shared" si="54"/>
        <v>-0.34013437099999999</v>
      </c>
      <c r="R296" s="43">
        <f t="shared" si="55"/>
        <v>0.11569139033556564</v>
      </c>
    </row>
    <row r="297" spans="1:18" ht="15.75" customHeight="1" x14ac:dyDescent="0.3">
      <c r="A297" s="47">
        <v>38279</v>
      </c>
      <c r="B297" s="48">
        <v>0</v>
      </c>
      <c r="C297" s="49">
        <v>0</v>
      </c>
      <c r="D297" s="10">
        <f t="shared" si="47"/>
        <v>-0.38980777739764078</v>
      </c>
      <c r="E297" s="10">
        <f t="shared" si="48"/>
        <v>-0.52735136612021827</v>
      </c>
      <c r="F297" s="10">
        <f t="shared" si="59"/>
        <v>0.15195010331968867</v>
      </c>
      <c r="G297" s="10">
        <f t="shared" si="59"/>
        <v>0.27809946334886049</v>
      </c>
      <c r="H297" s="11">
        <f t="shared" si="56"/>
        <v>0.20556566393493181</v>
      </c>
      <c r="I297" s="12">
        <f t="shared" si="57"/>
        <v>0</v>
      </c>
      <c r="J297" s="28">
        <f t="shared" si="58"/>
        <v>0</v>
      </c>
      <c r="K297" s="30">
        <f t="shared" si="49"/>
        <v>0</v>
      </c>
      <c r="L297" s="5"/>
      <c r="M297" s="30">
        <f t="shared" si="50"/>
        <v>0</v>
      </c>
      <c r="N297" s="42">
        <f t="shared" si="51"/>
        <v>0</v>
      </c>
      <c r="O297" s="43">
        <f t="shared" si="52"/>
        <v>0</v>
      </c>
      <c r="P297" s="43">
        <f t="shared" si="53"/>
        <v>-0.34013437099999999</v>
      </c>
      <c r="Q297" s="43">
        <f t="shared" si="54"/>
        <v>-0.34013437099999999</v>
      </c>
      <c r="R297" s="43">
        <f t="shared" si="55"/>
        <v>0.11569139033556564</v>
      </c>
    </row>
    <row r="298" spans="1:18" ht="15.75" customHeight="1" x14ac:dyDescent="0.3">
      <c r="A298" s="47">
        <v>38280</v>
      </c>
      <c r="B298" s="48">
        <v>0</v>
      </c>
      <c r="C298" s="49">
        <v>2.2000000000000001E-3</v>
      </c>
      <c r="D298" s="10">
        <f t="shared" si="47"/>
        <v>-0.38980777739764078</v>
      </c>
      <c r="E298" s="10">
        <f t="shared" si="48"/>
        <v>-0.52515136612021829</v>
      </c>
      <c r="F298" s="10">
        <f t="shared" si="59"/>
        <v>0.15195010331968867</v>
      </c>
      <c r="G298" s="10">
        <f t="shared" si="59"/>
        <v>0.27578395733793154</v>
      </c>
      <c r="H298" s="11">
        <f t="shared" si="56"/>
        <v>0.20470808682465699</v>
      </c>
      <c r="I298" s="12">
        <f t="shared" si="57"/>
        <v>2.2000000000000001E-3</v>
      </c>
      <c r="J298" s="28">
        <f t="shared" si="58"/>
        <v>4.8400000000000002E-6</v>
      </c>
      <c r="K298" s="30">
        <f t="shared" si="49"/>
        <v>2.2000000000000001E-3</v>
      </c>
      <c r="L298" s="5"/>
      <c r="M298" s="30">
        <f t="shared" si="50"/>
        <v>-2.2000000000000001E-3</v>
      </c>
      <c r="N298" s="42">
        <f t="shared" si="51"/>
        <v>-2.2000000000000001E-3</v>
      </c>
      <c r="O298" s="43">
        <f t="shared" si="52"/>
        <v>4.8400000000000002E-6</v>
      </c>
      <c r="P298" s="43">
        <f t="shared" si="53"/>
        <v>-0.34013437099999999</v>
      </c>
      <c r="Q298" s="43">
        <f t="shared" si="54"/>
        <v>-0.34013437099999999</v>
      </c>
      <c r="R298" s="43">
        <f t="shared" si="55"/>
        <v>0.11569139033556564</v>
      </c>
    </row>
    <row r="299" spans="1:18" ht="15.75" customHeight="1" x14ac:dyDescent="0.3">
      <c r="A299" s="47">
        <v>38281</v>
      </c>
      <c r="B299" s="48">
        <v>0</v>
      </c>
      <c r="C299" s="49">
        <v>3.0999999999999999E-3</v>
      </c>
      <c r="D299" s="10">
        <f t="shared" si="47"/>
        <v>-0.38980777739764078</v>
      </c>
      <c r="E299" s="10">
        <f t="shared" si="48"/>
        <v>-0.52425136612021828</v>
      </c>
      <c r="F299" s="10">
        <f t="shared" si="59"/>
        <v>0.15195010331968867</v>
      </c>
      <c r="G299" s="10">
        <f t="shared" si="59"/>
        <v>0.27483949487891512</v>
      </c>
      <c r="H299" s="11">
        <f t="shared" si="56"/>
        <v>0.20435725982499911</v>
      </c>
      <c r="I299" s="12">
        <f t="shared" si="57"/>
        <v>3.0999999999999999E-3</v>
      </c>
      <c r="J299" s="28">
        <f t="shared" si="58"/>
        <v>9.6099999999999995E-6</v>
      </c>
      <c r="K299" s="30">
        <f t="shared" si="49"/>
        <v>3.0999999999999999E-3</v>
      </c>
      <c r="L299" s="5"/>
      <c r="M299" s="30">
        <f t="shared" si="50"/>
        <v>-3.0999999999999999E-3</v>
      </c>
      <c r="N299" s="42">
        <f t="shared" si="51"/>
        <v>-3.0999999999999999E-3</v>
      </c>
      <c r="O299" s="43">
        <f t="shared" si="52"/>
        <v>9.6099999999999995E-6</v>
      </c>
      <c r="P299" s="43">
        <f t="shared" si="53"/>
        <v>-0.34013437099999999</v>
      </c>
      <c r="Q299" s="43">
        <f t="shared" si="54"/>
        <v>-0.34013437099999999</v>
      </c>
      <c r="R299" s="43">
        <f t="shared" si="55"/>
        <v>0.11569139033556564</v>
      </c>
    </row>
    <row r="300" spans="1:18" ht="15.75" customHeight="1" x14ac:dyDescent="0.3">
      <c r="A300" s="47">
        <v>38282</v>
      </c>
      <c r="B300" s="48">
        <v>0</v>
      </c>
      <c r="C300" s="49">
        <v>4.1999999999999997E-3</v>
      </c>
      <c r="D300" s="10">
        <f t="shared" si="47"/>
        <v>-0.38980777739764078</v>
      </c>
      <c r="E300" s="10">
        <f t="shared" si="48"/>
        <v>-0.52315136612021829</v>
      </c>
      <c r="F300" s="10">
        <f t="shared" si="59"/>
        <v>0.15195010331968867</v>
      </c>
      <c r="G300" s="10">
        <f t="shared" si="59"/>
        <v>0.27368735187345067</v>
      </c>
      <c r="H300" s="11">
        <f t="shared" si="56"/>
        <v>0.20392847126986172</v>
      </c>
      <c r="I300" s="12">
        <f t="shared" si="57"/>
        <v>4.1999999999999997E-3</v>
      </c>
      <c r="J300" s="28">
        <f t="shared" si="58"/>
        <v>1.7639999999999997E-5</v>
      </c>
      <c r="K300" s="30">
        <f t="shared" si="49"/>
        <v>4.1999999999999997E-3</v>
      </c>
      <c r="L300" s="5"/>
      <c r="M300" s="30">
        <f t="shared" si="50"/>
        <v>-4.1999999999999997E-3</v>
      </c>
      <c r="N300" s="42">
        <f t="shared" si="51"/>
        <v>-4.1999999999999997E-3</v>
      </c>
      <c r="O300" s="43">
        <f t="shared" si="52"/>
        <v>1.7639999999999997E-5</v>
      </c>
      <c r="P300" s="43">
        <f t="shared" si="53"/>
        <v>-0.34013437099999999</v>
      </c>
      <c r="Q300" s="43">
        <f t="shared" si="54"/>
        <v>-0.34013437099999999</v>
      </c>
      <c r="R300" s="43">
        <f t="shared" si="55"/>
        <v>0.11569139033556564</v>
      </c>
    </row>
    <row r="301" spans="1:18" ht="15.75" customHeight="1" x14ac:dyDescent="0.3">
      <c r="A301" s="47">
        <v>38283</v>
      </c>
      <c r="B301" s="48">
        <v>0</v>
      </c>
      <c r="C301" s="49">
        <v>2.75E-2</v>
      </c>
      <c r="D301" s="10">
        <f t="shared" si="47"/>
        <v>-0.38980777739764078</v>
      </c>
      <c r="E301" s="10">
        <f t="shared" si="48"/>
        <v>-0.49985136612021824</v>
      </c>
      <c r="F301" s="10">
        <f t="shared" si="59"/>
        <v>0.15195010331968867</v>
      </c>
      <c r="G301" s="10">
        <f t="shared" si="59"/>
        <v>0.24985138821224845</v>
      </c>
      <c r="H301" s="11">
        <f t="shared" si="56"/>
        <v>0.19484595005649669</v>
      </c>
      <c r="I301" s="12">
        <f t="shared" si="57"/>
        <v>2.75E-2</v>
      </c>
      <c r="J301" s="28">
        <f t="shared" si="58"/>
        <v>7.5624999999999998E-4</v>
      </c>
      <c r="K301" s="30">
        <f t="shared" si="49"/>
        <v>2.75E-2</v>
      </c>
      <c r="L301" s="5"/>
      <c r="M301" s="30">
        <f t="shared" si="50"/>
        <v>-2.75E-2</v>
      </c>
      <c r="N301" s="42">
        <f t="shared" si="51"/>
        <v>-2.75E-2</v>
      </c>
      <c r="O301" s="43">
        <f t="shared" si="52"/>
        <v>7.5624999999999998E-4</v>
      </c>
      <c r="P301" s="43">
        <f t="shared" si="53"/>
        <v>-0.34013437099999999</v>
      </c>
      <c r="Q301" s="43">
        <f t="shared" si="54"/>
        <v>-0.34013437099999999</v>
      </c>
      <c r="R301" s="43">
        <f t="shared" si="55"/>
        <v>0.11569139033556564</v>
      </c>
    </row>
    <row r="302" spans="1:18" ht="15.75" customHeight="1" x14ac:dyDescent="0.3">
      <c r="A302" s="47">
        <v>38284</v>
      </c>
      <c r="B302" s="48">
        <v>0</v>
      </c>
      <c r="C302" s="49">
        <v>2.12E-2</v>
      </c>
      <c r="D302" s="10">
        <f t="shared" si="47"/>
        <v>-0.38980777739764078</v>
      </c>
      <c r="E302" s="10">
        <f t="shared" si="48"/>
        <v>-0.50615136612021827</v>
      </c>
      <c r="F302" s="10">
        <f t="shared" si="59"/>
        <v>0.15195010331968867</v>
      </c>
      <c r="G302" s="10">
        <f t="shared" si="59"/>
        <v>0.25618920542536322</v>
      </c>
      <c r="H302" s="11">
        <f t="shared" si="56"/>
        <v>0.19730173905410181</v>
      </c>
      <c r="I302" s="12">
        <f t="shared" si="57"/>
        <v>2.12E-2</v>
      </c>
      <c r="J302" s="28">
        <f t="shared" si="58"/>
        <v>4.4944000000000001E-4</v>
      </c>
      <c r="K302" s="30">
        <f t="shared" si="49"/>
        <v>2.12E-2</v>
      </c>
      <c r="L302" s="5"/>
      <c r="M302" s="30">
        <f t="shared" si="50"/>
        <v>-2.12E-2</v>
      </c>
      <c r="N302" s="42">
        <f t="shared" si="51"/>
        <v>-2.12E-2</v>
      </c>
      <c r="O302" s="43">
        <f t="shared" si="52"/>
        <v>4.4944000000000001E-4</v>
      </c>
      <c r="P302" s="43">
        <f t="shared" si="53"/>
        <v>-0.34013437099999999</v>
      </c>
      <c r="Q302" s="43">
        <f t="shared" si="54"/>
        <v>-0.34013437099999999</v>
      </c>
      <c r="R302" s="43">
        <f t="shared" si="55"/>
        <v>0.11569139033556564</v>
      </c>
    </row>
    <row r="303" spans="1:18" ht="15.75" customHeight="1" x14ac:dyDescent="0.3">
      <c r="A303" s="47">
        <v>38285</v>
      </c>
      <c r="B303" s="48">
        <v>0</v>
      </c>
      <c r="C303" s="49">
        <v>7.2400000000000006E-2</v>
      </c>
      <c r="D303" s="10">
        <f t="shared" si="47"/>
        <v>-0.38980777739764078</v>
      </c>
      <c r="E303" s="10">
        <f t="shared" si="48"/>
        <v>-0.45495136612021825</v>
      </c>
      <c r="F303" s="10">
        <f t="shared" si="59"/>
        <v>0.15195010331968867</v>
      </c>
      <c r="G303" s="10">
        <f t="shared" si="59"/>
        <v>0.20698074553465287</v>
      </c>
      <c r="H303" s="11">
        <f t="shared" si="56"/>
        <v>0.17734358085134261</v>
      </c>
      <c r="I303" s="12">
        <f t="shared" si="57"/>
        <v>7.2400000000000006E-2</v>
      </c>
      <c r="J303" s="28">
        <f t="shared" si="58"/>
        <v>5.2417600000000007E-3</v>
      </c>
      <c r="K303" s="30">
        <f t="shared" si="49"/>
        <v>7.2400000000000006E-2</v>
      </c>
      <c r="L303" s="5"/>
      <c r="M303" s="30">
        <f t="shared" si="50"/>
        <v>-7.2400000000000006E-2</v>
      </c>
      <c r="N303" s="42">
        <f t="shared" si="51"/>
        <v>-7.2400000000000006E-2</v>
      </c>
      <c r="O303" s="43">
        <f t="shared" si="52"/>
        <v>5.2417600000000007E-3</v>
      </c>
      <c r="P303" s="43">
        <f t="shared" si="53"/>
        <v>-0.34013437099999999</v>
      </c>
      <c r="Q303" s="43">
        <f t="shared" si="54"/>
        <v>-0.34013437099999999</v>
      </c>
      <c r="R303" s="43">
        <f t="shared" si="55"/>
        <v>0.11569139033556564</v>
      </c>
    </row>
    <row r="304" spans="1:18" ht="15.75" customHeight="1" x14ac:dyDescent="0.3">
      <c r="A304" s="47">
        <v>38286</v>
      </c>
      <c r="B304" s="48">
        <v>0</v>
      </c>
      <c r="C304" s="49">
        <v>0</v>
      </c>
      <c r="D304" s="10">
        <f t="shared" si="47"/>
        <v>-0.38980777739764078</v>
      </c>
      <c r="E304" s="10">
        <f t="shared" si="48"/>
        <v>-0.52735136612021827</v>
      </c>
      <c r="F304" s="10">
        <f t="shared" si="59"/>
        <v>0.15195010331968867</v>
      </c>
      <c r="G304" s="10">
        <f t="shared" si="59"/>
        <v>0.27809946334886049</v>
      </c>
      <c r="H304" s="11">
        <f t="shared" si="56"/>
        <v>0.20556566393493181</v>
      </c>
      <c r="I304" s="12">
        <f t="shared" si="57"/>
        <v>0</v>
      </c>
      <c r="J304" s="28">
        <f t="shared" si="58"/>
        <v>0</v>
      </c>
      <c r="K304" s="30">
        <f t="shared" si="49"/>
        <v>0</v>
      </c>
      <c r="L304" s="5"/>
      <c r="M304" s="30">
        <f t="shared" si="50"/>
        <v>0</v>
      </c>
      <c r="N304" s="42">
        <f t="shared" si="51"/>
        <v>0</v>
      </c>
      <c r="O304" s="43">
        <f t="shared" si="52"/>
        <v>0</v>
      </c>
      <c r="P304" s="43">
        <f t="shared" si="53"/>
        <v>-0.34013437099999999</v>
      </c>
      <c r="Q304" s="43">
        <f t="shared" si="54"/>
        <v>-0.34013437099999999</v>
      </c>
      <c r="R304" s="43">
        <f t="shared" si="55"/>
        <v>0.11569139033556564</v>
      </c>
    </row>
    <row r="305" spans="1:18" ht="15.75" customHeight="1" x14ac:dyDescent="0.3">
      <c r="A305" s="47">
        <v>38287</v>
      </c>
      <c r="B305" s="48">
        <v>0</v>
      </c>
      <c r="C305" s="49">
        <v>0</v>
      </c>
      <c r="D305" s="10">
        <f t="shared" si="47"/>
        <v>-0.38980777739764078</v>
      </c>
      <c r="E305" s="10">
        <f t="shared" si="48"/>
        <v>-0.52735136612021827</v>
      </c>
      <c r="F305" s="10">
        <f t="shared" si="59"/>
        <v>0.15195010331968867</v>
      </c>
      <c r="G305" s="10">
        <f t="shared" si="59"/>
        <v>0.27809946334886049</v>
      </c>
      <c r="H305" s="11">
        <f t="shared" si="56"/>
        <v>0.20556566393493181</v>
      </c>
      <c r="I305" s="12">
        <f t="shared" si="57"/>
        <v>0</v>
      </c>
      <c r="J305" s="28">
        <f t="shared" si="58"/>
        <v>0</v>
      </c>
      <c r="K305" s="30">
        <f t="shared" si="49"/>
        <v>0</v>
      </c>
      <c r="L305" s="5"/>
      <c r="M305" s="30">
        <f t="shared" si="50"/>
        <v>0</v>
      </c>
      <c r="N305" s="42">
        <f t="shared" si="51"/>
        <v>0</v>
      </c>
      <c r="O305" s="43">
        <f t="shared" si="52"/>
        <v>0</v>
      </c>
      <c r="P305" s="43">
        <f t="shared" si="53"/>
        <v>-0.34013437099999999</v>
      </c>
      <c r="Q305" s="43">
        <f t="shared" si="54"/>
        <v>-0.34013437099999999</v>
      </c>
      <c r="R305" s="43">
        <f t="shared" si="55"/>
        <v>0.11569139033556564</v>
      </c>
    </row>
    <row r="306" spans="1:18" ht="15.75" customHeight="1" x14ac:dyDescent="0.3">
      <c r="A306" s="47">
        <v>38288</v>
      </c>
      <c r="B306" s="48">
        <v>0</v>
      </c>
      <c r="C306" s="49">
        <v>0</v>
      </c>
      <c r="D306" s="10">
        <f t="shared" si="47"/>
        <v>-0.38980777739764078</v>
      </c>
      <c r="E306" s="10">
        <f t="shared" si="48"/>
        <v>-0.52735136612021827</v>
      </c>
      <c r="F306" s="10">
        <f t="shared" si="59"/>
        <v>0.15195010331968867</v>
      </c>
      <c r="G306" s="10">
        <f t="shared" si="59"/>
        <v>0.27809946334886049</v>
      </c>
      <c r="H306" s="11">
        <f t="shared" si="56"/>
        <v>0.20556566393493181</v>
      </c>
      <c r="I306" s="12">
        <f t="shared" si="57"/>
        <v>0</v>
      </c>
      <c r="J306" s="28">
        <f t="shared" si="58"/>
        <v>0</v>
      </c>
      <c r="K306" s="30">
        <f t="shared" si="49"/>
        <v>0</v>
      </c>
      <c r="L306" s="5"/>
      <c r="M306" s="30">
        <f t="shared" si="50"/>
        <v>0</v>
      </c>
      <c r="N306" s="42">
        <f t="shared" si="51"/>
        <v>0</v>
      </c>
      <c r="O306" s="43">
        <f t="shared" si="52"/>
        <v>0</v>
      </c>
      <c r="P306" s="43">
        <f t="shared" si="53"/>
        <v>-0.34013437099999999</v>
      </c>
      <c r="Q306" s="43">
        <f t="shared" si="54"/>
        <v>-0.34013437099999999</v>
      </c>
      <c r="R306" s="43">
        <f t="shared" si="55"/>
        <v>0.11569139033556564</v>
      </c>
    </row>
    <row r="307" spans="1:18" ht="15.75" customHeight="1" x14ac:dyDescent="0.3">
      <c r="A307" s="47">
        <v>38289</v>
      </c>
      <c r="B307" s="48">
        <v>0</v>
      </c>
      <c r="C307" s="49">
        <v>0</v>
      </c>
      <c r="D307" s="10">
        <f t="shared" si="47"/>
        <v>-0.38980777739764078</v>
      </c>
      <c r="E307" s="10">
        <f t="shared" si="48"/>
        <v>-0.52735136612021827</v>
      </c>
      <c r="F307" s="10">
        <f t="shared" si="59"/>
        <v>0.15195010331968867</v>
      </c>
      <c r="G307" s="10">
        <f t="shared" si="59"/>
        <v>0.27809946334886049</v>
      </c>
      <c r="H307" s="11">
        <f t="shared" si="56"/>
        <v>0.20556566393493181</v>
      </c>
      <c r="I307" s="12">
        <f t="shared" si="57"/>
        <v>0</v>
      </c>
      <c r="J307" s="28">
        <f t="shared" si="58"/>
        <v>0</v>
      </c>
      <c r="K307" s="30">
        <f t="shared" si="49"/>
        <v>0</v>
      </c>
      <c r="L307" s="5"/>
      <c r="M307" s="30">
        <f t="shared" si="50"/>
        <v>0</v>
      </c>
      <c r="N307" s="42">
        <f t="shared" si="51"/>
        <v>0</v>
      </c>
      <c r="O307" s="43">
        <f t="shared" si="52"/>
        <v>0</v>
      </c>
      <c r="P307" s="43">
        <f t="shared" si="53"/>
        <v>-0.34013437099999999</v>
      </c>
      <c r="Q307" s="43">
        <f t="shared" si="54"/>
        <v>-0.34013437099999999</v>
      </c>
      <c r="R307" s="43">
        <f t="shared" si="55"/>
        <v>0.11569139033556564</v>
      </c>
    </row>
    <row r="308" spans="1:18" ht="15.75" customHeight="1" x14ac:dyDescent="0.3">
      <c r="A308" s="47">
        <v>38290</v>
      </c>
      <c r="B308" s="48">
        <v>0</v>
      </c>
      <c r="C308" s="49">
        <v>1.9E-3</v>
      </c>
      <c r="D308" s="10">
        <f t="shared" si="47"/>
        <v>-0.38980777739764078</v>
      </c>
      <c r="E308" s="10">
        <f t="shared" si="48"/>
        <v>-0.52545136612021826</v>
      </c>
      <c r="F308" s="10">
        <f t="shared" si="59"/>
        <v>0.15195010331968867</v>
      </c>
      <c r="G308" s="10">
        <f t="shared" si="59"/>
        <v>0.27609913815760367</v>
      </c>
      <c r="H308" s="11">
        <f t="shared" si="56"/>
        <v>0.20482502915787629</v>
      </c>
      <c r="I308" s="12">
        <f t="shared" si="57"/>
        <v>1.9E-3</v>
      </c>
      <c r="J308" s="28">
        <f t="shared" si="58"/>
        <v>3.6100000000000002E-6</v>
      </c>
      <c r="K308" s="30">
        <f t="shared" si="49"/>
        <v>1.9E-3</v>
      </c>
      <c r="L308" s="5"/>
      <c r="M308" s="30">
        <f t="shared" si="50"/>
        <v>-1.9E-3</v>
      </c>
      <c r="N308" s="42">
        <f t="shared" si="51"/>
        <v>-1.9E-3</v>
      </c>
      <c r="O308" s="43">
        <f t="shared" si="52"/>
        <v>3.6100000000000002E-6</v>
      </c>
      <c r="P308" s="43">
        <f t="shared" si="53"/>
        <v>-0.34013437099999999</v>
      </c>
      <c r="Q308" s="43">
        <f t="shared" si="54"/>
        <v>-0.34013437099999999</v>
      </c>
      <c r="R308" s="43">
        <f t="shared" si="55"/>
        <v>0.11569139033556564</v>
      </c>
    </row>
    <row r="309" spans="1:18" ht="15.75" customHeight="1" x14ac:dyDescent="0.3">
      <c r="A309" s="47">
        <v>38291</v>
      </c>
      <c r="B309" s="48">
        <v>0</v>
      </c>
      <c r="C309" s="49">
        <v>0.2092</v>
      </c>
      <c r="D309" s="10">
        <f t="shared" si="47"/>
        <v>-0.38980777739764078</v>
      </c>
      <c r="E309" s="10">
        <f t="shared" si="48"/>
        <v>-0.31815136612021827</v>
      </c>
      <c r="F309" s="10">
        <f t="shared" si="59"/>
        <v>0.15195010331968867</v>
      </c>
      <c r="G309" s="10">
        <f t="shared" si="59"/>
        <v>0.10122029176416117</v>
      </c>
      <c r="H309" s="11">
        <f t="shared" si="56"/>
        <v>0.12401787690334536</v>
      </c>
      <c r="I309" s="12">
        <f t="shared" si="57"/>
        <v>0.2092</v>
      </c>
      <c r="J309" s="28">
        <f t="shared" si="58"/>
        <v>4.376464E-2</v>
      </c>
      <c r="K309" s="30">
        <f t="shared" si="49"/>
        <v>0.2092</v>
      </c>
      <c r="L309" s="5"/>
      <c r="M309" s="30">
        <f t="shared" si="50"/>
        <v>-0.2092</v>
      </c>
      <c r="N309" s="42">
        <f t="shared" si="51"/>
        <v>-0.2092</v>
      </c>
      <c r="O309" s="43">
        <f t="shared" si="52"/>
        <v>4.376464E-2</v>
      </c>
      <c r="P309" s="43">
        <f t="shared" si="53"/>
        <v>-0.34013437099999999</v>
      </c>
      <c r="Q309" s="43">
        <f t="shared" si="54"/>
        <v>-0.34013437099999999</v>
      </c>
      <c r="R309" s="43">
        <f t="shared" si="55"/>
        <v>0.11569139033556564</v>
      </c>
    </row>
    <row r="310" spans="1:18" ht="15.75" customHeight="1" x14ac:dyDescent="0.3">
      <c r="A310" s="47">
        <v>38292</v>
      </c>
      <c r="B310" s="48">
        <v>0</v>
      </c>
      <c r="C310" s="49">
        <v>7.4099999999999999E-2</v>
      </c>
      <c r="D310" s="10">
        <f t="shared" si="47"/>
        <v>-0.38980777739764078</v>
      </c>
      <c r="E310" s="10">
        <f t="shared" si="48"/>
        <v>-0.45325136612021827</v>
      </c>
      <c r="F310" s="10">
        <f t="shared" si="59"/>
        <v>0.15195010331968867</v>
      </c>
      <c r="G310" s="10">
        <f t="shared" si="59"/>
        <v>0.20543680088984415</v>
      </c>
      <c r="H310" s="11">
        <f t="shared" si="56"/>
        <v>0.17668090762976663</v>
      </c>
      <c r="I310" s="12">
        <f t="shared" si="57"/>
        <v>7.4099999999999999E-2</v>
      </c>
      <c r="J310" s="28">
        <f t="shared" si="58"/>
        <v>5.4908099999999996E-3</v>
      </c>
      <c r="K310" s="30">
        <f t="shared" si="49"/>
        <v>7.4099999999999999E-2</v>
      </c>
      <c r="L310" s="5"/>
      <c r="M310" s="30">
        <f t="shared" si="50"/>
        <v>-7.4099999999999999E-2</v>
      </c>
      <c r="N310" s="42">
        <f t="shared" si="51"/>
        <v>-7.4099999999999999E-2</v>
      </c>
      <c r="O310" s="43">
        <f t="shared" si="52"/>
        <v>5.4908099999999996E-3</v>
      </c>
      <c r="P310" s="43">
        <f t="shared" si="53"/>
        <v>-0.34013437099999999</v>
      </c>
      <c r="Q310" s="43">
        <f t="shared" si="54"/>
        <v>-0.34013437099999999</v>
      </c>
      <c r="R310" s="43">
        <f t="shared" si="55"/>
        <v>0.11569139033556564</v>
      </c>
    </row>
    <row r="311" spans="1:18" ht="15.75" customHeight="1" x14ac:dyDescent="0.3">
      <c r="A311" s="47">
        <v>38293</v>
      </c>
      <c r="B311" s="48">
        <v>0</v>
      </c>
      <c r="C311" s="49">
        <v>2.3599999999999999E-2</v>
      </c>
      <c r="D311" s="10">
        <f t="shared" si="47"/>
        <v>-0.38980777739764078</v>
      </c>
      <c r="E311" s="10">
        <f t="shared" si="48"/>
        <v>-0.50375136612021831</v>
      </c>
      <c r="F311" s="10">
        <f t="shared" si="59"/>
        <v>0.15195010331968867</v>
      </c>
      <c r="G311" s="10">
        <f t="shared" si="59"/>
        <v>0.25376543886798625</v>
      </c>
      <c r="H311" s="11">
        <f t="shared" si="56"/>
        <v>0.19636620038834751</v>
      </c>
      <c r="I311" s="12">
        <f t="shared" si="57"/>
        <v>2.3599999999999999E-2</v>
      </c>
      <c r="J311" s="28">
        <f t="shared" si="58"/>
        <v>5.5696000000000001E-4</v>
      </c>
      <c r="K311" s="30">
        <f t="shared" si="49"/>
        <v>2.3599999999999999E-2</v>
      </c>
      <c r="L311" s="5"/>
      <c r="M311" s="30">
        <f t="shared" si="50"/>
        <v>-2.3599999999999999E-2</v>
      </c>
      <c r="N311" s="42">
        <f t="shared" si="51"/>
        <v>-2.3599999999999999E-2</v>
      </c>
      <c r="O311" s="43">
        <f t="shared" si="52"/>
        <v>5.5696000000000001E-4</v>
      </c>
      <c r="P311" s="43">
        <f t="shared" si="53"/>
        <v>-0.34013437099999999</v>
      </c>
      <c r="Q311" s="43">
        <f t="shared" si="54"/>
        <v>-0.34013437099999999</v>
      </c>
      <c r="R311" s="43">
        <f t="shared" si="55"/>
        <v>0.11569139033556564</v>
      </c>
    </row>
    <row r="312" spans="1:18" ht="15.75" customHeight="1" x14ac:dyDescent="0.3">
      <c r="A312" s="47">
        <v>38294</v>
      </c>
      <c r="B312" s="48">
        <v>0</v>
      </c>
      <c r="C312" s="49">
        <v>0</v>
      </c>
      <c r="D312" s="10">
        <f t="shared" si="47"/>
        <v>-0.38980777739764078</v>
      </c>
      <c r="E312" s="10">
        <f t="shared" si="48"/>
        <v>-0.52735136612021827</v>
      </c>
      <c r="F312" s="10">
        <f t="shared" si="59"/>
        <v>0.15195010331968867</v>
      </c>
      <c r="G312" s="10">
        <f t="shared" si="59"/>
        <v>0.27809946334886049</v>
      </c>
      <c r="H312" s="11">
        <f t="shared" si="56"/>
        <v>0.20556566393493181</v>
      </c>
      <c r="I312" s="12">
        <f t="shared" si="57"/>
        <v>0</v>
      </c>
      <c r="J312" s="28">
        <f t="shared" si="58"/>
        <v>0</v>
      </c>
      <c r="K312" s="30">
        <f t="shared" si="49"/>
        <v>0</v>
      </c>
      <c r="L312" s="5"/>
      <c r="M312" s="30">
        <f t="shared" si="50"/>
        <v>0</v>
      </c>
      <c r="N312" s="42">
        <f t="shared" si="51"/>
        <v>0</v>
      </c>
      <c r="O312" s="43">
        <f t="shared" si="52"/>
        <v>0</v>
      </c>
      <c r="P312" s="43">
        <f t="shared" si="53"/>
        <v>-0.34013437099999999</v>
      </c>
      <c r="Q312" s="43">
        <f t="shared" si="54"/>
        <v>-0.34013437099999999</v>
      </c>
      <c r="R312" s="43">
        <f t="shared" si="55"/>
        <v>0.11569139033556564</v>
      </c>
    </row>
    <row r="313" spans="1:18" ht="15.75" customHeight="1" x14ac:dyDescent="0.3">
      <c r="A313" s="47">
        <v>38295</v>
      </c>
      <c r="B313" s="48">
        <v>0</v>
      </c>
      <c r="C313" s="49">
        <v>0</v>
      </c>
      <c r="D313" s="10">
        <f t="shared" si="47"/>
        <v>-0.38980777739764078</v>
      </c>
      <c r="E313" s="10">
        <f t="shared" si="48"/>
        <v>-0.52735136612021827</v>
      </c>
      <c r="F313" s="10">
        <f t="shared" si="59"/>
        <v>0.15195010331968867</v>
      </c>
      <c r="G313" s="10">
        <f t="shared" si="59"/>
        <v>0.27809946334886049</v>
      </c>
      <c r="H313" s="11">
        <f t="shared" si="56"/>
        <v>0.20556566393493181</v>
      </c>
      <c r="I313" s="12">
        <f t="shared" si="57"/>
        <v>0</v>
      </c>
      <c r="J313" s="28">
        <f t="shared" si="58"/>
        <v>0</v>
      </c>
      <c r="K313" s="30">
        <f t="shared" si="49"/>
        <v>0</v>
      </c>
      <c r="L313" s="5"/>
      <c r="M313" s="30">
        <f t="shared" si="50"/>
        <v>0</v>
      </c>
      <c r="N313" s="42">
        <f t="shared" si="51"/>
        <v>0</v>
      </c>
      <c r="O313" s="43">
        <f t="shared" si="52"/>
        <v>0</v>
      </c>
      <c r="P313" s="43">
        <f t="shared" si="53"/>
        <v>-0.34013437099999999</v>
      </c>
      <c r="Q313" s="43">
        <f t="shared" si="54"/>
        <v>-0.34013437099999999</v>
      </c>
      <c r="R313" s="43">
        <f t="shared" si="55"/>
        <v>0.11569139033556564</v>
      </c>
    </row>
    <row r="314" spans="1:18" ht="15.75" customHeight="1" x14ac:dyDescent="0.3">
      <c r="A314" s="47">
        <v>38296</v>
      </c>
      <c r="B314" s="48">
        <v>0</v>
      </c>
      <c r="C314" s="49">
        <v>2.3999999999999998E-3</v>
      </c>
      <c r="D314" s="10">
        <f t="shared" si="47"/>
        <v>-0.38980777739764078</v>
      </c>
      <c r="E314" s="10">
        <f t="shared" si="48"/>
        <v>-0.52495136612021831</v>
      </c>
      <c r="F314" s="10">
        <f t="shared" si="59"/>
        <v>0.15195010331968867</v>
      </c>
      <c r="G314" s="10">
        <f t="shared" si="59"/>
        <v>0.27557393679148351</v>
      </c>
      <c r="H314" s="11">
        <f t="shared" si="56"/>
        <v>0.20463012526917748</v>
      </c>
      <c r="I314" s="12">
        <f t="shared" si="57"/>
        <v>2.3999999999999998E-3</v>
      </c>
      <c r="J314" s="28">
        <f t="shared" si="58"/>
        <v>5.7599999999999991E-6</v>
      </c>
      <c r="K314" s="30">
        <f t="shared" si="49"/>
        <v>2.3999999999999998E-3</v>
      </c>
      <c r="L314" s="5"/>
      <c r="M314" s="30">
        <f t="shared" si="50"/>
        <v>-2.3999999999999998E-3</v>
      </c>
      <c r="N314" s="42">
        <f t="shared" si="51"/>
        <v>-2.3999999999999998E-3</v>
      </c>
      <c r="O314" s="43">
        <f t="shared" si="52"/>
        <v>5.7599999999999991E-6</v>
      </c>
      <c r="P314" s="43">
        <f t="shared" si="53"/>
        <v>-0.34013437099999999</v>
      </c>
      <c r="Q314" s="43">
        <f t="shared" si="54"/>
        <v>-0.34013437099999999</v>
      </c>
      <c r="R314" s="43">
        <f t="shared" si="55"/>
        <v>0.11569139033556564</v>
      </c>
    </row>
    <row r="315" spans="1:18" ht="15.75" customHeight="1" x14ac:dyDescent="0.3">
      <c r="A315" s="47">
        <v>38297</v>
      </c>
      <c r="B315" s="48">
        <v>0</v>
      </c>
      <c r="C315" s="49">
        <v>0.33610000000000001</v>
      </c>
      <c r="D315" s="10">
        <f t="shared" si="47"/>
        <v>-0.38980777739764078</v>
      </c>
      <c r="E315" s="10">
        <f t="shared" si="48"/>
        <v>-0.19125136612021826</v>
      </c>
      <c r="F315" s="10">
        <f t="shared" si="59"/>
        <v>0.15195010331968867</v>
      </c>
      <c r="G315" s="10">
        <f t="shared" si="59"/>
        <v>3.6577085042849768E-2</v>
      </c>
      <c r="H315" s="11">
        <f t="shared" si="56"/>
        <v>7.4551269951584731E-2</v>
      </c>
      <c r="I315" s="12">
        <f t="shared" si="57"/>
        <v>0.33610000000000001</v>
      </c>
      <c r="J315" s="28">
        <f t="shared" si="58"/>
        <v>0.11296321000000001</v>
      </c>
      <c r="K315" s="30">
        <f t="shared" si="49"/>
        <v>0.33610000000000001</v>
      </c>
      <c r="L315" s="5"/>
      <c r="M315" s="30">
        <f t="shared" si="50"/>
        <v>-0.33610000000000001</v>
      </c>
      <c r="N315" s="42">
        <f t="shared" si="51"/>
        <v>-0.33610000000000001</v>
      </c>
      <c r="O315" s="43">
        <f t="shared" si="52"/>
        <v>0.11296321000000001</v>
      </c>
      <c r="P315" s="43">
        <f t="shared" si="53"/>
        <v>-0.34013437099999999</v>
      </c>
      <c r="Q315" s="43">
        <f t="shared" si="54"/>
        <v>-0.34013437099999999</v>
      </c>
      <c r="R315" s="43">
        <f t="shared" si="55"/>
        <v>0.11569139033556564</v>
      </c>
    </row>
    <row r="316" spans="1:18" ht="15.75" customHeight="1" x14ac:dyDescent="0.3">
      <c r="A316" s="47">
        <v>38298</v>
      </c>
      <c r="B316" s="48">
        <v>0</v>
      </c>
      <c r="C316" s="49">
        <v>0.16969999999999999</v>
      </c>
      <c r="D316" s="10">
        <f t="shared" si="47"/>
        <v>-0.38980777739764078</v>
      </c>
      <c r="E316" s="10">
        <f t="shared" si="48"/>
        <v>-0.35765136612021831</v>
      </c>
      <c r="F316" s="10">
        <f t="shared" si="59"/>
        <v>0.15195010331968867</v>
      </c>
      <c r="G316" s="10">
        <f t="shared" si="59"/>
        <v>0.12791449968765845</v>
      </c>
      <c r="H316" s="11">
        <f t="shared" si="56"/>
        <v>0.13941528411055218</v>
      </c>
      <c r="I316" s="12">
        <f t="shared" si="57"/>
        <v>0.16969999999999999</v>
      </c>
      <c r="J316" s="28">
        <f t="shared" si="58"/>
        <v>2.8798089999999995E-2</v>
      </c>
      <c r="K316" s="30">
        <f t="shared" si="49"/>
        <v>0.16969999999999999</v>
      </c>
      <c r="L316" s="5"/>
      <c r="M316" s="30">
        <f t="shared" si="50"/>
        <v>-0.16969999999999999</v>
      </c>
      <c r="N316" s="42">
        <f t="shared" si="51"/>
        <v>-0.16969999999999999</v>
      </c>
      <c r="O316" s="43">
        <f t="shared" si="52"/>
        <v>2.8798089999999995E-2</v>
      </c>
      <c r="P316" s="43">
        <f t="shared" si="53"/>
        <v>-0.34013437099999999</v>
      </c>
      <c r="Q316" s="43">
        <f t="shared" si="54"/>
        <v>-0.34013437099999999</v>
      </c>
      <c r="R316" s="43">
        <f t="shared" si="55"/>
        <v>0.11569139033556564</v>
      </c>
    </row>
    <row r="317" spans="1:18" ht="15.75" customHeight="1" x14ac:dyDescent="0.3">
      <c r="A317" s="47">
        <v>38299</v>
      </c>
      <c r="B317" s="48">
        <v>0</v>
      </c>
      <c r="C317" s="49">
        <v>0</v>
      </c>
      <c r="D317" s="10">
        <f t="shared" si="47"/>
        <v>-0.38980777739764078</v>
      </c>
      <c r="E317" s="10">
        <f t="shared" si="48"/>
        <v>-0.52735136612021827</v>
      </c>
      <c r="F317" s="10">
        <f t="shared" si="59"/>
        <v>0.15195010331968867</v>
      </c>
      <c r="G317" s="10">
        <f t="shared" si="59"/>
        <v>0.27809946334886049</v>
      </c>
      <c r="H317" s="11">
        <f t="shared" si="56"/>
        <v>0.20556566393493181</v>
      </c>
      <c r="I317" s="12">
        <f t="shared" si="57"/>
        <v>0</v>
      </c>
      <c r="J317" s="28">
        <f t="shared" si="58"/>
        <v>0</v>
      </c>
      <c r="K317" s="30">
        <f t="shared" si="49"/>
        <v>0</v>
      </c>
      <c r="L317" s="5"/>
      <c r="M317" s="30">
        <f t="shared" si="50"/>
        <v>0</v>
      </c>
      <c r="N317" s="42">
        <f t="shared" si="51"/>
        <v>0</v>
      </c>
      <c r="O317" s="43">
        <f t="shared" si="52"/>
        <v>0</v>
      </c>
      <c r="P317" s="43">
        <f t="shared" si="53"/>
        <v>-0.34013437099999999</v>
      </c>
      <c r="Q317" s="43">
        <f t="shared" si="54"/>
        <v>-0.34013437099999999</v>
      </c>
      <c r="R317" s="43">
        <f t="shared" si="55"/>
        <v>0.11569139033556564</v>
      </c>
    </row>
    <row r="318" spans="1:18" ht="15.75" customHeight="1" x14ac:dyDescent="0.3">
      <c r="A318" s="47">
        <v>38300</v>
      </c>
      <c r="B318" s="48">
        <v>0</v>
      </c>
      <c r="C318" s="49">
        <v>0</v>
      </c>
      <c r="D318" s="10">
        <f t="shared" si="47"/>
        <v>-0.38980777739764078</v>
      </c>
      <c r="E318" s="10">
        <f t="shared" si="48"/>
        <v>-0.52735136612021827</v>
      </c>
      <c r="F318" s="10">
        <f t="shared" si="59"/>
        <v>0.15195010331968867</v>
      </c>
      <c r="G318" s="10">
        <f t="shared" si="59"/>
        <v>0.27809946334886049</v>
      </c>
      <c r="H318" s="11">
        <f t="shared" si="56"/>
        <v>0.20556566393493181</v>
      </c>
      <c r="I318" s="12">
        <f t="shared" si="57"/>
        <v>0</v>
      </c>
      <c r="J318" s="28">
        <f t="shared" si="58"/>
        <v>0</v>
      </c>
      <c r="K318" s="30">
        <f t="shared" si="49"/>
        <v>0</v>
      </c>
      <c r="L318" s="5"/>
      <c r="M318" s="30">
        <f t="shared" si="50"/>
        <v>0</v>
      </c>
      <c r="N318" s="42">
        <f t="shared" si="51"/>
        <v>0</v>
      </c>
      <c r="O318" s="43">
        <f t="shared" si="52"/>
        <v>0</v>
      </c>
      <c r="P318" s="43">
        <f t="shared" si="53"/>
        <v>-0.34013437099999999</v>
      </c>
      <c r="Q318" s="43">
        <f t="shared" si="54"/>
        <v>-0.34013437099999999</v>
      </c>
      <c r="R318" s="43">
        <f t="shared" si="55"/>
        <v>0.11569139033556564</v>
      </c>
    </row>
    <row r="319" spans="1:18" ht="15.75" customHeight="1" x14ac:dyDescent="0.3">
      <c r="A319" s="47">
        <v>38301</v>
      </c>
      <c r="B319" s="48">
        <v>0</v>
      </c>
      <c r="C319" s="49">
        <v>0.27260000000000001</v>
      </c>
      <c r="D319" s="10">
        <f t="shared" si="47"/>
        <v>-0.38980777739764078</v>
      </c>
      <c r="E319" s="10">
        <f t="shared" si="48"/>
        <v>-0.25475136612021826</v>
      </c>
      <c r="F319" s="10">
        <f t="shared" si="59"/>
        <v>0.15195010331968867</v>
      </c>
      <c r="G319" s="10">
        <f t="shared" si="59"/>
        <v>6.4898258540117493E-2</v>
      </c>
      <c r="H319" s="11">
        <f t="shared" si="56"/>
        <v>9.9304063816334928E-2</v>
      </c>
      <c r="I319" s="12">
        <f t="shared" si="57"/>
        <v>0.27260000000000001</v>
      </c>
      <c r="J319" s="28">
        <f t="shared" si="58"/>
        <v>7.4310760000000003E-2</v>
      </c>
      <c r="K319" s="30">
        <f t="shared" si="49"/>
        <v>0.27260000000000001</v>
      </c>
      <c r="L319" s="5"/>
      <c r="M319" s="30">
        <f t="shared" si="50"/>
        <v>-0.27260000000000001</v>
      </c>
      <c r="N319" s="42">
        <f t="shared" si="51"/>
        <v>-0.27260000000000001</v>
      </c>
      <c r="O319" s="43">
        <f t="shared" si="52"/>
        <v>7.4310760000000003E-2</v>
      </c>
      <c r="P319" s="43">
        <f t="shared" si="53"/>
        <v>-0.34013437099999999</v>
      </c>
      <c r="Q319" s="43">
        <f t="shared" si="54"/>
        <v>-0.34013437099999999</v>
      </c>
      <c r="R319" s="43">
        <f t="shared" si="55"/>
        <v>0.11569139033556564</v>
      </c>
    </row>
    <row r="320" spans="1:18" ht="15.75" customHeight="1" x14ac:dyDescent="0.3">
      <c r="A320" s="47">
        <v>38302</v>
      </c>
      <c r="B320" s="48">
        <v>0</v>
      </c>
      <c r="C320" s="49">
        <v>0</v>
      </c>
      <c r="D320" s="10">
        <f t="shared" si="47"/>
        <v>-0.38980777739764078</v>
      </c>
      <c r="E320" s="10">
        <f t="shared" si="48"/>
        <v>-0.52735136612021827</v>
      </c>
      <c r="F320" s="10">
        <f t="shared" si="59"/>
        <v>0.15195010331968867</v>
      </c>
      <c r="G320" s="10">
        <f t="shared" si="59"/>
        <v>0.27809946334886049</v>
      </c>
      <c r="H320" s="11">
        <f t="shared" si="56"/>
        <v>0.20556566393493181</v>
      </c>
      <c r="I320" s="12">
        <f t="shared" si="57"/>
        <v>0</v>
      </c>
      <c r="J320" s="28">
        <f t="shared" si="58"/>
        <v>0</v>
      </c>
      <c r="K320" s="30">
        <f t="shared" si="49"/>
        <v>0</v>
      </c>
      <c r="L320" s="5"/>
      <c r="M320" s="30">
        <f t="shared" si="50"/>
        <v>0</v>
      </c>
      <c r="N320" s="42">
        <f t="shared" si="51"/>
        <v>0</v>
      </c>
      <c r="O320" s="43">
        <f t="shared" si="52"/>
        <v>0</v>
      </c>
      <c r="P320" s="43">
        <f t="shared" si="53"/>
        <v>-0.34013437099999999</v>
      </c>
      <c r="Q320" s="43">
        <f t="shared" si="54"/>
        <v>-0.34013437099999999</v>
      </c>
      <c r="R320" s="43">
        <f t="shared" si="55"/>
        <v>0.11569139033556564</v>
      </c>
    </row>
    <row r="321" spans="1:18" ht="15.75" customHeight="1" x14ac:dyDescent="0.3">
      <c r="A321" s="47">
        <v>38303</v>
      </c>
      <c r="B321" s="48">
        <v>0</v>
      </c>
      <c r="C321" s="49">
        <v>0</v>
      </c>
      <c r="D321" s="10">
        <f t="shared" si="47"/>
        <v>-0.38980777739764078</v>
      </c>
      <c r="E321" s="10">
        <f t="shared" si="48"/>
        <v>-0.52735136612021827</v>
      </c>
      <c r="F321" s="10">
        <f t="shared" si="59"/>
        <v>0.15195010331968867</v>
      </c>
      <c r="G321" s="10">
        <f t="shared" si="59"/>
        <v>0.27809946334886049</v>
      </c>
      <c r="H321" s="11">
        <f t="shared" si="56"/>
        <v>0.20556566393493181</v>
      </c>
      <c r="I321" s="12">
        <f t="shared" si="57"/>
        <v>0</v>
      </c>
      <c r="J321" s="28">
        <f t="shared" si="58"/>
        <v>0</v>
      </c>
      <c r="K321" s="30">
        <f t="shared" si="49"/>
        <v>0</v>
      </c>
      <c r="L321" s="5"/>
      <c r="M321" s="30">
        <f t="shared" si="50"/>
        <v>0</v>
      </c>
      <c r="N321" s="42">
        <f t="shared" si="51"/>
        <v>0</v>
      </c>
      <c r="O321" s="43">
        <f t="shared" si="52"/>
        <v>0</v>
      </c>
      <c r="P321" s="43">
        <f t="shared" si="53"/>
        <v>-0.34013437099999999</v>
      </c>
      <c r="Q321" s="43">
        <f t="shared" si="54"/>
        <v>-0.34013437099999999</v>
      </c>
      <c r="R321" s="43">
        <f t="shared" si="55"/>
        <v>0.11569139033556564</v>
      </c>
    </row>
    <row r="322" spans="1:18" ht="15.75" customHeight="1" x14ac:dyDescent="0.3">
      <c r="A322" s="47">
        <v>38304</v>
      </c>
      <c r="B322" s="48">
        <v>0</v>
      </c>
      <c r="C322" s="49">
        <v>0</v>
      </c>
      <c r="D322" s="10">
        <f t="shared" si="47"/>
        <v>-0.38980777739764078</v>
      </c>
      <c r="E322" s="10">
        <f t="shared" si="48"/>
        <v>-0.52735136612021827</v>
      </c>
      <c r="F322" s="10">
        <f t="shared" si="59"/>
        <v>0.15195010331968867</v>
      </c>
      <c r="G322" s="10">
        <f t="shared" si="59"/>
        <v>0.27809946334886049</v>
      </c>
      <c r="H322" s="11">
        <f t="shared" si="56"/>
        <v>0.20556566393493181</v>
      </c>
      <c r="I322" s="12">
        <f t="shared" si="57"/>
        <v>0</v>
      </c>
      <c r="J322" s="28">
        <f t="shared" si="58"/>
        <v>0</v>
      </c>
      <c r="K322" s="30">
        <f t="shared" si="49"/>
        <v>0</v>
      </c>
      <c r="L322" s="5"/>
      <c r="M322" s="30">
        <f t="shared" si="50"/>
        <v>0</v>
      </c>
      <c r="N322" s="42">
        <f t="shared" si="51"/>
        <v>0</v>
      </c>
      <c r="O322" s="43">
        <f t="shared" si="52"/>
        <v>0</v>
      </c>
      <c r="P322" s="43">
        <f t="shared" si="53"/>
        <v>-0.34013437099999999</v>
      </c>
      <c r="Q322" s="43">
        <f t="shared" si="54"/>
        <v>-0.34013437099999999</v>
      </c>
      <c r="R322" s="43">
        <f t="shared" si="55"/>
        <v>0.11569139033556564</v>
      </c>
    </row>
    <row r="323" spans="1:18" ht="15.75" customHeight="1" x14ac:dyDescent="0.3">
      <c r="A323" s="47">
        <v>38305</v>
      </c>
      <c r="B323" s="48">
        <v>0</v>
      </c>
      <c r="C323" s="49">
        <v>0</v>
      </c>
      <c r="D323" s="10">
        <f t="shared" si="47"/>
        <v>-0.38980777739764078</v>
      </c>
      <c r="E323" s="10">
        <f t="shared" si="48"/>
        <v>-0.52735136612021827</v>
      </c>
      <c r="F323" s="10">
        <f t="shared" si="59"/>
        <v>0.15195010331968867</v>
      </c>
      <c r="G323" s="10">
        <f t="shared" si="59"/>
        <v>0.27809946334886049</v>
      </c>
      <c r="H323" s="11">
        <f t="shared" si="56"/>
        <v>0.20556566393493181</v>
      </c>
      <c r="I323" s="12">
        <f t="shared" si="57"/>
        <v>0</v>
      </c>
      <c r="J323" s="28">
        <f t="shared" si="58"/>
        <v>0</v>
      </c>
      <c r="K323" s="30">
        <f t="shared" si="49"/>
        <v>0</v>
      </c>
      <c r="L323" s="5"/>
      <c r="M323" s="30">
        <f t="shared" si="50"/>
        <v>0</v>
      </c>
      <c r="N323" s="42">
        <f t="shared" si="51"/>
        <v>0</v>
      </c>
      <c r="O323" s="43">
        <f t="shared" si="52"/>
        <v>0</v>
      </c>
      <c r="P323" s="43">
        <f t="shared" si="53"/>
        <v>-0.34013437099999999</v>
      </c>
      <c r="Q323" s="43">
        <f t="shared" si="54"/>
        <v>-0.34013437099999999</v>
      </c>
      <c r="R323" s="43">
        <f t="shared" si="55"/>
        <v>0.11569139033556564</v>
      </c>
    </row>
    <row r="324" spans="1:18" ht="15.75" customHeight="1" x14ac:dyDescent="0.3">
      <c r="A324" s="47">
        <v>38306</v>
      </c>
      <c r="B324" s="48">
        <v>0</v>
      </c>
      <c r="C324" s="49">
        <v>0</v>
      </c>
      <c r="D324" s="10">
        <f t="shared" si="47"/>
        <v>-0.38980777739764078</v>
      </c>
      <c r="E324" s="10">
        <f t="shared" si="48"/>
        <v>-0.52735136612021827</v>
      </c>
      <c r="F324" s="10">
        <f t="shared" si="59"/>
        <v>0.15195010331968867</v>
      </c>
      <c r="G324" s="10">
        <f t="shared" si="59"/>
        <v>0.27809946334886049</v>
      </c>
      <c r="H324" s="11">
        <f t="shared" si="56"/>
        <v>0.20556566393493181</v>
      </c>
      <c r="I324" s="12">
        <f t="shared" si="57"/>
        <v>0</v>
      </c>
      <c r="J324" s="28">
        <f t="shared" si="58"/>
        <v>0</v>
      </c>
      <c r="K324" s="30">
        <f t="shared" si="49"/>
        <v>0</v>
      </c>
      <c r="L324" s="5"/>
      <c r="M324" s="30">
        <f t="shared" si="50"/>
        <v>0</v>
      </c>
      <c r="N324" s="42">
        <f t="shared" si="51"/>
        <v>0</v>
      </c>
      <c r="O324" s="43">
        <f t="shared" si="52"/>
        <v>0</v>
      </c>
      <c r="P324" s="43">
        <f t="shared" si="53"/>
        <v>-0.34013437099999999</v>
      </c>
      <c r="Q324" s="43">
        <f t="shared" si="54"/>
        <v>-0.34013437099999999</v>
      </c>
      <c r="R324" s="43">
        <f t="shared" si="55"/>
        <v>0.11569139033556564</v>
      </c>
    </row>
    <row r="325" spans="1:18" ht="15.75" customHeight="1" x14ac:dyDescent="0.3">
      <c r="A325" s="47">
        <v>38307</v>
      </c>
      <c r="B325" s="48">
        <v>0.79056966304779053</v>
      </c>
      <c r="C325" s="49">
        <v>5.2499999999999998E-2</v>
      </c>
      <c r="D325" s="10">
        <f t="shared" ref="D325:D370" si="60">B325-$C$375</f>
        <v>0.40076188565014975</v>
      </c>
      <c r="E325" s="10">
        <f t="shared" ref="E325:E370" si="61">C325-$D$375</f>
        <v>-0.47485136612021828</v>
      </c>
      <c r="F325" s="10">
        <f t="shared" si="59"/>
        <v>0.1606100889898637</v>
      </c>
      <c r="G325" s="10">
        <f t="shared" si="59"/>
        <v>0.22548381990623759</v>
      </c>
      <c r="H325" s="11">
        <f t="shared" si="56"/>
        <v>-0.19030232888988832</v>
      </c>
      <c r="I325" s="12">
        <f t="shared" si="57"/>
        <v>0.73806966304779054</v>
      </c>
      <c r="J325" s="28">
        <f t="shared" si="58"/>
        <v>0.54474682751147907</v>
      </c>
      <c r="K325" s="30">
        <f t="shared" si="49"/>
        <v>-0.73806966304779054</v>
      </c>
      <c r="L325" s="5"/>
      <c r="M325" s="30">
        <f t="shared" si="50"/>
        <v>0.73806966304779054</v>
      </c>
      <c r="N325" s="42">
        <f t="shared" si="51"/>
        <v>0.73806966304779054</v>
      </c>
      <c r="O325" s="43">
        <f t="shared" si="52"/>
        <v>0.54474682751147907</v>
      </c>
      <c r="P325" s="43">
        <f t="shared" si="53"/>
        <v>0.45043529204779054</v>
      </c>
      <c r="Q325" s="43">
        <f t="shared" si="54"/>
        <v>0.45043529204779054</v>
      </c>
      <c r="R325" s="43">
        <f t="shared" si="55"/>
        <v>0.20289195232217835</v>
      </c>
    </row>
    <row r="326" spans="1:18" ht="15.75" customHeight="1" x14ac:dyDescent="0.3">
      <c r="A326" s="47">
        <v>38308</v>
      </c>
      <c r="B326" s="48">
        <v>1.3718650341033936</v>
      </c>
      <c r="C326" s="49">
        <v>1.9495</v>
      </c>
      <c r="D326" s="10">
        <f t="shared" si="60"/>
        <v>0.98205725670575283</v>
      </c>
      <c r="E326" s="10">
        <f t="shared" si="61"/>
        <v>1.4221486338797817</v>
      </c>
      <c r="F326" s="10">
        <f t="shared" si="59"/>
        <v>0.96443645544842893</v>
      </c>
      <c r="G326" s="10">
        <f t="shared" si="59"/>
        <v>2.0225067368461294</v>
      </c>
      <c r="H326" s="11">
        <f t="shared" si="56"/>
        <v>1.3966313860158126</v>
      </c>
      <c r="I326" s="12">
        <f t="shared" si="57"/>
        <v>0.57763496589660646</v>
      </c>
      <c r="J326" s="28">
        <f t="shared" si="58"/>
        <v>0.33366215382637371</v>
      </c>
      <c r="K326" s="30">
        <f t="shared" ref="K326:K370" si="62">C326-B326</f>
        <v>0.57763496589660646</v>
      </c>
      <c r="L326" s="5"/>
      <c r="M326" s="30">
        <f t="shared" ref="M326:M370" si="63">B326-C326</f>
        <v>-0.57763496589660646</v>
      </c>
      <c r="N326" s="42">
        <f t="shared" ref="N326:N370" si="64">B326-C326</f>
        <v>-0.57763496589660646</v>
      </c>
      <c r="O326" s="43">
        <f t="shared" ref="O326:O370" si="65">M326*N326</f>
        <v>0.33366215382637371</v>
      </c>
      <c r="P326" s="43">
        <f t="shared" ref="P326:P370" si="66">B326-0.340134371</f>
        <v>1.0317306631033936</v>
      </c>
      <c r="Q326" s="43">
        <f t="shared" ref="Q326:Q369" si="67">B326-0.340134371</f>
        <v>1.0317306631033936</v>
      </c>
      <c r="R326" s="43">
        <f t="shared" ref="R326:R370" si="68">P326*Q326</f>
        <v>1.0644681611877682</v>
      </c>
    </row>
    <row r="327" spans="1:18" ht="15.75" customHeight="1" x14ac:dyDescent="0.3">
      <c r="A327" s="47">
        <v>38309</v>
      </c>
      <c r="B327" s="48">
        <v>0.62584877014160156</v>
      </c>
      <c r="C327" s="49">
        <v>0.26179999999999998</v>
      </c>
      <c r="D327" s="10">
        <f t="shared" si="60"/>
        <v>0.23604099274396079</v>
      </c>
      <c r="E327" s="10">
        <f t="shared" si="61"/>
        <v>-0.26555136612021829</v>
      </c>
      <c r="F327" s="10">
        <f t="shared" si="59"/>
        <v>5.5715350255554547E-2</v>
      </c>
      <c r="G327" s="10">
        <f t="shared" si="59"/>
        <v>7.0517528048314224E-2</v>
      </c>
      <c r="H327" s="11">
        <f t="shared" si="56"/>
        <v>-6.2681008083531317E-2</v>
      </c>
      <c r="I327" s="12">
        <f t="shared" si="57"/>
        <v>0.36404877014160159</v>
      </c>
      <c r="J327" s="28">
        <f t="shared" si="58"/>
        <v>0.13253150704161268</v>
      </c>
      <c r="K327" s="30">
        <f t="shared" si="62"/>
        <v>-0.36404877014160159</v>
      </c>
      <c r="L327" s="5"/>
      <c r="M327" s="30">
        <f t="shared" si="63"/>
        <v>0.36404877014160159</v>
      </c>
      <c r="N327" s="42">
        <f t="shared" si="64"/>
        <v>0.36404877014160159</v>
      </c>
      <c r="O327" s="43">
        <f t="shared" si="65"/>
        <v>0.13253150704161268</v>
      </c>
      <c r="P327" s="43">
        <f t="shared" si="66"/>
        <v>0.28571439914160157</v>
      </c>
      <c r="Q327" s="43">
        <f t="shared" si="67"/>
        <v>0.28571439914160157</v>
      </c>
      <c r="R327" s="43">
        <f t="shared" si="68"/>
        <v>8.1632717876846422E-2</v>
      </c>
    </row>
    <row r="328" spans="1:18" ht="15.75" customHeight="1" x14ac:dyDescent="0.3">
      <c r="A328" s="47">
        <v>38310</v>
      </c>
      <c r="B328" s="48">
        <v>2.1065719127655029</v>
      </c>
      <c r="C328" s="49">
        <v>0.2094</v>
      </c>
      <c r="D328" s="10">
        <f t="shared" si="60"/>
        <v>1.7167641353678622</v>
      </c>
      <c r="E328" s="10">
        <f t="shared" si="61"/>
        <v>-0.31795136612021824</v>
      </c>
      <c r="F328" s="10">
        <f t="shared" si="59"/>
        <v>2.9472790964853637</v>
      </c>
      <c r="G328" s="10">
        <f t="shared" si="59"/>
        <v>0.10109307121771306</v>
      </c>
      <c r="H328" s="11">
        <f t="shared" si="56"/>
        <v>-0.54584750214640709</v>
      </c>
      <c r="I328" s="12">
        <f t="shared" si="57"/>
        <v>1.8971719127655029</v>
      </c>
      <c r="J328" s="28">
        <f t="shared" si="58"/>
        <v>3.5992612665863168</v>
      </c>
      <c r="K328" s="30">
        <f t="shared" si="62"/>
        <v>-1.8971719127655029</v>
      </c>
      <c r="L328" s="5"/>
      <c r="M328" s="30">
        <f t="shared" si="63"/>
        <v>1.8971719127655029</v>
      </c>
      <c r="N328" s="42">
        <f t="shared" si="64"/>
        <v>1.8971719127655029</v>
      </c>
      <c r="O328" s="43">
        <f t="shared" si="65"/>
        <v>3.5992612665863168</v>
      </c>
      <c r="P328" s="43">
        <f t="shared" si="66"/>
        <v>1.7664375417655029</v>
      </c>
      <c r="Q328" s="43">
        <f t="shared" si="67"/>
        <v>1.7664375417655029</v>
      </c>
      <c r="R328" s="43">
        <f t="shared" si="68"/>
        <v>3.120301588958553</v>
      </c>
    </row>
    <row r="329" spans="1:18" ht="15.75" customHeight="1" x14ac:dyDescent="0.3">
      <c r="A329" s="47">
        <v>38311</v>
      </c>
      <c r="B329" s="48">
        <v>0</v>
      </c>
      <c r="C329" s="49">
        <v>0.89449999999999996</v>
      </c>
      <c r="D329" s="10">
        <f t="shared" si="60"/>
        <v>-0.38980777739764078</v>
      </c>
      <c r="E329" s="10">
        <f t="shared" si="61"/>
        <v>0.36714863387978169</v>
      </c>
      <c r="F329" s="10">
        <f t="shared" si="59"/>
        <v>0.15195010331968867</v>
      </c>
      <c r="G329" s="10">
        <f t="shared" si="59"/>
        <v>0.13479811935978997</v>
      </c>
      <c r="H329" s="11">
        <f t="shared" si="56"/>
        <v>-0.14311739294725787</v>
      </c>
      <c r="I329" s="12">
        <f t="shared" si="57"/>
        <v>0.89449999999999996</v>
      </c>
      <c r="J329" s="28">
        <f t="shared" si="58"/>
        <v>0.80013024999999993</v>
      </c>
      <c r="K329" s="30">
        <f t="shared" si="62"/>
        <v>0.89449999999999996</v>
      </c>
      <c r="L329" s="5"/>
      <c r="M329" s="30">
        <f t="shared" si="63"/>
        <v>-0.89449999999999996</v>
      </c>
      <c r="N329" s="42">
        <f t="shared" si="64"/>
        <v>-0.89449999999999996</v>
      </c>
      <c r="O329" s="43">
        <f t="shared" si="65"/>
        <v>0.80013024999999993</v>
      </c>
      <c r="P329" s="43">
        <f t="shared" si="66"/>
        <v>-0.34013437099999999</v>
      </c>
      <c r="Q329" s="43">
        <f t="shared" si="67"/>
        <v>-0.34013437099999999</v>
      </c>
      <c r="R329" s="43">
        <f t="shared" si="68"/>
        <v>0.11569139033556564</v>
      </c>
    </row>
    <row r="330" spans="1:18" ht="15.75" customHeight="1" x14ac:dyDescent="0.3">
      <c r="A330" s="47">
        <v>38312</v>
      </c>
      <c r="B330" s="48">
        <v>2.4976737499237061</v>
      </c>
      <c r="C330" s="49">
        <v>3.6084000000000001</v>
      </c>
      <c r="D330" s="10">
        <f t="shared" si="60"/>
        <v>2.1078659725260653</v>
      </c>
      <c r="E330" s="10">
        <f t="shared" si="61"/>
        <v>3.0810486338797816</v>
      </c>
      <c r="F330" s="10">
        <f t="shared" si="59"/>
        <v>4.4430989581332554</v>
      </c>
      <c r="G330" s="10">
        <f t="shared" si="59"/>
        <v>9.4928606843324683</v>
      </c>
      <c r="H330" s="11">
        <f t="shared" si="56"/>
        <v>6.4944375750531105</v>
      </c>
      <c r="I330" s="12">
        <f t="shared" si="57"/>
        <v>1.110726250076294</v>
      </c>
      <c r="J330" s="28">
        <f t="shared" si="58"/>
        <v>1.233712802608546</v>
      </c>
      <c r="K330" s="30">
        <f t="shared" si="62"/>
        <v>1.110726250076294</v>
      </c>
      <c r="L330" s="5"/>
      <c r="M330" s="30">
        <f t="shared" si="63"/>
        <v>-1.110726250076294</v>
      </c>
      <c r="N330" s="42">
        <f t="shared" si="64"/>
        <v>-1.110726250076294</v>
      </c>
      <c r="O330" s="43">
        <f t="shared" si="65"/>
        <v>1.233712802608546</v>
      </c>
      <c r="P330" s="43">
        <f t="shared" si="66"/>
        <v>2.1575393789237061</v>
      </c>
      <c r="Q330" s="43">
        <f t="shared" si="67"/>
        <v>2.1575393789237061</v>
      </c>
      <c r="R330" s="43">
        <f t="shared" si="68"/>
        <v>4.6549761716064912</v>
      </c>
    </row>
    <row r="331" spans="1:18" ht="15.75" customHeight="1" x14ac:dyDescent="0.3">
      <c r="A331" s="47">
        <v>38313</v>
      </c>
      <c r="B331" s="48">
        <v>6.097266674041748</v>
      </c>
      <c r="C331" s="49">
        <v>4.0364000000000004</v>
      </c>
      <c r="D331" s="10">
        <f t="shared" si="60"/>
        <v>5.7074588966441073</v>
      </c>
      <c r="E331" s="10">
        <f t="shared" si="61"/>
        <v>3.5090486338797824</v>
      </c>
      <c r="F331" s="10">
        <f t="shared" si="59"/>
        <v>32.575087056881969</v>
      </c>
      <c r="G331" s="10">
        <f t="shared" si="59"/>
        <v>12.313422314933566</v>
      </c>
      <c r="H331" s="11">
        <f t="shared" ref="H331:H370" si="69">D331*E331</f>
        <v>20.027750844194014</v>
      </c>
      <c r="I331" s="12">
        <f t="shared" ref="I331:I370" si="70">ABS(C331-B331)</f>
        <v>2.0608666740417476</v>
      </c>
      <c r="J331" s="28">
        <f t="shared" ref="J331:J370" si="71">I331^2</f>
        <v>4.2471714481758944</v>
      </c>
      <c r="K331" s="30">
        <f t="shared" si="62"/>
        <v>-2.0608666740417476</v>
      </c>
      <c r="L331" s="5"/>
      <c r="M331" s="30">
        <f t="shared" si="63"/>
        <v>2.0608666740417476</v>
      </c>
      <c r="N331" s="42">
        <f t="shared" si="64"/>
        <v>2.0608666740417476</v>
      </c>
      <c r="O331" s="43">
        <f t="shared" si="65"/>
        <v>4.2471714481758944</v>
      </c>
      <c r="P331" s="43">
        <f t="shared" si="66"/>
        <v>5.7571323030417485</v>
      </c>
      <c r="Q331" s="43">
        <f t="shared" si="67"/>
        <v>5.7571323030417485</v>
      </c>
      <c r="R331" s="43">
        <f t="shared" si="68"/>
        <v>33.14457235472679</v>
      </c>
    </row>
    <row r="332" spans="1:18" ht="15.75" customHeight="1" x14ac:dyDescent="0.3">
      <c r="A332" s="47">
        <v>38314</v>
      </c>
      <c r="B332" s="48">
        <v>8.8212884962558746E-2</v>
      </c>
      <c r="C332" s="49">
        <v>0.24479999999999999</v>
      </c>
      <c r="D332" s="10">
        <f t="shared" si="60"/>
        <v>-0.30159489243508203</v>
      </c>
      <c r="E332" s="10">
        <f t="shared" si="61"/>
        <v>-0.28255136612021825</v>
      </c>
      <c r="F332" s="10">
        <f t="shared" si="59"/>
        <v>9.0959479142928693E-2</v>
      </c>
      <c r="G332" s="10">
        <f t="shared" si="59"/>
        <v>7.9835274496401612E-2</v>
      </c>
      <c r="H332" s="11">
        <f t="shared" si="69"/>
        <v>8.52160488724127E-2</v>
      </c>
      <c r="I332" s="12">
        <f t="shared" si="70"/>
        <v>0.15658711503744124</v>
      </c>
      <c r="J332" s="28">
        <f t="shared" si="71"/>
        <v>2.4519524595748857E-2</v>
      </c>
      <c r="K332" s="30">
        <f t="shared" si="62"/>
        <v>0.15658711503744124</v>
      </c>
      <c r="L332" s="5"/>
      <c r="M332" s="30">
        <f t="shared" si="63"/>
        <v>-0.15658711503744124</v>
      </c>
      <c r="N332" s="42">
        <f t="shared" si="64"/>
        <v>-0.15658711503744124</v>
      </c>
      <c r="O332" s="43">
        <f t="shared" si="65"/>
        <v>2.4519524595748857E-2</v>
      </c>
      <c r="P332" s="43">
        <f t="shared" si="66"/>
        <v>-0.25192148603744124</v>
      </c>
      <c r="Q332" s="43">
        <f t="shared" si="67"/>
        <v>-0.25192148603744124</v>
      </c>
      <c r="R332" s="43">
        <f t="shared" si="68"/>
        <v>6.3464435127312702E-2</v>
      </c>
    </row>
    <row r="333" spans="1:18" ht="15.75" customHeight="1" x14ac:dyDescent="0.3">
      <c r="A333" s="47">
        <v>38315</v>
      </c>
      <c r="B333" s="48">
        <v>0</v>
      </c>
      <c r="C333" s="49">
        <v>0.48530000000000001</v>
      </c>
      <c r="D333" s="10">
        <f t="shared" si="60"/>
        <v>-0.38980777739764078</v>
      </c>
      <c r="E333" s="10">
        <f t="shared" si="61"/>
        <v>-4.2051366120218259E-2</v>
      </c>
      <c r="F333" s="10">
        <f t="shared" si="59"/>
        <v>0.15195010331968867</v>
      </c>
      <c r="G333" s="10">
        <f t="shared" si="59"/>
        <v>1.76831739257664E-3</v>
      </c>
      <c r="H333" s="11">
        <f t="shared" si="69"/>
        <v>1.6391949563856732E-2</v>
      </c>
      <c r="I333" s="12">
        <f t="shared" si="70"/>
        <v>0.48530000000000001</v>
      </c>
      <c r="J333" s="28">
        <f t="shared" si="71"/>
        <v>0.23551609000000001</v>
      </c>
      <c r="K333" s="30">
        <f t="shared" si="62"/>
        <v>0.48530000000000001</v>
      </c>
      <c r="L333" s="5"/>
      <c r="M333" s="30">
        <f t="shared" si="63"/>
        <v>-0.48530000000000001</v>
      </c>
      <c r="N333" s="42">
        <f t="shared" si="64"/>
        <v>-0.48530000000000001</v>
      </c>
      <c r="O333" s="43">
        <f t="shared" si="65"/>
        <v>0.23551609000000001</v>
      </c>
      <c r="P333" s="43">
        <f t="shared" si="66"/>
        <v>-0.34013437099999999</v>
      </c>
      <c r="Q333" s="43">
        <f t="shared" si="67"/>
        <v>-0.34013437099999999</v>
      </c>
      <c r="R333" s="43">
        <f t="shared" si="68"/>
        <v>0.11569139033556564</v>
      </c>
    </row>
    <row r="334" spans="1:18" ht="15.75" customHeight="1" x14ac:dyDescent="0.3">
      <c r="A334" s="47">
        <v>38316</v>
      </c>
      <c r="B334" s="48">
        <v>6.2949824333190918</v>
      </c>
      <c r="C334" s="49">
        <v>3.8028</v>
      </c>
      <c r="D334" s="10">
        <f t="shared" si="60"/>
        <v>5.9051746559214511</v>
      </c>
      <c r="E334" s="10">
        <f t="shared" si="61"/>
        <v>3.2754486338797815</v>
      </c>
      <c r="F334" s="10">
        <f t="shared" si="59"/>
        <v>34.871087716937026</v>
      </c>
      <c r="G334" s="10">
        <f t="shared" si="59"/>
        <v>10.728563753184927</v>
      </c>
      <c r="H334" s="11">
        <f t="shared" si="69"/>
        <v>19.342096259559426</v>
      </c>
      <c r="I334" s="12">
        <f t="shared" si="70"/>
        <v>2.4921824333190918</v>
      </c>
      <c r="J334" s="28">
        <f t="shared" si="71"/>
        <v>6.2109732809442697</v>
      </c>
      <c r="K334" s="30">
        <f t="shared" si="62"/>
        <v>-2.4921824333190918</v>
      </c>
      <c r="L334" s="5"/>
      <c r="M334" s="30">
        <f t="shared" si="63"/>
        <v>2.4921824333190918</v>
      </c>
      <c r="N334" s="42">
        <f t="shared" si="64"/>
        <v>2.4921824333190918</v>
      </c>
      <c r="O334" s="43">
        <f t="shared" si="65"/>
        <v>6.2109732809442697</v>
      </c>
      <c r="P334" s="43">
        <f t="shared" si="66"/>
        <v>5.9548480623190923</v>
      </c>
      <c r="Q334" s="43">
        <f t="shared" si="67"/>
        <v>5.9548480623190923</v>
      </c>
      <c r="R334" s="43">
        <f t="shared" si="68"/>
        <v>35.460215445305451</v>
      </c>
    </row>
    <row r="335" spans="1:18" ht="15.75" customHeight="1" x14ac:dyDescent="0.3">
      <c r="A335" s="47">
        <v>38317</v>
      </c>
      <c r="B335" s="48">
        <v>3.6656863987445831E-2</v>
      </c>
      <c r="C335" s="49">
        <v>1.3050999999999999</v>
      </c>
      <c r="D335" s="10">
        <f t="shared" si="60"/>
        <v>-0.35315091341019494</v>
      </c>
      <c r="E335" s="10">
        <f t="shared" si="61"/>
        <v>0.77774863387978166</v>
      </c>
      <c r="F335" s="10">
        <f t="shared" si="59"/>
        <v>0.12471556764245501</v>
      </c>
      <c r="G335" s="10">
        <f t="shared" si="59"/>
        <v>0.60489293750186668</v>
      </c>
      <c r="H335" s="11">
        <f t="shared" si="69"/>
        <v>-0.27466264045817618</v>
      </c>
      <c r="I335" s="12">
        <f t="shared" si="70"/>
        <v>1.2684431360125541</v>
      </c>
      <c r="J335" s="28">
        <f t="shared" si="71"/>
        <v>1.6089479892973628</v>
      </c>
      <c r="K335" s="30">
        <f t="shared" si="62"/>
        <v>1.2684431360125541</v>
      </c>
      <c r="L335" s="5"/>
      <c r="M335" s="30">
        <f t="shared" si="63"/>
        <v>-1.2684431360125541</v>
      </c>
      <c r="N335" s="42">
        <f t="shared" si="64"/>
        <v>-1.2684431360125541</v>
      </c>
      <c r="O335" s="43">
        <f t="shared" si="65"/>
        <v>1.6089479892973628</v>
      </c>
      <c r="P335" s="43">
        <f t="shared" si="66"/>
        <v>-0.30347750701255416</v>
      </c>
      <c r="Q335" s="43">
        <f t="shared" si="67"/>
        <v>-0.30347750701255416</v>
      </c>
      <c r="R335" s="43">
        <f t="shared" si="68"/>
        <v>9.2098597262554857E-2</v>
      </c>
    </row>
    <row r="336" spans="1:18" ht="15.75" customHeight="1" x14ac:dyDescent="0.3">
      <c r="A336" s="47">
        <v>38318</v>
      </c>
      <c r="B336" s="48">
        <v>0</v>
      </c>
      <c r="C336" s="49">
        <v>0.67159999999999997</v>
      </c>
      <c r="D336" s="10">
        <f t="shared" si="60"/>
        <v>-0.38980777739764078</v>
      </c>
      <c r="E336" s="10">
        <f t="shared" si="61"/>
        <v>0.14424863387978171</v>
      </c>
      <c r="F336" s="10">
        <f t="shared" si="59"/>
        <v>0.15195010331968867</v>
      </c>
      <c r="G336" s="10">
        <f t="shared" si="59"/>
        <v>2.0807668376183308E-2</v>
      </c>
      <c r="H336" s="11">
        <f t="shared" si="69"/>
        <v>-5.622923936532373E-2</v>
      </c>
      <c r="I336" s="12">
        <f t="shared" si="70"/>
        <v>0.67159999999999997</v>
      </c>
      <c r="J336" s="28">
        <f t="shared" si="71"/>
        <v>0.45104655999999999</v>
      </c>
      <c r="K336" s="30">
        <f t="shared" si="62"/>
        <v>0.67159999999999997</v>
      </c>
      <c r="L336" s="5"/>
      <c r="M336" s="30">
        <f t="shared" si="63"/>
        <v>-0.67159999999999997</v>
      </c>
      <c r="N336" s="42">
        <f t="shared" si="64"/>
        <v>-0.67159999999999997</v>
      </c>
      <c r="O336" s="43">
        <f t="shared" si="65"/>
        <v>0.45104655999999999</v>
      </c>
      <c r="P336" s="43">
        <f t="shared" si="66"/>
        <v>-0.34013437099999999</v>
      </c>
      <c r="Q336" s="43">
        <f t="shared" si="67"/>
        <v>-0.34013437099999999</v>
      </c>
      <c r="R336" s="43">
        <f t="shared" si="68"/>
        <v>0.11569139033556564</v>
      </c>
    </row>
    <row r="337" spans="1:18" ht="15.75" customHeight="1" x14ac:dyDescent="0.3">
      <c r="A337" s="47">
        <v>38319</v>
      </c>
      <c r="B337" s="48">
        <v>0</v>
      </c>
      <c r="C337" s="49">
        <v>1.9300000000000001E-2</v>
      </c>
      <c r="D337" s="10">
        <f t="shared" si="60"/>
        <v>-0.38980777739764078</v>
      </c>
      <c r="E337" s="10">
        <f t="shared" si="61"/>
        <v>-0.50805136612021828</v>
      </c>
      <c r="F337" s="10">
        <f t="shared" si="59"/>
        <v>0.15195010331968867</v>
      </c>
      <c r="G337" s="10">
        <f t="shared" si="59"/>
        <v>0.25811619061662006</v>
      </c>
      <c r="H337" s="11">
        <f t="shared" si="69"/>
        <v>0.19804237383115733</v>
      </c>
      <c r="I337" s="12">
        <f t="shared" si="70"/>
        <v>1.9300000000000001E-2</v>
      </c>
      <c r="J337" s="28">
        <f t="shared" si="71"/>
        <v>3.7249000000000006E-4</v>
      </c>
      <c r="K337" s="30">
        <f t="shared" si="62"/>
        <v>1.9300000000000001E-2</v>
      </c>
      <c r="L337" s="5"/>
      <c r="M337" s="30">
        <f t="shared" si="63"/>
        <v>-1.9300000000000001E-2</v>
      </c>
      <c r="N337" s="42">
        <f t="shared" si="64"/>
        <v>-1.9300000000000001E-2</v>
      </c>
      <c r="O337" s="43">
        <f t="shared" si="65"/>
        <v>3.7249000000000006E-4</v>
      </c>
      <c r="P337" s="43">
        <f t="shared" si="66"/>
        <v>-0.34013437099999999</v>
      </c>
      <c r="Q337" s="43">
        <f t="shared" si="67"/>
        <v>-0.34013437099999999</v>
      </c>
      <c r="R337" s="43">
        <f t="shared" si="68"/>
        <v>0.11569139033556564</v>
      </c>
    </row>
    <row r="338" spans="1:18" ht="15.75" customHeight="1" x14ac:dyDescent="0.3">
      <c r="A338" s="47">
        <v>38320</v>
      </c>
      <c r="B338" s="48">
        <v>10.588039398193359</v>
      </c>
      <c r="C338" s="49">
        <v>2.0564</v>
      </c>
      <c r="D338" s="10">
        <f t="shared" si="60"/>
        <v>10.198231620795719</v>
      </c>
      <c r="E338" s="10">
        <f t="shared" si="61"/>
        <v>1.5290486338797817</v>
      </c>
      <c r="F338" s="10">
        <f t="shared" si="59"/>
        <v>104.00392819139768</v>
      </c>
      <c r="G338" s="10">
        <f t="shared" si="59"/>
        <v>2.3379897247696269</v>
      </c>
      <c r="H338" s="11">
        <f t="shared" si="69"/>
        <v>15.593592127767286</v>
      </c>
      <c r="I338" s="12">
        <f t="shared" si="70"/>
        <v>8.5316393981933594</v>
      </c>
      <c r="J338" s="28">
        <f t="shared" si="71"/>
        <v>72.788870820805144</v>
      </c>
      <c r="K338" s="30">
        <f t="shared" si="62"/>
        <v>-8.5316393981933594</v>
      </c>
      <c r="L338" s="5"/>
      <c r="M338" s="30">
        <f t="shared" si="63"/>
        <v>8.5316393981933594</v>
      </c>
      <c r="N338" s="42">
        <f t="shared" si="64"/>
        <v>8.5316393981933594</v>
      </c>
      <c r="O338" s="43">
        <f t="shared" si="65"/>
        <v>72.788870820805144</v>
      </c>
      <c r="P338" s="43">
        <f t="shared" si="66"/>
        <v>10.24790502719336</v>
      </c>
      <c r="Q338" s="43">
        <f t="shared" si="67"/>
        <v>10.24790502719336</v>
      </c>
      <c r="R338" s="43">
        <f t="shared" si="68"/>
        <v>105.01955744637493</v>
      </c>
    </row>
    <row r="339" spans="1:18" ht="15.75" customHeight="1" x14ac:dyDescent="0.3">
      <c r="A339" s="47">
        <v>38321</v>
      </c>
      <c r="B339" s="48">
        <v>0</v>
      </c>
      <c r="C339" s="49">
        <v>0.46010000000000001</v>
      </c>
      <c r="D339" s="10">
        <f t="shared" si="60"/>
        <v>-0.38980777739764078</v>
      </c>
      <c r="E339" s="10">
        <f t="shared" si="61"/>
        <v>-6.7251366120218259E-2</v>
      </c>
      <c r="F339" s="10">
        <f t="shared" si="59"/>
        <v>0.15195010331968867</v>
      </c>
      <c r="G339" s="10">
        <f t="shared" si="59"/>
        <v>4.5227462450356404E-3</v>
      </c>
      <c r="H339" s="11">
        <f t="shared" si="69"/>
        <v>2.6215105554277279E-2</v>
      </c>
      <c r="I339" s="12">
        <f t="shared" si="70"/>
        <v>0.46010000000000001</v>
      </c>
      <c r="J339" s="28">
        <f t="shared" si="71"/>
        <v>0.21169201000000001</v>
      </c>
      <c r="K339" s="30">
        <f t="shared" si="62"/>
        <v>0.46010000000000001</v>
      </c>
      <c r="L339" s="5"/>
      <c r="M339" s="30">
        <f t="shared" si="63"/>
        <v>-0.46010000000000001</v>
      </c>
      <c r="N339" s="42">
        <f t="shared" si="64"/>
        <v>-0.46010000000000001</v>
      </c>
      <c r="O339" s="43">
        <f t="shared" si="65"/>
        <v>0.21169201000000001</v>
      </c>
      <c r="P339" s="43">
        <f t="shared" si="66"/>
        <v>-0.34013437099999999</v>
      </c>
      <c r="Q339" s="43">
        <f t="shared" si="67"/>
        <v>-0.34013437099999999</v>
      </c>
      <c r="R339" s="43">
        <f t="shared" si="68"/>
        <v>0.11569139033556564</v>
      </c>
    </row>
    <row r="340" spans="1:18" ht="15.75" customHeight="1" x14ac:dyDescent="0.3">
      <c r="A340" s="47">
        <v>38322</v>
      </c>
      <c r="B340" s="48">
        <v>0</v>
      </c>
      <c r="C340" s="49">
        <v>1.1000000000000001E-3</v>
      </c>
      <c r="D340" s="10">
        <f t="shared" si="60"/>
        <v>-0.38980777739764078</v>
      </c>
      <c r="E340" s="10">
        <f t="shared" si="61"/>
        <v>-0.52625136612021828</v>
      </c>
      <c r="F340" s="10">
        <f t="shared" si="59"/>
        <v>0.15195010331968867</v>
      </c>
      <c r="G340" s="10">
        <f t="shared" si="59"/>
        <v>0.27694050034339601</v>
      </c>
      <c r="H340" s="11">
        <f t="shared" si="69"/>
        <v>0.20513687537979441</v>
      </c>
      <c r="I340" s="12">
        <f t="shared" si="70"/>
        <v>1.1000000000000001E-3</v>
      </c>
      <c r="J340" s="28">
        <f t="shared" si="71"/>
        <v>1.2100000000000001E-6</v>
      </c>
      <c r="K340" s="30">
        <f t="shared" si="62"/>
        <v>1.1000000000000001E-3</v>
      </c>
      <c r="L340" s="5"/>
      <c r="M340" s="30">
        <f t="shared" si="63"/>
        <v>-1.1000000000000001E-3</v>
      </c>
      <c r="N340" s="42">
        <f t="shared" si="64"/>
        <v>-1.1000000000000001E-3</v>
      </c>
      <c r="O340" s="43">
        <f t="shared" si="65"/>
        <v>1.2100000000000001E-6</v>
      </c>
      <c r="P340" s="43">
        <f t="shared" si="66"/>
        <v>-0.34013437099999999</v>
      </c>
      <c r="Q340" s="43">
        <f t="shared" si="67"/>
        <v>-0.34013437099999999</v>
      </c>
      <c r="R340" s="43">
        <f t="shared" si="68"/>
        <v>0.11569139033556564</v>
      </c>
    </row>
    <row r="341" spans="1:18" ht="15.75" customHeight="1" x14ac:dyDescent="0.3">
      <c r="A341" s="47">
        <v>38323</v>
      </c>
      <c r="B341" s="48">
        <v>0</v>
      </c>
      <c r="C341" s="49">
        <v>3.95E-2</v>
      </c>
      <c r="D341" s="10">
        <f t="shared" si="60"/>
        <v>-0.38980777739764078</v>
      </c>
      <c r="E341" s="10">
        <f t="shared" si="61"/>
        <v>-0.48785136612021829</v>
      </c>
      <c r="F341" s="10">
        <f t="shared" ref="F341:G370" si="72">D341^2</f>
        <v>0.15195010331968867</v>
      </c>
      <c r="G341" s="10">
        <f t="shared" si="72"/>
        <v>0.23799895542536326</v>
      </c>
      <c r="H341" s="11">
        <f t="shared" si="69"/>
        <v>0.190168256727725</v>
      </c>
      <c r="I341" s="12">
        <f t="shared" si="70"/>
        <v>3.95E-2</v>
      </c>
      <c r="J341" s="28">
        <f t="shared" si="71"/>
        <v>1.56025E-3</v>
      </c>
      <c r="K341" s="30">
        <f t="shared" si="62"/>
        <v>3.95E-2</v>
      </c>
      <c r="L341" s="5"/>
      <c r="M341" s="30">
        <f t="shared" si="63"/>
        <v>-3.95E-2</v>
      </c>
      <c r="N341" s="42">
        <f t="shared" si="64"/>
        <v>-3.95E-2</v>
      </c>
      <c r="O341" s="43">
        <f t="shared" si="65"/>
        <v>1.56025E-3</v>
      </c>
      <c r="P341" s="43">
        <f t="shared" si="66"/>
        <v>-0.34013437099999999</v>
      </c>
      <c r="Q341" s="43">
        <f t="shared" si="67"/>
        <v>-0.34013437099999999</v>
      </c>
      <c r="R341" s="43">
        <f t="shared" si="68"/>
        <v>0.11569139033556564</v>
      </c>
    </row>
    <row r="342" spans="1:18" ht="15.75" customHeight="1" x14ac:dyDescent="0.3">
      <c r="A342" s="47">
        <v>38324</v>
      </c>
      <c r="B342" s="48">
        <v>0</v>
      </c>
      <c r="C342" s="49">
        <v>5.9999999999999995E-4</v>
      </c>
      <c r="D342" s="10">
        <f t="shared" si="60"/>
        <v>-0.38980777739764078</v>
      </c>
      <c r="E342" s="10">
        <f t="shared" si="61"/>
        <v>-0.52675136612021822</v>
      </c>
      <c r="F342" s="10">
        <f t="shared" si="72"/>
        <v>0.15195010331968867</v>
      </c>
      <c r="G342" s="10">
        <f t="shared" si="72"/>
        <v>0.27746700170951616</v>
      </c>
      <c r="H342" s="11">
        <f t="shared" si="69"/>
        <v>0.20533177926849319</v>
      </c>
      <c r="I342" s="12">
        <f t="shared" si="70"/>
        <v>5.9999999999999995E-4</v>
      </c>
      <c r="J342" s="28">
        <f t="shared" si="71"/>
        <v>3.5999999999999994E-7</v>
      </c>
      <c r="K342" s="30">
        <f t="shared" si="62"/>
        <v>5.9999999999999995E-4</v>
      </c>
      <c r="L342" s="5"/>
      <c r="M342" s="30">
        <f t="shared" si="63"/>
        <v>-5.9999999999999995E-4</v>
      </c>
      <c r="N342" s="42">
        <f t="shared" si="64"/>
        <v>-5.9999999999999995E-4</v>
      </c>
      <c r="O342" s="43">
        <f t="shared" si="65"/>
        <v>3.5999999999999994E-7</v>
      </c>
      <c r="P342" s="43">
        <f t="shared" si="66"/>
        <v>-0.34013437099999999</v>
      </c>
      <c r="Q342" s="43">
        <f t="shared" si="67"/>
        <v>-0.34013437099999999</v>
      </c>
      <c r="R342" s="43">
        <f t="shared" si="68"/>
        <v>0.11569139033556564</v>
      </c>
    </row>
    <row r="343" spans="1:18" ht="15.75" customHeight="1" x14ac:dyDescent="0.3">
      <c r="A343" s="47">
        <v>38325</v>
      </c>
      <c r="B343" s="48">
        <v>0</v>
      </c>
      <c r="C343" s="49">
        <v>0</v>
      </c>
      <c r="D343" s="10">
        <f t="shared" si="60"/>
        <v>-0.38980777739764078</v>
      </c>
      <c r="E343" s="10">
        <f t="shared" si="61"/>
        <v>-0.52735136612021827</v>
      </c>
      <c r="F343" s="10">
        <f t="shared" si="72"/>
        <v>0.15195010331968867</v>
      </c>
      <c r="G343" s="10">
        <f t="shared" si="72"/>
        <v>0.27809946334886049</v>
      </c>
      <c r="H343" s="11">
        <f t="shared" si="69"/>
        <v>0.20556566393493181</v>
      </c>
      <c r="I343" s="12">
        <f t="shared" si="70"/>
        <v>0</v>
      </c>
      <c r="J343" s="28">
        <f t="shared" si="71"/>
        <v>0</v>
      </c>
      <c r="K343" s="30">
        <f t="shared" si="62"/>
        <v>0</v>
      </c>
      <c r="L343" s="5"/>
      <c r="M343" s="30">
        <f t="shared" si="63"/>
        <v>0</v>
      </c>
      <c r="N343" s="42">
        <f t="shared" si="64"/>
        <v>0</v>
      </c>
      <c r="O343" s="43">
        <f t="shared" si="65"/>
        <v>0</v>
      </c>
      <c r="P343" s="43">
        <f t="shared" si="66"/>
        <v>-0.34013437099999999</v>
      </c>
      <c r="Q343" s="43">
        <f t="shared" si="67"/>
        <v>-0.34013437099999999</v>
      </c>
      <c r="R343" s="43">
        <f t="shared" si="68"/>
        <v>0.11569139033556564</v>
      </c>
    </row>
    <row r="344" spans="1:18" ht="13.5" customHeight="1" x14ac:dyDescent="0.3">
      <c r="A344" s="47">
        <v>38326</v>
      </c>
      <c r="B344" s="48">
        <v>0</v>
      </c>
      <c r="C344" s="49">
        <v>0</v>
      </c>
      <c r="D344" s="10">
        <f t="shared" si="60"/>
        <v>-0.38980777739764078</v>
      </c>
      <c r="E344" s="10">
        <f t="shared" si="61"/>
        <v>-0.52735136612021827</v>
      </c>
      <c r="F344" s="10">
        <f t="shared" si="72"/>
        <v>0.15195010331968867</v>
      </c>
      <c r="G344" s="10">
        <f t="shared" si="72"/>
        <v>0.27809946334886049</v>
      </c>
      <c r="H344" s="11">
        <f t="shared" si="69"/>
        <v>0.20556566393493181</v>
      </c>
      <c r="I344" s="12">
        <f t="shared" si="70"/>
        <v>0</v>
      </c>
      <c r="J344" s="28">
        <f t="shared" si="71"/>
        <v>0</v>
      </c>
      <c r="K344" s="30">
        <f t="shared" si="62"/>
        <v>0</v>
      </c>
      <c r="L344" s="5"/>
      <c r="M344" s="30">
        <f t="shared" si="63"/>
        <v>0</v>
      </c>
      <c r="N344" s="42">
        <f t="shared" si="64"/>
        <v>0</v>
      </c>
      <c r="O344" s="43">
        <f t="shared" si="65"/>
        <v>0</v>
      </c>
      <c r="P344" s="43">
        <f t="shared" si="66"/>
        <v>-0.34013437099999999</v>
      </c>
      <c r="Q344" s="43">
        <f t="shared" si="67"/>
        <v>-0.34013437099999999</v>
      </c>
      <c r="R344" s="43">
        <f t="shared" si="68"/>
        <v>0.11569139033556564</v>
      </c>
    </row>
    <row r="345" spans="1:18" ht="13.5" customHeight="1" x14ac:dyDescent="0.3">
      <c r="A345" s="47">
        <v>38327</v>
      </c>
      <c r="B345" s="48">
        <v>0</v>
      </c>
      <c r="C345" s="49">
        <v>0</v>
      </c>
      <c r="D345" s="10">
        <f t="shared" si="60"/>
        <v>-0.38980777739764078</v>
      </c>
      <c r="E345" s="10">
        <f t="shared" si="61"/>
        <v>-0.52735136612021827</v>
      </c>
      <c r="F345" s="10">
        <f t="shared" si="72"/>
        <v>0.15195010331968867</v>
      </c>
      <c r="G345" s="10">
        <f t="shared" si="72"/>
        <v>0.27809946334886049</v>
      </c>
      <c r="H345" s="11">
        <f t="shared" si="69"/>
        <v>0.20556566393493181</v>
      </c>
      <c r="I345" s="12">
        <f t="shared" si="70"/>
        <v>0</v>
      </c>
      <c r="J345" s="28">
        <f t="shared" si="71"/>
        <v>0</v>
      </c>
      <c r="K345" s="30">
        <f t="shared" si="62"/>
        <v>0</v>
      </c>
      <c r="L345" s="5"/>
      <c r="M345" s="30">
        <f t="shared" si="63"/>
        <v>0</v>
      </c>
      <c r="N345" s="42">
        <f t="shared" si="64"/>
        <v>0</v>
      </c>
      <c r="O345" s="43">
        <f t="shared" si="65"/>
        <v>0</v>
      </c>
      <c r="P345" s="43">
        <f t="shared" si="66"/>
        <v>-0.34013437099999999</v>
      </c>
      <c r="Q345" s="43">
        <f t="shared" si="67"/>
        <v>-0.34013437099999999</v>
      </c>
      <c r="R345" s="43">
        <f t="shared" si="68"/>
        <v>0.11569139033556564</v>
      </c>
    </row>
    <row r="346" spans="1:18" ht="13.5" customHeight="1" x14ac:dyDescent="0.3">
      <c r="A346" s="47">
        <v>38328</v>
      </c>
      <c r="B346" s="48">
        <v>0</v>
      </c>
      <c r="C346" s="49">
        <v>3.0999999999999999E-3</v>
      </c>
      <c r="D346" s="10">
        <f t="shared" si="60"/>
        <v>-0.38980777739764078</v>
      </c>
      <c r="E346" s="10">
        <f t="shared" si="61"/>
        <v>-0.52425136612021828</v>
      </c>
      <c r="F346" s="10">
        <f t="shared" si="72"/>
        <v>0.15195010331968867</v>
      </c>
      <c r="G346" s="10">
        <f t="shared" si="72"/>
        <v>0.27483949487891512</v>
      </c>
      <c r="H346" s="11">
        <f t="shared" si="69"/>
        <v>0.20435725982499911</v>
      </c>
      <c r="I346" s="12">
        <f t="shared" si="70"/>
        <v>3.0999999999999999E-3</v>
      </c>
      <c r="J346" s="28">
        <f t="shared" si="71"/>
        <v>9.6099999999999995E-6</v>
      </c>
      <c r="K346" s="30">
        <f t="shared" si="62"/>
        <v>3.0999999999999999E-3</v>
      </c>
      <c r="L346" s="5"/>
      <c r="M346" s="30">
        <f t="shared" si="63"/>
        <v>-3.0999999999999999E-3</v>
      </c>
      <c r="N346" s="42">
        <f t="shared" si="64"/>
        <v>-3.0999999999999999E-3</v>
      </c>
      <c r="O346" s="43">
        <f t="shared" si="65"/>
        <v>9.6099999999999995E-6</v>
      </c>
      <c r="P346" s="43">
        <f t="shared" si="66"/>
        <v>-0.34013437099999999</v>
      </c>
      <c r="Q346" s="43">
        <f t="shared" si="67"/>
        <v>-0.34013437099999999</v>
      </c>
      <c r="R346" s="43">
        <f t="shared" si="68"/>
        <v>0.11569139033556564</v>
      </c>
    </row>
    <row r="347" spans="1:18" ht="15.75" customHeight="1" x14ac:dyDescent="0.3">
      <c r="A347" s="47">
        <v>38329</v>
      </c>
      <c r="B347" s="48">
        <v>0</v>
      </c>
      <c r="C347" s="49">
        <v>6.0299999999999999E-2</v>
      </c>
      <c r="D347" s="10">
        <f t="shared" si="60"/>
        <v>-0.38980777739764078</v>
      </c>
      <c r="E347" s="10">
        <f t="shared" si="61"/>
        <v>-0.46705136612021825</v>
      </c>
      <c r="F347" s="10">
        <f t="shared" si="72"/>
        <v>0.15195010331968867</v>
      </c>
      <c r="G347" s="10">
        <f t="shared" si="72"/>
        <v>0.21813697859476214</v>
      </c>
      <c r="H347" s="11">
        <f t="shared" si="69"/>
        <v>0.18206025495785405</v>
      </c>
      <c r="I347" s="12">
        <f t="shared" si="70"/>
        <v>6.0299999999999999E-2</v>
      </c>
      <c r="J347" s="28">
        <f t="shared" si="71"/>
        <v>3.6360899999999998E-3</v>
      </c>
      <c r="K347" s="30">
        <f t="shared" si="62"/>
        <v>6.0299999999999999E-2</v>
      </c>
      <c r="L347" s="5"/>
      <c r="M347" s="30">
        <f t="shared" si="63"/>
        <v>-6.0299999999999999E-2</v>
      </c>
      <c r="N347" s="42">
        <f t="shared" si="64"/>
        <v>-6.0299999999999999E-2</v>
      </c>
      <c r="O347" s="43">
        <f t="shared" si="65"/>
        <v>3.6360899999999998E-3</v>
      </c>
      <c r="P347" s="43">
        <f t="shared" si="66"/>
        <v>-0.34013437099999999</v>
      </c>
      <c r="Q347" s="43">
        <f t="shared" si="67"/>
        <v>-0.34013437099999999</v>
      </c>
      <c r="R347" s="43">
        <f t="shared" si="68"/>
        <v>0.11569139033556564</v>
      </c>
    </row>
    <row r="348" spans="1:18" ht="15.75" customHeight="1" x14ac:dyDescent="0.3">
      <c r="A348" s="47">
        <v>38330</v>
      </c>
      <c r="B348" s="48">
        <v>0</v>
      </c>
      <c r="C348" s="49">
        <v>0</v>
      </c>
      <c r="D348" s="10">
        <f t="shared" si="60"/>
        <v>-0.38980777739764078</v>
      </c>
      <c r="E348" s="10">
        <f t="shared" si="61"/>
        <v>-0.52735136612021827</v>
      </c>
      <c r="F348" s="10">
        <f t="shared" si="72"/>
        <v>0.15195010331968867</v>
      </c>
      <c r="G348" s="10">
        <f t="shared" si="72"/>
        <v>0.27809946334886049</v>
      </c>
      <c r="H348" s="11">
        <f t="shared" si="69"/>
        <v>0.20556566393493181</v>
      </c>
      <c r="I348" s="12">
        <f t="shared" si="70"/>
        <v>0</v>
      </c>
      <c r="J348" s="28">
        <f t="shared" si="71"/>
        <v>0</v>
      </c>
      <c r="K348" s="30">
        <f t="shared" si="62"/>
        <v>0</v>
      </c>
      <c r="L348" s="5"/>
      <c r="M348" s="30">
        <f t="shared" si="63"/>
        <v>0</v>
      </c>
      <c r="N348" s="42">
        <f t="shared" si="64"/>
        <v>0</v>
      </c>
      <c r="O348" s="43">
        <f t="shared" si="65"/>
        <v>0</v>
      </c>
      <c r="P348" s="43">
        <f t="shared" si="66"/>
        <v>-0.34013437099999999</v>
      </c>
      <c r="Q348" s="43">
        <f t="shared" si="67"/>
        <v>-0.34013437099999999</v>
      </c>
      <c r="R348" s="43">
        <f t="shared" si="68"/>
        <v>0.11569139033556564</v>
      </c>
    </row>
    <row r="349" spans="1:18" ht="15.75" customHeight="1" x14ac:dyDescent="0.3">
      <c r="A349" s="47">
        <v>38331</v>
      </c>
      <c r="B349" s="48">
        <v>0</v>
      </c>
      <c r="C349" s="49">
        <v>5.0000000000000001E-3</v>
      </c>
      <c r="D349" s="10">
        <f t="shared" si="60"/>
        <v>-0.38980777739764078</v>
      </c>
      <c r="E349" s="10">
        <f t="shared" si="61"/>
        <v>-0.52235136612021826</v>
      </c>
      <c r="F349" s="10">
        <f t="shared" si="72"/>
        <v>0.15195010331968867</v>
      </c>
      <c r="G349" s="10">
        <f t="shared" si="72"/>
        <v>0.27285094968765833</v>
      </c>
      <c r="H349" s="11">
        <f t="shared" si="69"/>
        <v>0.20361662504794359</v>
      </c>
      <c r="I349" s="12">
        <f t="shared" si="70"/>
        <v>5.0000000000000001E-3</v>
      </c>
      <c r="J349" s="28">
        <f t="shared" si="71"/>
        <v>2.5000000000000001E-5</v>
      </c>
      <c r="K349" s="30">
        <f t="shared" si="62"/>
        <v>5.0000000000000001E-3</v>
      </c>
      <c r="L349" s="5"/>
      <c r="M349" s="30">
        <f t="shared" si="63"/>
        <v>-5.0000000000000001E-3</v>
      </c>
      <c r="N349" s="42">
        <f t="shared" si="64"/>
        <v>-5.0000000000000001E-3</v>
      </c>
      <c r="O349" s="43">
        <f t="shared" si="65"/>
        <v>2.5000000000000001E-5</v>
      </c>
      <c r="P349" s="43">
        <f t="shared" si="66"/>
        <v>-0.34013437099999999</v>
      </c>
      <c r="Q349" s="43">
        <f t="shared" si="67"/>
        <v>-0.34013437099999999</v>
      </c>
      <c r="R349" s="43">
        <f t="shared" si="68"/>
        <v>0.11569139033556564</v>
      </c>
    </row>
    <row r="350" spans="1:18" ht="15.75" customHeight="1" x14ac:dyDescent="0.3">
      <c r="A350" s="47">
        <v>38332</v>
      </c>
      <c r="B350" s="48">
        <v>0</v>
      </c>
      <c r="C350" s="49">
        <v>3.7499999999999999E-2</v>
      </c>
      <c r="D350" s="10">
        <f t="shared" si="60"/>
        <v>-0.38980777739764078</v>
      </c>
      <c r="E350" s="10">
        <f t="shared" si="61"/>
        <v>-0.48985136612021829</v>
      </c>
      <c r="F350" s="10">
        <f t="shared" si="72"/>
        <v>0.15195010331968867</v>
      </c>
      <c r="G350" s="10">
        <f t="shared" si="72"/>
        <v>0.23995436088984415</v>
      </c>
      <c r="H350" s="11">
        <f t="shared" si="69"/>
        <v>0.19094787228252028</v>
      </c>
      <c r="I350" s="12">
        <f t="shared" si="70"/>
        <v>3.7499999999999999E-2</v>
      </c>
      <c r="J350" s="28">
        <f t="shared" si="71"/>
        <v>1.4062499999999999E-3</v>
      </c>
      <c r="K350" s="30">
        <f t="shared" si="62"/>
        <v>3.7499999999999999E-2</v>
      </c>
      <c r="L350" s="5"/>
      <c r="M350" s="30">
        <f t="shared" si="63"/>
        <v>-3.7499999999999999E-2</v>
      </c>
      <c r="N350" s="42">
        <f t="shared" si="64"/>
        <v>-3.7499999999999999E-2</v>
      </c>
      <c r="O350" s="43">
        <f t="shared" si="65"/>
        <v>1.4062499999999999E-3</v>
      </c>
      <c r="P350" s="43">
        <f t="shared" si="66"/>
        <v>-0.34013437099999999</v>
      </c>
      <c r="Q350" s="43">
        <f t="shared" si="67"/>
        <v>-0.34013437099999999</v>
      </c>
      <c r="R350" s="43">
        <f t="shared" si="68"/>
        <v>0.11569139033556564</v>
      </c>
    </row>
    <row r="351" spans="1:18" ht="15.75" customHeight="1" x14ac:dyDescent="0.3">
      <c r="A351" s="47">
        <v>38333</v>
      </c>
      <c r="B351" s="48">
        <v>0</v>
      </c>
      <c r="C351" s="49">
        <v>3.73E-2</v>
      </c>
      <c r="D351" s="10">
        <f t="shared" si="60"/>
        <v>-0.38980777739764078</v>
      </c>
      <c r="E351" s="10">
        <f t="shared" si="61"/>
        <v>-0.49005136612021827</v>
      </c>
      <c r="F351" s="10">
        <f t="shared" si="72"/>
        <v>0.15195010331968867</v>
      </c>
      <c r="G351" s="10">
        <f t="shared" si="72"/>
        <v>0.24015034143629221</v>
      </c>
      <c r="H351" s="11">
        <f t="shared" si="69"/>
        <v>0.19102583383799981</v>
      </c>
      <c r="I351" s="12">
        <f t="shared" si="70"/>
        <v>3.73E-2</v>
      </c>
      <c r="J351" s="28">
        <f t="shared" si="71"/>
        <v>1.3912899999999999E-3</v>
      </c>
      <c r="K351" s="30">
        <f t="shared" si="62"/>
        <v>3.73E-2</v>
      </c>
      <c r="L351" s="5"/>
      <c r="M351" s="30">
        <f t="shared" si="63"/>
        <v>-3.73E-2</v>
      </c>
      <c r="N351" s="42">
        <f t="shared" si="64"/>
        <v>-3.73E-2</v>
      </c>
      <c r="O351" s="43">
        <f t="shared" si="65"/>
        <v>1.3912899999999999E-3</v>
      </c>
      <c r="P351" s="43">
        <f t="shared" si="66"/>
        <v>-0.34013437099999999</v>
      </c>
      <c r="Q351" s="43">
        <f t="shared" si="67"/>
        <v>-0.34013437099999999</v>
      </c>
      <c r="R351" s="43">
        <f t="shared" si="68"/>
        <v>0.11569139033556564</v>
      </c>
    </row>
    <row r="352" spans="1:18" ht="15.75" customHeight="1" x14ac:dyDescent="0.3">
      <c r="A352" s="47">
        <v>38334</v>
      </c>
      <c r="B352" s="48">
        <v>0</v>
      </c>
      <c r="C352" s="49">
        <v>0.2555</v>
      </c>
      <c r="D352" s="10">
        <f t="shared" si="60"/>
        <v>-0.38980777739764078</v>
      </c>
      <c r="E352" s="10">
        <f t="shared" si="61"/>
        <v>-0.27185136612021826</v>
      </c>
      <c r="F352" s="10">
        <f t="shared" si="72"/>
        <v>0.15195010331968867</v>
      </c>
      <c r="G352" s="10">
        <f t="shared" si="72"/>
        <v>7.3903165261428955E-2</v>
      </c>
      <c r="H352" s="11">
        <f t="shared" si="69"/>
        <v>0.10596977680983459</v>
      </c>
      <c r="I352" s="12">
        <f t="shared" si="70"/>
        <v>0.2555</v>
      </c>
      <c r="J352" s="28">
        <f t="shared" si="71"/>
        <v>6.5280249999999998E-2</v>
      </c>
      <c r="K352" s="30">
        <f t="shared" si="62"/>
        <v>0.2555</v>
      </c>
      <c r="L352" s="5"/>
      <c r="M352" s="30">
        <f t="shared" si="63"/>
        <v>-0.2555</v>
      </c>
      <c r="N352" s="42">
        <f t="shared" si="64"/>
        <v>-0.2555</v>
      </c>
      <c r="O352" s="43">
        <f t="shared" si="65"/>
        <v>6.5280249999999998E-2</v>
      </c>
      <c r="P352" s="43">
        <f t="shared" si="66"/>
        <v>-0.34013437099999999</v>
      </c>
      <c r="Q352" s="43">
        <f t="shared" si="67"/>
        <v>-0.34013437099999999</v>
      </c>
      <c r="R352" s="43">
        <f t="shared" si="68"/>
        <v>0.11569139033556564</v>
      </c>
    </row>
    <row r="353" spans="1:18" ht="15.75" customHeight="1" x14ac:dyDescent="0.3">
      <c r="A353" s="47">
        <v>38335</v>
      </c>
      <c r="B353" s="48">
        <v>2.2445321083068848</v>
      </c>
      <c r="C353" s="49">
        <v>1.5297000000000001</v>
      </c>
      <c r="D353" s="10">
        <f t="shared" si="60"/>
        <v>1.854724330909244</v>
      </c>
      <c r="E353" s="10">
        <f t="shared" si="61"/>
        <v>1.0023486338797818</v>
      </c>
      <c r="F353" s="10">
        <f t="shared" si="72"/>
        <v>3.4400023436667428</v>
      </c>
      <c r="G353" s="10">
        <f t="shared" si="72"/>
        <v>1.0047027838406648</v>
      </c>
      <c r="H353" s="11">
        <f t="shared" si="69"/>
        <v>1.8590803993104732</v>
      </c>
      <c r="I353" s="12">
        <f t="shared" si="70"/>
        <v>0.71483210830688471</v>
      </c>
      <c r="J353" s="28">
        <f t="shared" si="71"/>
        <v>0.5109849430664658</v>
      </c>
      <c r="K353" s="30">
        <f t="shared" si="62"/>
        <v>-0.71483210830688471</v>
      </c>
      <c r="L353" s="5"/>
      <c r="M353" s="30">
        <f t="shared" si="63"/>
        <v>0.71483210830688471</v>
      </c>
      <c r="N353" s="42">
        <f t="shared" si="64"/>
        <v>0.71483210830688471</v>
      </c>
      <c r="O353" s="43">
        <f t="shared" si="65"/>
        <v>0.5109849430664658</v>
      </c>
      <c r="P353" s="43">
        <f t="shared" si="66"/>
        <v>1.9043977373068848</v>
      </c>
      <c r="Q353" s="43">
        <f t="shared" si="67"/>
        <v>1.9043977373068848</v>
      </c>
      <c r="R353" s="43">
        <f t="shared" si="68"/>
        <v>3.6267307418595824</v>
      </c>
    </row>
    <row r="354" spans="1:18" ht="15.75" customHeight="1" x14ac:dyDescent="0.3">
      <c r="A354" s="47">
        <v>38336</v>
      </c>
      <c r="B354" s="48">
        <v>2.2093386650085449</v>
      </c>
      <c r="C354" s="49">
        <v>1.1373</v>
      </c>
      <c r="D354" s="10">
        <f t="shared" si="60"/>
        <v>1.8195308876109042</v>
      </c>
      <c r="E354" s="10">
        <f t="shared" si="61"/>
        <v>0.60994863387978171</v>
      </c>
      <c r="F354" s="10">
        <f t="shared" si="72"/>
        <v>3.3106926509701249</v>
      </c>
      <c r="G354" s="10">
        <f t="shared" si="72"/>
        <v>0.37203733597181199</v>
      </c>
      <c r="H354" s="11">
        <f t="shared" si="69"/>
        <v>1.1098203792003376</v>
      </c>
      <c r="I354" s="12">
        <f t="shared" si="70"/>
        <v>1.0720386650085449</v>
      </c>
      <c r="J354" s="28">
        <f t="shared" si="71"/>
        <v>1.1492668992733033</v>
      </c>
      <c r="K354" s="30">
        <f t="shared" si="62"/>
        <v>-1.0720386650085449</v>
      </c>
      <c r="L354" s="5"/>
      <c r="M354" s="30">
        <f t="shared" si="63"/>
        <v>1.0720386650085449</v>
      </c>
      <c r="N354" s="42">
        <f t="shared" si="64"/>
        <v>1.0720386650085449</v>
      </c>
      <c r="O354" s="43">
        <f t="shared" si="65"/>
        <v>1.1492668992733033</v>
      </c>
      <c r="P354" s="43">
        <f t="shared" si="66"/>
        <v>1.8692042940085449</v>
      </c>
      <c r="Q354" s="43">
        <f t="shared" si="67"/>
        <v>1.8692042940085449</v>
      </c>
      <c r="R354" s="43">
        <f t="shared" si="68"/>
        <v>3.493924692739983</v>
      </c>
    </row>
    <row r="355" spans="1:18" ht="15.75" customHeight="1" x14ac:dyDescent="0.3">
      <c r="A355" s="47">
        <v>38337</v>
      </c>
      <c r="B355" s="48">
        <v>0.17496626079082489</v>
      </c>
      <c r="C355" s="49">
        <v>1.2112000000000001</v>
      </c>
      <c r="D355" s="10">
        <f t="shared" si="60"/>
        <v>-0.21484151660681589</v>
      </c>
      <c r="E355" s="10">
        <f t="shared" si="61"/>
        <v>0.68384863387978179</v>
      </c>
      <c r="F355" s="10">
        <f t="shared" si="72"/>
        <v>4.6156877257916742E-2</v>
      </c>
      <c r="G355" s="10">
        <f t="shared" si="72"/>
        <v>0.46764895405924384</v>
      </c>
      <c r="H355" s="11">
        <f t="shared" si="69"/>
        <v>-0.1469190776322315</v>
      </c>
      <c r="I355" s="12">
        <f t="shared" si="70"/>
        <v>1.0362337392091752</v>
      </c>
      <c r="J355" s="28">
        <f t="shared" si="71"/>
        <v>1.0737803622754289</v>
      </c>
      <c r="K355" s="30">
        <f t="shared" si="62"/>
        <v>1.0362337392091752</v>
      </c>
      <c r="L355" s="5"/>
      <c r="M355" s="30">
        <f t="shared" si="63"/>
        <v>-1.0362337392091752</v>
      </c>
      <c r="N355" s="42">
        <f t="shared" si="64"/>
        <v>-1.0362337392091752</v>
      </c>
      <c r="O355" s="43">
        <f t="shared" si="65"/>
        <v>1.0737803622754289</v>
      </c>
      <c r="P355" s="43">
        <f t="shared" si="66"/>
        <v>-0.1651681102091751</v>
      </c>
      <c r="Q355" s="43">
        <f t="shared" si="67"/>
        <v>-0.1651681102091751</v>
      </c>
      <c r="R355" s="43">
        <f t="shared" si="68"/>
        <v>2.7280504630070212E-2</v>
      </c>
    </row>
    <row r="356" spans="1:18" ht="15.75" customHeight="1" x14ac:dyDescent="0.3">
      <c r="A356" s="47">
        <v>38338</v>
      </c>
      <c r="B356" s="48">
        <v>0</v>
      </c>
      <c r="C356" s="49">
        <v>0</v>
      </c>
      <c r="D356" s="10">
        <f t="shared" si="60"/>
        <v>-0.38980777739764078</v>
      </c>
      <c r="E356" s="10">
        <f t="shared" si="61"/>
        <v>-0.52735136612021827</v>
      </c>
      <c r="F356" s="10">
        <f t="shared" si="72"/>
        <v>0.15195010331968867</v>
      </c>
      <c r="G356" s="10">
        <f t="shared" si="72"/>
        <v>0.27809946334886049</v>
      </c>
      <c r="H356" s="11">
        <f t="shared" si="69"/>
        <v>0.20556566393493181</v>
      </c>
      <c r="I356" s="12">
        <f t="shared" si="70"/>
        <v>0</v>
      </c>
      <c r="J356" s="28">
        <f t="shared" si="71"/>
        <v>0</v>
      </c>
      <c r="K356" s="30">
        <f t="shared" si="62"/>
        <v>0</v>
      </c>
      <c r="L356" s="5"/>
      <c r="M356" s="30">
        <f t="shared" si="63"/>
        <v>0</v>
      </c>
      <c r="N356" s="42">
        <f t="shared" si="64"/>
        <v>0</v>
      </c>
      <c r="O356" s="43">
        <f t="shared" si="65"/>
        <v>0</v>
      </c>
      <c r="P356" s="43">
        <f t="shared" si="66"/>
        <v>-0.34013437099999999</v>
      </c>
      <c r="Q356" s="43">
        <f t="shared" si="67"/>
        <v>-0.34013437099999999</v>
      </c>
      <c r="R356" s="43">
        <f t="shared" si="68"/>
        <v>0.11569139033556564</v>
      </c>
    </row>
    <row r="357" spans="1:18" ht="15.75" customHeight="1" x14ac:dyDescent="0.3">
      <c r="A357" s="47">
        <v>38339</v>
      </c>
      <c r="B357" s="48">
        <v>0.28072753548622131</v>
      </c>
      <c r="C357" s="49">
        <v>0.96419999999999995</v>
      </c>
      <c r="D357" s="10">
        <f t="shared" si="60"/>
        <v>-0.10908024191141946</v>
      </c>
      <c r="E357" s="10">
        <f t="shared" si="61"/>
        <v>0.43684863387978168</v>
      </c>
      <c r="F357" s="10">
        <f t="shared" si="72"/>
        <v>1.189849917545379E-2</v>
      </c>
      <c r="G357" s="10">
        <f t="shared" si="72"/>
        <v>0.19083672892263154</v>
      </c>
      <c r="H357" s="11">
        <f t="shared" si="69"/>
        <v>-4.7651554662279695E-2</v>
      </c>
      <c r="I357" s="12">
        <f t="shared" si="70"/>
        <v>0.68347246451377863</v>
      </c>
      <c r="J357" s="28">
        <f t="shared" si="71"/>
        <v>0.46713460974853838</v>
      </c>
      <c r="K357" s="30">
        <f t="shared" si="62"/>
        <v>0.68347246451377863</v>
      </c>
      <c r="L357" s="5"/>
      <c r="M357" s="30">
        <f t="shared" si="63"/>
        <v>-0.68347246451377863</v>
      </c>
      <c r="N357" s="42">
        <f t="shared" si="64"/>
        <v>-0.68347246451377863</v>
      </c>
      <c r="O357" s="43">
        <f t="shared" si="65"/>
        <v>0.46713460974853838</v>
      </c>
      <c r="P357" s="43">
        <f t="shared" si="66"/>
        <v>-5.9406835513778677E-2</v>
      </c>
      <c r="Q357" s="43">
        <f>B357-0.340134371</f>
        <v>-5.9406835513778677E-2</v>
      </c>
      <c r="R357" s="43">
        <f t="shared" si="68"/>
        <v>3.5291721057611556E-3</v>
      </c>
    </row>
    <row r="358" spans="1:18" ht="15.75" customHeight="1" x14ac:dyDescent="0.3">
      <c r="A358" s="47">
        <v>38340</v>
      </c>
      <c r="B358" s="48">
        <v>0</v>
      </c>
      <c r="C358" s="49">
        <v>0</v>
      </c>
      <c r="D358" s="10">
        <f t="shared" si="60"/>
        <v>-0.38980777739764078</v>
      </c>
      <c r="E358" s="10">
        <f t="shared" si="61"/>
        <v>-0.52735136612021827</v>
      </c>
      <c r="F358" s="10">
        <f t="shared" si="72"/>
        <v>0.15195010331968867</v>
      </c>
      <c r="G358" s="10">
        <f t="shared" si="72"/>
        <v>0.27809946334886049</v>
      </c>
      <c r="H358" s="11">
        <f t="shared" si="69"/>
        <v>0.20556566393493181</v>
      </c>
      <c r="I358" s="12">
        <f t="shared" si="70"/>
        <v>0</v>
      </c>
      <c r="J358" s="28">
        <f t="shared" si="71"/>
        <v>0</v>
      </c>
      <c r="K358" s="30">
        <f t="shared" si="62"/>
        <v>0</v>
      </c>
      <c r="L358" s="5"/>
      <c r="M358" s="30">
        <f t="shared" si="63"/>
        <v>0</v>
      </c>
      <c r="N358" s="42">
        <f t="shared" si="64"/>
        <v>0</v>
      </c>
      <c r="O358" s="43">
        <f t="shared" si="65"/>
        <v>0</v>
      </c>
      <c r="P358" s="43">
        <f t="shared" si="66"/>
        <v>-0.34013437099999999</v>
      </c>
      <c r="Q358" s="43">
        <f t="shared" si="67"/>
        <v>-0.34013437099999999</v>
      </c>
      <c r="R358" s="43">
        <f t="shared" si="68"/>
        <v>0.11569139033556564</v>
      </c>
    </row>
    <row r="359" spans="1:18" ht="15.75" customHeight="1" x14ac:dyDescent="0.3">
      <c r="A359" s="47">
        <v>38341</v>
      </c>
      <c r="B359" s="48">
        <v>0.37087184190750122</v>
      </c>
      <c r="C359" s="49">
        <v>0.60609999999999997</v>
      </c>
      <c r="D359" s="10">
        <f t="shared" si="60"/>
        <v>-1.8935935490139555E-2</v>
      </c>
      <c r="E359" s="10">
        <f t="shared" si="61"/>
        <v>7.8748633879781704E-2</v>
      </c>
      <c r="F359" s="10">
        <f t="shared" si="72"/>
        <v>3.5856965288672677E-4</v>
      </c>
      <c r="G359" s="10">
        <f t="shared" si="72"/>
        <v>6.2013473379319032E-3</v>
      </c>
      <c r="H359" s="11">
        <f t="shared" si="69"/>
        <v>-1.4911790510841645E-3</v>
      </c>
      <c r="I359" s="12">
        <f t="shared" si="70"/>
        <v>0.23522815809249875</v>
      </c>
      <c r="J359" s="28">
        <f t="shared" si="71"/>
        <v>5.5332286359589589E-2</v>
      </c>
      <c r="K359" s="30">
        <f t="shared" si="62"/>
        <v>0.23522815809249875</v>
      </c>
      <c r="L359" s="5"/>
      <c r="M359" s="30">
        <f t="shared" si="63"/>
        <v>-0.23522815809249875</v>
      </c>
      <c r="N359" s="42">
        <f t="shared" si="64"/>
        <v>-0.23522815809249875</v>
      </c>
      <c r="O359" s="43">
        <f t="shared" si="65"/>
        <v>5.5332286359589589E-2</v>
      </c>
      <c r="P359" s="43">
        <f t="shared" si="66"/>
        <v>3.073747090750123E-2</v>
      </c>
      <c r="Q359" s="43">
        <f t="shared" si="67"/>
        <v>3.073747090750123E-2</v>
      </c>
      <c r="R359" s="43">
        <f t="shared" si="68"/>
        <v>9.4479211778948451E-4</v>
      </c>
    </row>
    <row r="360" spans="1:18" ht="15.75" customHeight="1" x14ac:dyDescent="0.3">
      <c r="A360" s="47">
        <v>38342</v>
      </c>
      <c r="B360" s="48">
        <v>0</v>
      </c>
      <c r="C360" s="49">
        <v>0.18990000000000001</v>
      </c>
      <c r="D360" s="10">
        <f t="shared" si="60"/>
        <v>-0.38980777739764078</v>
      </c>
      <c r="E360" s="10">
        <f t="shared" si="61"/>
        <v>-0.33745136612021825</v>
      </c>
      <c r="F360" s="10">
        <f t="shared" si="72"/>
        <v>0.15195010331968867</v>
      </c>
      <c r="G360" s="10">
        <f t="shared" si="72"/>
        <v>0.11387342449640159</v>
      </c>
      <c r="H360" s="11">
        <f t="shared" si="69"/>
        <v>0.13154116700711982</v>
      </c>
      <c r="I360" s="12">
        <f t="shared" si="70"/>
        <v>0.18990000000000001</v>
      </c>
      <c r="J360" s="28">
        <f t="shared" si="71"/>
        <v>3.6062010000000005E-2</v>
      </c>
      <c r="K360" s="30">
        <f t="shared" si="62"/>
        <v>0.18990000000000001</v>
      </c>
      <c r="L360" s="5"/>
      <c r="M360" s="30">
        <f t="shared" si="63"/>
        <v>-0.18990000000000001</v>
      </c>
      <c r="N360" s="42">
        <f t="shared" si="64"/>
        <v>-0.18990000000000001</v>
      </c>
      <c r="O360" s="43">
        <f t="shared" si="65"/>
        <v>3.6062010000000005E-2</v>
      </c>
      <c r="P360" s="43">
        <f t="shared" si="66"/>
        <v>-0.34013437099999999</v>
      </c>
      <c r="Q360" s="43">
        <f t="shared" si="67"/>
        <v>-0.34013437099999999</v>
      </c>
      <c r="R360" s="43">
        <f t="shared" si="68"/>
        <v>0.11569139033556564</v>
      </c>
    </row>
    <row r="361" spans="1:18" ht="15.75" customHeight="1" x14ac:dyDescent="0.3">
      <c r="A361" s="47">
        <v>38343</v>
      </c>
      <c r="B361" s="48">
        <v>0</v>
      </c>
      <c r="C361" s="49">
        <v>1.0500000000000001E-2</v>
      </c>
      <c r="D361" s="10">
        <f t="shared" si="60"/>
        <v>-0.38980777739764078</v>
      </c>
      <c r="E361" s="10">
        <f t="shared" si="61"/>
        <v>-0.51685136612021831</v>
      </c>
      <c r="F361" s="10">
        <f t="shared" si="72"/>
        <v>0.15195010331968867</v>
      </c>
      <c r="G361" s="10">
        <f t="shared" si="72"/>
        <v>0.26713533466033595</v>
      </c>
      <c r="H361" s="11">
        <f t="shared" si="69"/>
        <v>0.20147268227225659</v>
      </c>
      <c r="I361" s="12">
        <f t="shared" si="70"/>
        <v>1.0500000000000001E-2</v>
      </c>
      <c r="J361" s="28">
        <f t="shared" si="71"/>
        <v>1.1025000000000001E-4</v>
      </c>
      <c r="K361" s="30">
        <f t="shared" si="62"/>
        <v>1.0500000000000001E-2</v>
      </c>
      <c r="L361" s="5"/>
      <c r="M361" s="30">
        <f t="shared" si="63"/>
        <v>-1.0500000000000001E-2</v>
      </c>
      <c r="N361" s="42">
        <f t="shared" si="64"/>
        <v>-1.0500000000000001E-2</v>
      </c>
      <c r="O361" s="43">
        <f t="shared" si="65"/>
        <v>1.1025000000000001E-4</v>
      </c>
      <c r="P361" s="43">
        <f t="shared" si="66"/>
        <v>-0.34013437099999999</v>
      </c>
      <c r="Q361" s="43">
        <f t="shared" si="67"/>
        <v>-0.34013437099999999</v>
      </c>
      <c r="R361" s="43">
        <f t="shared" si="68"/>
        <v>0.11569139033556564</v>
      </c>
    </row>
    <row r="362" spans="1:18" ht="15.75" customHeight="1" x14ac:dyDescent="0.3">
      <c r="A362" s="47">
        <v>38344</v>
      </c>
      <c r="B362" s="48">
        <v>7.6718888282775879</v>
      </c>
      <c r="C362" s="49">
        <v>4.1851000000000003</v>
      </c>
      <c r="D362" s="10">
        <f t="shared" si="60"/>
        <v>7.2820810508799472</v>
      </c>
      <c r="E362" s="10">
        <f t="shared" si="61"/>
        <v>3.6577486338797822</v>
      </c>
      <c r="F362" s="10">
        <f t="shared" si="72"/>
        <v>53.028704431584792</v>
      </c>
      <c r="G362" s="10">
        <f t="shared" si="72"/>
        <v>13.379125068649413</v>
      </c>
      <c r="H362" s="11">
        <f t="shared" si="69"/>
        <v>26.636022015657975</v>
      </c>
      <c r="I362" s="12">
        <f t="shared" si="70"/>
        <v>3.4867888282775876</v>
      </c>
      <c r="J362" s="28">
        <f t="shared" si="71"/>
        <v>12.157696333001393</v>
      </c>
      <c r="K362" s="30">
        <f t="shared" si="62"/>
        <v>-3.4867888282775876</v>
      </c>
      <c r="L362" s="5"/>
      <c r="M362" s="30">
        <f t="shared" si="63"/>
        <v>3.4867888282775876</v>
      </c>
      <c r="N362" s="42">
        <f t="shared" si="64"/>
        <v>3.4867888282775876</v>
      </c>
      <c r="O362" s="43">
        <f t="shared" si="65"/>
        <v>12.157696333001393</v>
      </c>
      <c r="P362" s="43">
        <f t="shared" si="66"/>
        <v>7.3317544572775883</v>
      </c>
      <c r="Q362" s="43">
        <f t="shared" si="67"/>
        <v>7.3317544572775883</v>
      </c>
      <c r="R362" s="43">
        <f t="shared" si="68"/>
        <v>53.754623421809782</v>
      </c>
    </row>
    <row r="363" spans="1:18" ht="15.75" customHeight="1" x14ac:dyDescent="0.3">
      <c r="A363" s="47">
        <v>38345</v>
      </c>
      <c r="B363" s="48">
        <v>10.013022422790527</v>
      </c>
      <c r="C363" s="49">
        <v>17.694800000000001</v>
      </c>
      <c r="D363" s="10">
        <f t="shared" si="60"/>
        <v>9.6232146453928866</v>
      </c>
      <c r="E363" s="10">
        <f t="shared" si="61"/>
        <v>17.167448633879783</v>
      </c>
      <c r="F363" s="10">
        <f t="shared" si="72"/>
        <v>92.606260111304138</v>
      </c>
      <c r="G363" s="10">
        <f t="shared" si="72"/>
        <v>294.72129259690081</v>
      </c>
      <c r="H363" s="11">
        <f t="shared" si="69"/>
        <v>165.20604311758203</v>
      </c>
      <c r="I363" s="12">
        <f t="shared" si="70"/>
        <v>7.6817775772094734</v>
      </c>
      <c r="J363" s="28">
        <f t="shared" si="71"/>
        <v>59.009706745718248</v>
      </c>
      <c r="K363" s="30">
        <f t="shared" si="62"/>
        <v>7.6817775772094734</v>
      </c>
      <c r="L363" s="5"/>
      <c r="M363" s="30">
        <f t="shared" si="63"/>
        <v>-7.6817775772094734</v>
      </c>
      <c r="N363" s="42">
        <f t="shared" si="64"/>
        <v>-7.6817775772094734</v>
      </c>
      <c r="O363" s="43">
        <f t="shared" si="65"/>
        <v>59.009706745718248</v>
      </c>
      <c r="P363" s="43">
        <f t="shared" si="66"/>
        <v>9.6728880517905278</v>
      </c>
      <c r="Q363" s="43">
        <f>B363-0.340134371</f>
        <v>9.6728880517905278</v>
      </c>
      <c r="R363" s="43">
        <f t="shared" si="68"/>
        <v>93.564763262471956</v>
      </c>
    </row>
    <row r="364" spans="1:18" ht="15.75" customHeight="1" x14ac:dyDescent="0.3">
      <c r="A364" s="47">
        <v>38346</v>
      </c>
      <c r="B364" s="48">
        <v>0.660300612449646</v>
      </c>
      <c r="C364" s="49">
        <v>7.5217999999999998</v>
      </c>
      <c r="D364" s="10">
        <f t="shared" si="60"/>
        <v>0.27049283505200522</v>
      </c>
      <c r="E364" s="10">
        <f t="shared" si="61"/>
        <v>6.9944486338797818</v>
      </c>
      <c r="F364" s="10">
        <f t="shared" si="72"/>
        <v>7.3166373814471303E-2</v>
      </c>
      <c r="G364" s="10">
        <f t="shared" si="72"/>
        <v>48.922311691982749</v>
      </c>
      <c r="H364" s="11">
        <f t="shared" si="69"/>
        <v>1.8919482406037671</v>
      </c>
      <c r="I364" s="12">
        <f t="shared" si="70"/>
        <v>6.8614993875503538</v>
      </c>
      <c r="J364" s="28">
        <f t="shared" si="71"/>
        <v>47.080173845353883</v>
      </c>
      <c r="K364" s="30">
        <f t="shared" si="62"/>
        <v>6.8614993875503538</v>
      </c>
      <c r="L364" s="5"/>
      <c r="M364" s="30">
        <f t="shared" si="63"/>
        <v>-6.8614993875503538</v>
      </c>
      <c r="N364" s="42">
        <f t="shared" si="64"/>
        <v>-6.8614993875503538</v>
      </c>
      <c r="O364" s="43">
        <f t="shared" si="65"/>
        <v>47.080173845353883</v>
      </c>
      <c r="P364" s="43">
        <f t="shared" si="66"/>
        <v>0.32016624144964601</v>
      </c>
      <c r="Q364" s="43">
        <f t="shared" si="67"/>
        <v>0.32016624144964601</v>
      </c>
      <c r="R364" s="43">
        <f t="shared" si="68"/>
        <v>0.10250642216399303</v>
      </c>
    </row>
    <row r="365" spans="1:18" ht="15.75" customHeight="1" x14ac:dyDescent="0.3">
      <c r="A365" s="47">
        <v>38347</v>
      </c>
      <c r="B365" s="48">
        <v>0</v>
      </c>
      <c r="C365" s="49">
        <v>0</v>
      </c>
      <c r="D365" s="10">
        <f t="shared" si="60"/>
        <v>-0.38980777739764078</v>
      </c>
      <c r="E365" s="10">
        <f t="shared" si="61"/>
        <v>-0.52735136612021827</v>
      </c>
      <c r="F365" s="10">
        <f t="shared" si="72"/>
        <v>0.15195010331968867</v>
      </c>
      <c r="G365" s="10">
        <f t="shared" si="72"/>
        <v>0.27809946334886049</v>
      </c>
      <c r="H365" s="11">
        <f t="shared" si="69"/>
        <v>0.20556566393493181</v>
      </c>
      <c r="I365" s="12">
        <f t="shared" si="70"/>
        <v>0</v>
      </c>
      <c r="J365" s="28">
        <f t="shared" si="71"/>
        <v>0</v>
      </c>
      <c r="K365" s="30">
        <f t="shared" si="62"/>
        <v>0</v>
      </c>
      <c r="L365" s="5"/>
      <c r="M365" s="30">
        <f t="shared" si="63"/>
        <v>0</v>
      </c>
      <c r="N365" s="42">
        <f t="shared" si="64"/>
        <v>0</v>
      </c>
      <c r="O365" s="43">
        <f t="shared" si="65"/>
        <v>0</v>
      </c>
      <c r="P365" s="43">
        <f t="shared" si="66"/>
        <v>-0.34013437099999999</v>
      </c>
      <c r="Q365" s="43">
        <f t="shared" si="67"/>
        <v>-0.34013437099999999</v>
      </c>
      <c r="R365" s="43">
        <f t="shared" si="68"/>
        <v>0.11569139033556564</v>
      </c>
    </row>
    <row r="366" spans="1:18" ht="15.75" customHeight="1" x14ac:dyDescent="0.3">
      <c r="A366" s="47">
        <v>38348</v>
      </c>
      <c r="B366" s="48">
        <v>0</v>
      </c>
      <c r="C366" s="49">
        <v>0</v>
      </c>
      <c r="D366" s="10">
        <f t="shared" si="60"/>
        <v>-0.38980777739764078</v>
      </c>
      <c r="E366" s="10">
        <f t="shared" si="61"/>
        <v>-0.52735136612021827</v>
      </c>
      <c r="F366" s="10">
        <f t="shared" si="72"/>
        <v>0.15195010331968867</v>
      </c>
      <c r="G366" s="10">
        <f t="shared" si="72"/>
        <v>0.27809946334886049</v>
      </c>
      <c r="H366" s="11">
        <f t="shared" si="69"/>
        <v>0.20556566393493181</v>
      </c>
      <c r="I366" s="12">
        <f t="shared" si="70"/>
        <v>0</v>
      </c>
      <c r="J366" s="28">
        <f t="shared" si="71"/>
        <v>0</v>
      </c>
      <c r="K366" s="30">
        <f t="shared" si="62"/>
        <v>0</v>
      </c>
      <c r="L366" s="5"/>
      <c r="M366" s="30">
        <f t="shared" si="63"/>
        <v>0</v>
      </c>
      <c r="N366" s="42">
        <f t="shared" si="64"/>
        <v>0</v>
      </c>
      <c r="O366" s="43">
        <f t="shared" si="65"/>
        <v>0</v>
      </c>
      <c r="P366" s="43">
        <f t="shared" si="66"/>
        <v>-0.34013437099999999</v>
      </c>
      <c r="Q366" s="43">
        <f t="shared" si="67"/>
        <v>-0.34013437099999999</v>
      </c>
      <c r="R366" s="43">
        <f t="shared" si="68"/>
        <v>0.11569139033556564</v>
      </c>
    </row>
    <row r="367" spans="1:18" ht="15.75" customHeight="1" x14ac:dyDescent="0.3">
      <c r="A367" s="47">
        <v>38349</v>
      </c>
      <c r="B367" s="48">
        <v>0</v>
      </c>
      <c r="C367" s="49">
        <v>0</v>
      </c>
      <c r="D367" s="10">
        <f t="shared" si="60"/>
        <v>-0.38980777739764078</v>
      </c>
      <c r="E367" s="10">
        <f t="shared" si="61"/>
        <v>-0.52735136612021827</v>
      </c>
      <c r="F367" s="10">
        <f t="shared" si="72"/>
        <v>0.15195010331968867</v>
      </c>
      <c r="G367" s="10">
        <f t="shared" si="72"/>
        <v>0.27809946334886049</v>
      </c>
      <c r="H367" s="11">
        <f t="shared" si="69"/>
        <v>0.20556566393493181</v>
      </c>
      <c r="I367" s="12">
        <f t="shared" si="70"/>
        <v>0</v>
      </c>
      <c r="J367" s="28">
        <f t="shared" si="71"/>
        <v>0</v>
      </c>
      <c r="K367" s="30">
        <f t="shared" si="62"/>
        <v>0</v>
      </c>
      <c r="L367" s="5"/>
      <c r="M367" s="30">
        <f t="shared" si="63"/>
        <v>0</v>
      </c>
      <c r="N367" s="42">
        <f t="shared" si="64"/>
        <v>0</v>
      </c>
      <c r="O367" s="43">
        <f t="shared" si="65"/>
        <v>0</v>
      </c>
      <c r="P367" s="43">
        <f t="shared" si="66"/>
        <v>-0.34013437099999999</v>
      </c>
      <c r="Q367" s="43">
        <f t="shared" si="67"/>
        <v>-0.34013437099999999</v>
      </c>
      <c r="R367" s="43">
        <f t="shared" si="68"/>
        <v>0.11569139033556564</v>
      </c>
    </row>
    <row r="368" spans="1:18" ht="15.75" customHeight="1" x14ac:dyDescent="0.3">
      <c r="A368" s="47">
        <v>38350</v>
      </c>
      <c r="B368" s="48">
        <v>0</v>
      </c>
      <c r="C368" s="49">
        <v>0</v>
      </c>
      <c r="D368" s="10">
        <f t="shared" si="60"/>
        <v>-0.38980777739764078</v>
      </c>
      <c r="E368" s="10">
        <f t="shared" si="61"/>
        <v>-0.52735136612021827</v>
      </c>
      <c r="F368" s="10">
        <f t="shared" si="72"/>
        <v>0.15195010331968867</v>
      </c>
      <c r="G368" s="10">
        <f t="shared" si="72"/>
        <v>0.27809946334886049</v>
      </c>
      <c r="H368" s="11">
        <f t="shared" si="69"/>
        <v>0.20556566393493181</v>
      </c>
      <c r="I368" s="12">
        <f t="shared" si="70"/>
        <v>0</v>
      </c>
      <c r="J368" s="28">
        <f t="shared" si="71"/>
        <v>0</v>
      </c>
      <c r="K368" s="30">
        <f t="shared" si="62"/>
        <v>0</v>
      </c>
      <c r="L368" s="5"/>
      <c r="M368" s="30">
        <f t="shared" si="63"/>
        <v>0</v>
      </c>
      <c r="N368" s="42">
        <f t="shared" si="64"/>
        <v>0</v>
      </c>
      <c r="O368" s="43">
        <f t="shared" si="65"/>
        <v>0</v>
      </c>
      <c r="P368" s="43">
        <f t="shared" si="66"/>
        <v>-0.34013437099999999</v>
      </c>
      <c r="Q368" s="43">
        <f t="shared" si="67"/>
        <v>-0.34013437099999999</v>
      </c>
      <c r="R368" s="43">
        <f t="shared" si="68"/>
        <v>0.11569139033556564</v>
      </c>
    </row>
    <row r="369" spans="1:18" ht="15.75" customHeight="1" x14ac:dyDescent="0.3">
      <c r="A369" s="47">
        <v>38351</v>
      </c>
      <c r="B369" s="48">
        <v>0</v>
      </c>
      <c r="C369" s="49">
        <v>0</v>
      </c>
      <c r="D369" s="10">
        <f t="shared" si="60"/>
        <v>-0.38980777739764078</v>
      </c>
      <c r="E369" s="10">
        <f t="shared" si="61"/>
        <v>-0.52735136612021827</v>
      </c>
      <c r="F369" s="10">
        <f t="shared" si="72"/>
        <v>0.15195010331968867</v>
      </c>
      <c r="G369" s="10">
        <f t="shared" si="72"/>
        <v>0.27809946334886049</v>
      </c>
      <c r="H369" s="11">
        <f t="shared" si="69"/>
        <v>0.20556566393493181</v>
      </c>
      <c r="I369" s="12">
        <f t="shared" si="70"/>
        <v>0</v>
      </c>
      <c r="J369" s="28">
        <f t="shared" si="71"/>
        <v>0</v>
      </c>
      <c r="K369" s="30">
        <f t="shared" si="62"/>
        <v>0</v>
      </c>
      <c r="L369" s="5"/>
      <c r="M369" s="30">
        <f t="shared" si="63"/>
        <v>0</v>
      </c>
      <c r="N369" s="42">
        <f t="shared" si="64"/>
        <v>0</v>
      </c>
      <c r="O369" s="43">
        <f t="shared" si="65"/>
        <v>0</v>
      </c>
      <c r="P369" s="43">
        <f t="shared" si="66"/>
        <v>-0.34013437099999999</v>
      </c>
      <c r="Q369" s="43">
        <f t="shared" si="67"/>
        <v>-0.34013437099999999</v>
      </c>
      <c r="R369" s="43">
        <f t="shared" si="68"/>
        <v>0.11569139033556564</v>
      </c>
    </row>
    <row r="370" spans="1:18" ht="15.75" customHeight="1" x14ac:dyDescent="0.3">
      <c r="A370" s="47">
        <v>38352</v>
      </c>
      <c r="B370" s="48">
        <v>0</v>
      </c>
      <c r="C370" s="49">
        <v>0</v>
      </c>
      <c r="D370" s="10">
        <f t="shared" si="60"/>
        <v>-0.38980777739764078</v>
      </c>
      <c r="E370" s="35">
        <f t="shared" si="61"/>
        <v>-0.52735136612021827</v>
      </c>
      <c r="F370" s="10">
        <f t="shared" si="72"/>
        <v>0.15195010331968867</v>
      </c>
      <c r="G370" s="10">
        <f t="shared" si="72"/>
        <v>0.27809946334886049</v>
      </c>
      <c r="H370" s="11">
        <f t="shared" si="69"/>
        <v>0.20556566393493181</v>
      </c>
      <c r="I370" s="12">
        <f t="shared" si="70"/>
        <v>0</v>
      </c>
      <c r="J370" s="28">
        <f t="shared" si="71"/>
        <v>0</v>
      </c>
      <c r="K370" s="30">
        <f t="shared" si="62"/>
        <v>0</v>
      </c>
      <c r="L370" s="41" t="s">
        <v>28</v>
      </c>
      <c r="M370" s="30">
        <f t="shared" si="63"/>
        <v>0</v>
      </c>
      <c r="N370" s="42">
        <f t="shared" si="64"/>
        <v>0</v>
      </c>
      <c r="O370" s="43">
        <f t="shared" si="65"/>
        <v>0</v>
      </c>
      <c r="P370" s="43">
        <f t="shared" si="66"/>
        <v>-0.34013437099999999</v>
      </c>
      <c r="Q370" s="43">
        <f>B370-0.340134371</f>
        <v>-0.34013437099999999</v>
      </c>
      <c r="R370" s="43">
        <f t="shared" si="68"/>
        <v>0.11569139033556564</v>
      </c>
    </row>
    <row r="371" spans="1:18" ht="15.75" customHeight="1" x14ac:dyDescent="0.3">
      <c r="A371" s="4"/>
      <c r="B371" s="5"/>
      <c r="D371" s="13"/>
      <c r="E371" s="36" t="s">
        <v>7</v>
      </c>
      <c r="F371" s="34">
        <f>SUM(F5:F370)</f>
        <v>967.56014811576813</v>
      </c>
      <c r="G371" s="23">
        <f>SUM(G5:G370)</f>
        <v>1876.751406654304</v>
      </c>
      <c r="H371" s="23">
        <f>SUM(H5:H370)</f>
        <v>1018.7719810990907</v>
      </c>
      <c r="I371" s="14" t="s">
        <v>7</v>
      </c>
      <c r="J371" s="29">
        <f>SUM(J5:J370)</f>
        <v>813.79889909347219</v>
      </c>
      <c r="K371" s="30">
        <f>SUM(K5:K370)</f>
        <v>50.730761249861175</v>
      </c>
      <c r="L371" s="26">
        <f>SUM(B5:B370)</f>
        <v>142.27983875013888</v>
      </c>
      <c r="M371" s="24"/>
      <c r="N371" s="44" t="s">
        <v>31</v>
      </c>
      <c r="O371" s="43">
        <f>SUM(O5:O370)</f>
        <v>813.79889909347219</v>
      </c>
      <c r="P371" s="38"/>
      <c r="Q371" s="45" t="s">
        <v>34</v>
      </c>
      <c r="R371" s="43">
        <f>SUM(R5:R370)</f>
        <v>968.4245076684283</v>
      </c>
    </row>
    <row r="372" spans="1:18" ht="15.75" customHeight="1" x14ac:dyDescent="0.3">
      <c r="A372" s="4"/>
      <c r="B372" s="24" t="s">
        <v>8</v>
      </c>
      <c r="C372" s="5"/>
      <c r="D372" s="5"/>
      <c r="E372" s="5"/>
      <c r="F372" s="5"/>
      <c r="G372" s="5"/>
      <c r="H372" s="5"/>
      <c r="I372" s="33" t="s">
        <v>9</v>
      </c>
      <c r="J372" s="33">
        <v>366</v>
      </c>
      <c r="K372" s="13"/>
      <c r="L372" s="5"/>
      <c r="M372" s="24"/>
      <c r="N372" s="44" t="s">
        <v>32</v>
      </c>
      <c r="O372" s="43">
        <f>AVERAGE(B5:B370)</f>
        <v>0.38980777739764078</v>
      </c>
      <c r="P372" s="39"/>
      <c r="Q372" s="39"/>
      <c r="R372" s="39"/>
    </row>
    <row r="373" spans="1:18" ht="15.75" customHeight="1" x14ac:dyDescent="0.3">
      <c r="A373" s="4"/>
      <c r="B373" s="5"/>
      <c r="C373" s="5"/>
      <c r="D373" s="5"/>
      <c r="E373" s="5"/>
      <c r="F373" s="5"/>
      <c r="G373" s="5"/>
      <c r="H373" s="5"/>
      <c r="I373" s="15" t="s">
        <v>10</v>
      </c>
      <c r="J373" s="16">
        <f>SQRT(J371/J372)</f>
        <v>1.4911385783414732</v>
      </c>
      <c r="K373" s="5"/>
      <c r="L373" s="5"/>
      <c r="M373" s="40"/>
      <c r="N373" s="38"/>
      <c r="O373" s="39"/>
      <c r="P373" s="39"/>
      <c r="Q373" s="39"/>
      <c r="R373" s="39"/>
    </row>
    <row r="374" spans="1:18" ht="15.75" customHeight="1" x14ac:dyDescent="0.35">
      <c r="A374" s="4"/>
      <c r="B374" s="5"/>
      <c r="C374" s="8" t="s">
        <v>11</v>
      </c>
      <c r="D374" s="8" t="s">
        <v>12</v>
      </c>
      <c r="E374" s="5"/>
      <c r="F374" s="5"/>
      <c r="G374" s="5"/>
      <c r="H374" s="5"/>
      <c r="I374" s="15" t="s">
        <v>13</v>
      </c>
      <c r="J374" s="22">
        <f>SUM(I5:I370)/J372</f>
        <v>0.35775897708449678</v>
      </c>
      <c r="K374" s="5"/>
      <c r="L374" s="5"/>
      <c r="M374" s="40"/>
      <c r="N374" s="39"/>
      <c r="O374" s="44" t="s">
        <v>35</v>
      </c>
      <c r="P374" s="43">
        <f>O371/R371</f>
        <v>0.84033282165975787</v>
      </c>
      <c r="Q374" s="39"/>
      <c r="R374" s="39"/>
    </row>
    <row r="375" spans="1:18" ht="15.75" customHeight="1" x14ac:dyDescent="0.3">
      <c r="A375" s="4"/>
      <c r="B375" s="32" t="s">
        <v>14</v>
      </c>
      <c r="C375" s="17">
        <f>AVERAGE(B5:B370)</f>
        <v>0.38980777739764078</v>
      </c>
      <c r="D375" s="17">
        <f>AVERAGE(C5:C370)</f>
        <v>0.52735136612021827</v>
      </c>
      <c r="E375" s="5"/>
      <c r="F375" s="5"/>
      <c r="G375" s="5"/>
      <c r="H375" s="5"/>
      <c r="I375" s="25" t="s">
        <v>15</v>
      </c>
      <c r="J375" s="25">
        <f>1/J372*J371</f>
        <v>2.2234942598182301</v>
      </c>
      <c r="K375" s="5"/>
      <c r="L375" s="5"/>
      <c r="M375" s="6"/>
    </row>
    <row r="376" spans="1:18" ht="15.75" customHeight="1" x14ac:dyDescent="0.3">
      <c r="A376" s="4"/>
      <c r="B376" s="5"/>
      <c r="C376" s="5"/>
      <c r="D376" s="5"/>
      <c r="E376" s="5"/>
      <c r="F376" s="5"/>
      <c r="G376" s="5"/>
      <c r="H376" s="5"/>
      <c r="I376" s="26" t="s">
        <v>27</v>
      </c>
      <c r="J376" s="26">
        <f>K371/L371</f>
        <v>0.3565562183335807</v>
      </c>
      <c r="K376" s="5"/>
      <c r="L376" s="5"/>
      <c r="M376" s="6"/>
    </row>
    <row r="377" spans="1:18" ht="15.75" customHeight="1" x14ac:dyDescent="0.3">
      <c r="A377" s="4"/>
      <c r="B377" s="5" t="s">
        <v>16</v>
      </c>
      <c r="C377" s="5"/>
      <c r="D377" s="5"/>
      <c r="E377" s="5"/>
      <c r="F377" s="5"/>
      <c r="G377" s="5"/>
      <c r="H377" s="5"/>
      <c r="I377" s="37" t="s">
        <v>36</v>
      </c>
      <c r="J377" s="26">
        <f>1-P374</f>
        <v>0.15966717834024213</v>
      </c>
      <c r="K377" s="5"/>
      <c r="L377" s="5"/>
      <c r="M377" s="6"/>
    </row>
    <row r="378" spans="1:18" ht="15.75" customHeight="1" x14ac:dyDescent="0.35">
      <c r="A378" s="4"/>
      <c r="B378" s="5" t="s">
        <v>17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"/>
    </row>
    <row r="379" spans="1:18" ht="15.75" customHeight="1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</row>
    <row r="380" spans="1:18" ht="15.75" customHeight="1" x14ac:dyDescent="0.3">
      <c r="A380" s="4"/>
      <c r="B380" s="57" t="s">
        <v>18</v>
      </c>
      <c r="C380" s="58"/>
      <c r="D380" s="59">
        <f>H371/SQRT((G371*F371))</f>
        <v>0.75602234383163924</v>
      </c>
      <c r="E380" s="60"/>
      <c r="F380" s="60"/>
      <c r="G380" s="60"/>
      <c r="H380" s="61"/>
      <c r="I380" s="5"/>
      <c r="J380" s="5"/>
      <c r="K380" s="5"/>
      <c r="L380" s="5"/>
      <c r="M380" s="6"/>
    </row>
    <row r="381" spans="1:18" ht="15.75" customHeight="1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</row>
    <row r="382" spans="1:18" ht="15.75" customHeight="1" x14ac:dyDescent="0.3">
      <c r="A382" s="4"/>
      <c r="B382" s="5" t="s">
        <v>19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"/>
    </row>
    <row r="383" spans="1:18" ht="15.75" customHeight="1" x14ac:dyDescent="0.3">
      <c r="A383" s="4"/>
      <c r="B383" s="5" t="s">
        <v>20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</row>
    <row r="384" spans="1:18" ht="15.75" customHeight="1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"/>
    </row>
    <row r="385" spans="1:13" ht="15.75" customHeight="1" x14ac:dyDescent="0.3">
      <c r="A385" s="4"/>
      <c r="B385" s="57" t="s">
        <v>21</v>
      </c>
      <c r="C385" s="58"/>
      <c r="D385" s="18">
        <f>D380^2</f>
        <v>0.57156978437268535</v>
      </c>
      <c r="E385" s="5"/>
      <c r="F385" s="5"/>
      <c r="G385" s="5"/>
      <c r="H385" s="5"/>
      <c r="I385" s="5"/>
      <c r="J385" s="5"/>
      <c r="K385" s="5"/>
      <c r="L385" s="5"/>
      <c r="M385" s="6"/>
    </row>
    <row r="386" spans="1:13" ht="15.75" customHeight="1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"/>
    </row>
    <row r="387" spans="1:13" ht="15.75" customHeight="1" thickBot="1" x14ac:dyDescent="0.35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</row>
    <row r="388" spans="1:13" ht="15.75" customHeight="1" x14ac:dyDescent="0.3"/>
    <row r="389" spans="1:13" ht="15.75" customHeight="1" x14ac:dyDescent="0.3"/>
    <row r="390" spans="1:13" ht="15.75" customHeight="1" x14ac:dyDescent="0.3"/>
    <row r="391" spans="1:13" ht="15.75" customHeight="1" x14ac:dyDescent="0.3"/>
    <row r="392" spans="1:13" ht="15.75" customHeight="1" x14ac:dyDescent="0.3"/>
    <row r="393" spans="1:13" ht="15.75" customHeight="1" x14ac:dyDescent="0.3"/>
    <row r="394" spans="1:13" ht="15.75" customHeight="1" x14ac:dyDescent="0.3"/>
    <row r="395" spans="1:13" ht="15.75" customHeight="1" x14ac:dyDescent="0.3"/>
    <row r="396" spans="1:13" ht="15.75" customHeight="1" x14ac:dyDescent="0.3"/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</sheetData>
  <mergeCells count="4">
    <mergeCell ref="D1:I2"/>
    <mergeCell ref="B380:C380"/>
    <mergeCell ref="D380:H380"/>
    <mergeCell ref="B385:C38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8"/>
  <sheetViews>
    <sheetView rightToLeft="1" zoomScale="82" zoomScaleNormal="82" workbookViewId="0">
      <selection activeCell="C5" sqref="C5:C370"/>
    </sheetView>
  </sheetViews>
  <sheetFormatPr defaultColWidth="14.33203125" defaultRowHeight="14.4" x14ac:dyDescent="0.3"/>
  <cols>
    <col min="1" max="1" width="15" customWidth="1"/>
    <col min="2" max="2" width="15.6640625" customWidth="1"/>
    <col min="3" max="3" width="19.109375" customWidth="1"/>
    <col min="4" max="4" width="14" customWidth="1"/>
    <col min="5" max="5" width="18.21875" customWidth="1"/>
    <col min="6" max="6" width="18" customWidth="1"/>
    <col min="7" max="7" width="15.33203125" customWidth="1"/>
    <col min="8" max="8" width="14.77734375" customWidth="1"/>
    <col min="9" max="9" width="17.6640625" customWidth="1"/>
    <col min="10" max="10" width="23.33203125" customWidth="1"/>
    <col min="11" max="11" width="14.77734375" customWidth="1"/>
    <col min="12" max="12" width="14.109375" customWidth="1"/>
    <col min="13" max="13" width="18.21875" customWidth="1"/>
  </cols>
  <sheetData>
    <row r="1" spans="1:18" x14ac:dyDescent="0.3">
      <c r="A1" s="1"/>
      <c r="B1" s="2"/>
      <c r="C1" s="2"/>
      <c r="D1" s="51" t="s">
        <v>40</v>
      </c>
      <c r="E1" s="52"/>
      <c r="F1" s="52"/>
      <c r="G1" s="52"/>
      <c r="H1" s="52"/>
      <c r="I1" s="53"/>
      <c r="J1" s="2"/>
      <c r="K1" s="2"/>
      <c r="L1" s="2"/>
      <c r="M1" s="3"/>
    </row>
    <row r="2" spans="1:18" ht="15" thickBot="1" x14ac:dyDescent="0.35">
      <c r="A2" s="4"/>
      <c r="B2" s="5"/>
      <c r="C2" s="5"/>
      <c r="D2" s="54"/>
      <c r="E2" s="55"/>
      <c r="F2" s="55"/>
      <c r="G2" s="55"/>
      <c r="H2" s="55"/>
      <c r="I2" s="56"/>
      <c r="J2" s="5"/>
      <c r="K2" s="5"/>
      <c r="L2" s="5"/>
      <c r="M2" s="6"/>
    </row>
    <row r="3" spans="1:18" x14ac:dyDescent="0.3">
      <c r="A3" s="4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8" ht="16.8" x14ac:dyDescent="0.35">
      <c r="A4" s="7" t="s">
        <v>22</v>
      </c>
      <c r="B4" s="8" t="s">
        <v>23</v>
      </c>
      <c r="C4" s="8" t="s">
        <v>41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9" t="s">
        <v>5</v>
      </c>
      <c r="J4" s="27" t="s">
        <v>6</v>
      </c>
      <c r="K4" s="31" t="s">
        <v>26</v>
      </c>
      <c r="L4" s="5"/>
      <c r="M4" s="46" t="s">
        <v>29</v>
      </c>
      <c r="N4" s="46" t="s">
        <v>29</v>
      </c>
      <c r="O4" s="46" t="s">
        <v>30</v>
      </c>
      <c r="P4" s="46" t="s">
        <v>37</v>
      </c>
      <c r="Q4" s="46" t="s">
        <v>37</v>
      </c>
      <c r="R4" s="46" t="s">
        <v>33</v>
      </c>
    </row>
    <row r="5" spans="1:18" x14ac:dyDescent="0.3">
      <c r="A5" s="47">
        <v>37987</v>
      </c>
      <c r="B5" s="48">
        <v>0</v>
      </c>
      <c r="C5" s="49">
        <v>0</v>
      </c>
      <c r="D5" s="10">
        <f t="shared" ref="D5:D68" si="0">B5-$C$375</f>
        <v>-0.38980777739764078</v>
      </c>
      <c r="E5" s="10">
        <f t="shared" ref="E5:E68" si="1">C5-$D$375</f>
        <v>-0.68571147540983624</v>
      </c>
      <c r="F5" s="10">
        <f t="shared" ref="F5:G20" si="2">D5^2</f>
        <v>0.15195010331968867</v>
      </c>
      <c r="G5" s="10">
        <f t="shared" si="2"/>
        <v>0.47020022750873447</v>
      </c>
      <c r="H5" s="11">
        <f t="shared" ref="H5:H202" si="3">D5*E5</f>
        <v>0.26729566616556527</v>
      </c>
      <c r="I5" s="12">
        <f t="shared" ref="I5:I202" si="4">ABS(C5-B5)</f>
        <v>0</v>
      </c>
      <c r="J5" s="28">
        <f t="shared" ref="J5:J202" si="5">I5^2</f>
        <v>0</v>
      </c>
      <c r="K5" s="30">
        <f>C5-B5</f>
        <v>0</v>
      </c>
      <c r="L5" s="5"/>
      <c r="M5" s="30">
        <f>B5-C5</f>
        <v>0</v>
      </c>
      <c r="N5" s="42">
        <f>B5-C5</f>
        <v>0</v>
      </c>
      <c r="O5" s="43">
        <f>M5*N5</f>
        <v>0</v>
      </c>
      <c r="P5" s="43">
        <f>B5-0.340134371</f>
        <v>-0.34013437099999999</v>
      </c>
      <c r="Q5" s="43">
        <f>B5-0.340134371</f>
        <v>-0.34013437099999999</v>
      </c>
      <c r="R5" s="43">
        <f>P5*Q5</f>
        <v>0.11569139033556564</v>
      </c>
    </row>
    <row r="6" spans="1:18" x14ac:dyDescent="0.3">
      <c r="A6" s="47">
        <v>37988</v>
      </c>
      <c r="B6" s="48">
        <v>0</v>
      </c>
      <c r="C6" s="49">
        <v>0</v>
      </c>
      <c r="D6" s="10">
        <f t="shared" si="0"/>
        <v>-0.38980777739764078</v>
      </c>
      <c r="E6" s="10">
        <f t="shared" si="1"/>
        <v>-0.68571147540983624</v>
      </c>
      <c r="F6" s="10">
        <f t="shared" si="2"/>
        <v>0.15195010331968867</v>
      </c>
      <c r="G6" s="10">
        <f t="shared" si="2"/>
        <v>0.47020022750873447</v>
      </c>
      <c r="H6" s="11">
        <f t="shared" si="3"/>
        <v>0.26729566616556527</v>
      </c>
      <c r="I6" s="12">
        <f t="shared" si="4"/>
        <v>0</v>
      </c>
      <c r="J6" s="28">
        <f t="shared" si="5"/>
        <v>0</v>
      </c>
      <c r="K6" s="30">
        <f t="shared" ref="K6:K69" si="6">C6-B6</f>
        <v>0</v>
      </c>
      <c r="L6" s="5"/>
      <c r="M6" s="30">
        <f t="shared" ref="M6:M69" si="7">B6-C6</f>
        <v>0</v>
      </c>
      <c r="N6" s="42">
        <f t="shared" ref="N6:N69" si="8">B6-C6</f>
        <v>0</v>
      </c>
      <c r="O6" s="43">
        <f t="shared" ref="O6:O69" si="9">M6*N6</f>
        <v>0</v>
      </c>
      <c r="P6" s="43">
        <f t="shared" ref="P6:P69" si="10">B6-0.340134371</f>
        <v>-0.34013437099999999</v>
      </c>
      <c r="Q6" s="43">
        <f t="shared" ref="Q6:Q69" si="11">B6-0.340134371</f>
        <v>-0.34013437099999999</v>
      </c>
      <c r="R6" s="43">
        <f t="shared" ref="R6:R69" si="12">P6*Q6</f>
        <v>0.11569139033556564</v>
      </c>
    </row>
    <row r="7" spans="1:18" x14ac:dyDescent="0.3">
      <c r="A7" s="47">
        <v>37989</v>
      </c>
      <c r="B7" s="48">
        <v>0</v>
      </c>
      <c r="C7" s="49">
        <v>0</v>
      </c>
      <c r="D7" s="10">
        <f t="shared" si="0"/>
        <v>-0.38980777739764078</v>
      </c>
      <c r="E7" s="10">
        <f t="shared" si="1"/>
        <v>-0.68571147540983624</v>
      </c>
      <c r="F7" s="10">
        <f t="shared" si="2"/>
        <v>0.15195010331968867</v>
      </c>
      <c r="G7" s="10">
        <f t="shared" si="2"/>
        <v>0.47020022750873447</v>
      </c>
      <c r="H7" s="11">
        <f t="shared" si="3"/>
        <v>0.26729566616556527</v>
      </c>
      <c r="I7" s="12">
        <f t="shared" si="4"/>
        <v>0</v>
      </c>
      <c r="J7" s="28">
        <f t="shared" si="5"/>
        <v>0</v>
      </c>
      <c r="K7" s="30">
        <f t="shared" si="6"/>
        <v>0</v>
      </c>
      <c r="L7" s="5"/>
      <c r="M7" s="30">
        <f t="shared" si="7"/>
        <v>0</v>
      </c>
      <c r="N7" s="42">
        <f t="shared" si="8"/>
        <v>0</v>
      </c>
      <c r="O7" s="43">
        <f t="shared" si="9"/>
        <v>0</v>
      </c>
      <c r="P7" s="43">
        <f t="shared" si="10"/>
        <v>-0.34013437099999999</v>
      </c>
      <c r="Q7" s="43">
        <f t="shared" si="11"/>
        <v>-0.34013437099999999</v>
      </c>
      <c r="R7" s="43">
        <f t="shared" si="12"/>
        <v>0.11569139033556564</v>
      </c>
    </row>
    <row r="8" spans="1:18" x14ac:dyDescent="0.3">
      <c r="A8" s="47">
        <v>37990</v>
      </c>
      <c r="B8" s="48">
        <v>0</v>
      </c>
      <c r="C8" s="49">
        <v>0</v>
      </c>
      <c r="D8" s="10">
        <f t="shared" si="0"/>
        <v>-0.38980777739764078</v>
      </c>
      <c r="E8" s="10">
        <f t="shared" si="1"/>
        <v>-0.68571147540983624</v>
      </c>
      <c r="F8" s="10">
        <f t="shared" si="2"/>
        <v>0.15195010331968867</v>
      </c>
      <c r="G8" s="10">
        <f t="shared" si="2"/>
        <v>0.47020022750873447</v>
      </c>
      <c r="H8" s="11">
        <f t="shared" si="3"/>
        <v>0.26729566616556527</v>
      </c>
      <c r="I8" s="12">
        <f t="shared" si="4"/>
        <v>0</v>
      </c>
      <c r="J8" s="28">
        <f t="shared" si="5"/>
        <v>0</v>
      </c>
      <c r="K8" s="30">
        <f t="shared" si="6"/>
        <v>0</v>
      </c>
      <c r="L8" s="5"/>
      <c r="M8" s="30">
        <f t="shared" si="7"/>
        <v>0</v>
      </c>
      <c r="N8" s="42">
        <f t="shared" si="8"/>
        <v>0</v>
      </c>
      <c r="O8" s="43">
        <f t="shared" si="9"/>
        <v>0</v>
      </c>
      <c r="P8" s="43">
        <f t="shared" si="10"/>
        <v>-0.34013437099999999</v>
      </c>
      <c r="Q8" s="43">
        <f t="shared" si="11"/>
        <v>-0.34013437099999999</v>
      </c>
      <c r="R8" s="43">
        <f t="shared" si="12"/>
        <v>0.11569139033556564</v>
      </c>
    </row>
    <row r="9" spans="1:18" x14ac:dyDescent="0.3">
      <c r="A9" s="47">
        <v>37991</v>
      </c>
      <c r="B9" s="48">
        <v>0</v>
      </c>
      <c r="C9" s="49">
        <v>0</v>
      </c>
      <c r="D9" s="10">
        <f t="shared" si="0"/>
        <v>-0.38980777739764078</v>
      </c>
      <c r="E9" s="10">
        <f t="shared" si="1"/>
        <v>-0.68571147540983624</v>
      </c>
      <c r="F9" s="10">
        <f t="shared" si="2"/>
        <v>0.15195010331968867</v>
      </c>
      <c r="G9" s="10">
        <f t="shared" si="2"/>
        <v>0.47020022750873447</v>
      </c>
      <c r="H9" s="11">
        <f t="shared" si="3"/>
        <v>0.26729566616556527</v>
      </c>
      <c r="I9" s="12">
        <f t="shared" si="4"/>
        <v>0</v>
      </c>
      <c r="J9" s="28">
        <f t="shared" si="5"/>
        <v>0</v>
      </c>
      <c r="K9" s="30">
        <f t="shared" si="6"/>
        <v>0</v>
      </c>
      <c r="L9" s="5"/>
      <c r="M9" s="30">
        <f t="shared" si="7"/>
        <v>0</v>
      </c>
      <c r="N9" s="42">
        <f t="shared" si="8"/>
        <v>0</v>
      </c>
      <c r="O9" s="43">
        <f t="shared" si="9"/>
        <v>0</v>
      </c>
      <c r="P9" s="43">
        <f t="shared" si="10"/>
        <v>-0.34013437099999999</v>
      </c>
      <c r="Q9" s="43">
        <f t="shared" si="11"/>
        <v>-0.34013437099999999</v>
      </c>
      <c r="R9" s="43">
        <f t="shared" si="12"/>
        <v>0.11569139033556564</v>
      </c>
    </row>
    <row r="10" spans="1:18" x14ac:dyDescent="0.3">
      <c r="A10" s="47">
        <v>37992</v>
      </c>
      <c r="B10" s="48">
        <v>0.37375363707542419</v>
      </c>
      <c r="C10" s="49">
        <v>0</v>
      </c>
      <c r="D10" s="10">
        <f>B10-$C$375</f>
        <v>-1.6054140322216581E-2</v>
      </c>
      <c r="E10" s="10">
        <f t="shared" si="1"/>
        <v>-0.68571147540983624</v>
      </c>
      <c r="F10" s="10">
        <f t="shared" si="2"/>
        <v>2.5773542148542033E-4</v>
      </c>
      <c r="G10" s="10">
        <f t="shared" si="2"/>
        <v>0.47020022750873447</v>
      </c>
      <c r="H10" s="11">
        <f t="shared" si="3"/>
        <v>1.1008508246783675E-2</v>
      </c>
      <c r="I10" s="12">
        <f t="shared" si="4"/>
        <v>0.37375363707542419</v>
      </c>
      <c r="J10" s="28">
        <f t="shared" si="5"/>
        <v>0.1396917812271079</v>
      </c>
      <c r="K10" s="30">
        <f t="shared" si="6"/>
        <v>-0.37375363707542419</v>
      </c>
      <c r="L10" s="5"/>
      <c r="M10" s="30">
        <f t="shared" si="7"/>
        <v>0.37375363707542419</v>
      </c>
      <c r="N10" s="42">
        <f t="shared" si="8"/>
        <v>0.37375363707542419</v>
      </c>
      <c r="O10" s="43">
        <f t="shared" si="9"/>
        <v>0.1396917812271079</v>
      </c>
      <c r="P10" s="43">
        <f t="shared" si="10"/>
        <v>3.3619266075424203E-2</v>
      </c>
      <c r="Q10" s="43">
        <f t="shared" si="11"/>
        <v>3.3619266075424203E-2</v>
      </c>
      <c r="R10" s="43">
        <f t="shared" si="12"/>
        <v>1.1302550514501687E-3</v>
      </c>
    </row>
    <row r="11" spans="1:18" x14ac:dyDescent="0.3">
      <c r="A11" s="47">
        <v>37993</v>
      </c>
      <c r="B11" s="48">
        <v>2.794851541519165</v>
      </c>
      <c r="C11" s="49">
        <v>0</v>
      </c>
      <c r="D11" s="10">
        <f>B11-$C$375</f>
        <v>2.4050437641215243</v>
      </c>
      <c r="E11" s="10">
        <f t="shared" si="1"/>
        <v>-0.68571147540983624</v>
      </c>
      <c r="F11" s="10">
        <f t="shared" si="2"/>
        <v>5.7842355073398304</v>
      </c>
      <c r="G11" s="10">
        <f>E11^2</f>
        <v>0.47020022750873447</v>
      </c>
      <c r="H11" s="11">
        <f>D11*E11</f>
        <v>-1.6491661079209965</v>
      </c>
      <c r="I11" s="12">
        <f t="shared" si="4"/>
        <v>2.794851541519165</v>
      </c>
      <c r="J11" s="28">
        <f t="shared" si="5"/>
        <v>7.8111951391320531</v>
      </c>
      <c r="K11" s="30">
        <f t="shared" si="6"/>
        <v>-2.794851541519165</v>
      </c>
      <c r="L11" s="5"/>
      <c r="M11" s="30">
        <f t="shared" si="7"/>
        <v>2.794851541519165</v>
      </c>
      <c r="N11" s="42">
        <f t="shared" si="8"/>
        <v>2.794851541519165</v>
      </c>
      <c r="O11" s="43">
        <f t="shared" si="9"/>
        <v>7.8111951391320531</v>
      </c>
      <c r="P11" s="43">
        <f t="shared" si="10"/>
        <v>2.454717170519165</v>
      </c>
      <c r="Q11" s="43">
        <f t="shared" si="11"/>
        <v>2.454717170519165</v>
      </c>
      <c r="R11" s="43">
        <f t="shared" si="12"/>
        <v>6.0256363872416152</v>
      </c>
    </row>
    <row r="12" spans="1:18" x14ac:dyDescent="0.3">
      <c r="A12" s="47">
        <v>37994</v>
      </c>
      <c r="B12" s="48">
        <v>3.1939265727996826</v>
      </c>
      <c r="C12" s="49">
        <v>0</v>
      </c>
      <c r="D12" s="10">
        <f t="shared" si="0"/>
        <v>2.8041187954020419</v>
      </c>
      <c r="E12" s="10">
        <f t="shared" si="1"/>
        <v>-0.68571147540983624</v>
      </c>
      <c r="F12" s="10">
        <f t="shared" si="2"/>
        <v>7.8630822187269986</v>
      </c>
      <c r="G12" s="10">
        <f t="shared" si="2"/>
        <v>0.47020022750873447</v>
      </c>
      <c r="H12" s="11">
        <f t="shared" si="3"/>
        <v>-1.9228164364195868</v>
      </c>
      <c r="I12" s="12">
        <f t="shared" si="4"/>
        <v>3.1939265727996826</v>
      </c>
      <c r="J12" s="28">
        <f t="shared" si="5"/>
        <v>10.201166952435926</v>
      </c>
      <c r="K12" s="30">
        <f t="shared" si="6"/>
        <v>-3.1939265727996826</v>
      </c>
      <c r="L12" s="5"/>
      <c r="M12" s="30">
        <f t="shared" si="7"/>
        <v>3.1939265727996826</v>
      </c>
      <c r="N12" s="42">
        <f t="shared" si="8"/>
        <v>3.1939265727996826</v>
      </c>
      <c r="O12" s="43">
        <f t="shared" si="9"/>
        <v>10.201166952435926</v>
      </c>
      <c r="P12" s="43">
        <f t="shared" si="10"/>
        <v>2.8537922017996826</v>
      </c>
      <c r="Q12" s="43">
        <f t="shared" si="11"/>
        <v>2.8537922017996826</v>
      </c>
      <c r="R12" s="43">
        <f t="shared" si="12"/>
        <v>8.1441299310526798</v>
      </c>
    </row>
    <row r="13" spans="1:18" x14ac:dyDescent="0.3">
      <c r="A13" s="47">
        <v>37995</v>
      </c>
      <c r="B13" s="48">
        <v>2.9983377456665039</v>
      </c>
      <c r="C13" s="49">
        <v>0</v>
      </c>
      <c r="D13" s="10">
        <f t="shared" si="0"/>
        <v>2.6085299682688632</v>
      </c>
      <c r="E13" s="10">
        <f t="shared" si="1"/>
        <v>-0.68571147540983624</v>
      </c>
      <c r="F13" s="10">
        <f t="shared" si="2"/>
        <v>6.8044285953567565</v>
      </c>
      <c r="G13" s="10">
        <f t="shared" si="2"/>
        <v>0.47020022750873447</v>
      </c>
      <c r="H13" s="11">
        <f t="shared" si="3"/>
        <v>-1.7886989331924155</v>
      </c>
      <c r="I13" s="12">
        <f t="shared" si="4"/>
        <v>2.9983377456665039</v>
      </c>
      <c r="J13" s="28">
        <f t="shared" si="5"/>
        <v>8.9900292370884927</v>
      </c>
      <c r="K13" s="30">
        <f t="shared" si="6"/>
        <v>-2.9983377456665039</v>
      </c>
      <c r="L13" s="5"/>
      <c r="M13" s="30">
        <f t="shared" si="7"/>
        <v>2.9983377456665039</v>
      </c>
      <c r="N13" s="42">
        <f t="shared" si="8"/>
        <v>2.9983377456665039</v>
      </c>
      <c r="O13" s="43">
        <f t="shared" si="9"/>
        <v>8.9900292370884927</v>
      </c>
      <c r="P13" s="43">
        <f t="shared" si="10"/>
        <v>2.6582033746665039</v>
      </c>
      <c r="Q13" s="43">
        <f t="shared" si="11"/>
        <v>2.6582033746665039</v>
      </c>
      <c r="R13" s="43">
        <f t="shared" si="12"/>
        <v>7.0660451810883895</v>
      </c>
    </row>
    <row r="14" spans="1:18" x14ac:dyDescent="0.3">
      <c r="A14" s="47">
        <v>37996</v>
      </c>
      <c r="B14" s="48">
        <v>1.9908638000488281</v>
      </c>
      <c r="C14" s="49">
        <v>0</v>
      </c>
      <c r="D14" s="10">
        <f t="shared" si="0"/>
        <v>1.6010560226511874</v>
      </c>
      <c r="E14" s="10">
        <f t="shared" si="1"/>
        <v>-0.68571147540983624</v>
      </c>
      <c r="F14" s="10">
        <f t="shared" si="2"/>
        <v>2.5633803876676393</v>
      </c>
      <c r="G14" s="10">
        <f t="shared" si="2"/>
        <v>0.47020022750873447</v>
      </c>
      <c r="H14" s="11">
        <f t="shared" si="3"/>
        <v>-1.0978624875059499</v>
      </c>
      <c r="I14" s="12">
        <f t="shared" si="4"/>
        <v>1.9908638000488281</v>
      </c>
      <c r="J14" s="28">
        <f t="shared" si="5"/>
        <v>3.9635386703448603</v>
      </c>
      <c r="K14" s="30">
        <f t="shared" si="6"/>
        <v>-1.9908638000488281</v>
      </c>
      <c r="L14" s="5"/>
      <c r="M14" s="30">
        <f t="shared" si="7"/>
        <v>1.9908638000488281</v>
      </c>
      <c r="N14" s="42">
        <f t="shared" si="8"/>
        <v>1.9908638000488281</v>
      </c>
      <c r="O14" s="43">
        <f t="shared" si="9"/>
        <v>3.9635386703448603</v>
      </c>
      <c r="P14" s="43">
        <f t="shared" si="10"/>
        <v>1.6507294290488281</v>
      </c>
      <c r="Q14" s="43">
        <f t="shared" si="11"/>
        <v>1.6507294290488281</v>
      </c>
      <c r="R14" s="43">
        <f t="shared" si="12"/>
        <v>2.72490764792787</v>
      </c>
    </row>
    <row r="15" spans="1:18" x14ac:dyDescent="0.3">
      <c r="A15" s="47">
        <v>37997</v>
      </c>
      <c r="B15" s="48">
        <v>0</v>
      </c>
      <c r="C15" s="49">
        <v>0</v>
      </c>
      <c r="D15" s="10">
        <f t="shared" si="0"/>
        <v>-0.38980777739764078</v>
      </c>
      <c r="E15" s="10">
        <f t="shared" si="1"/>
        <v>-0.68571147540983624</v>
      </c>
      <c r="F15" s="10">
        <f t="shared" si="2"/>
        <v>0.15195010331968867</v>
      </c>
      <c r="G15" s="10">
        <f t="shared" si="2"/>
        <v>0.47020022750873447</v>
      </c>
      <c r="H15" s="11">
        <f t="shared" si="3"/>
        <v>0.26729566616556527</v>
      </c>
      <c r="I15" s="12">
        <f t="shared" si="4"/>
        <v>0</v>
      </c>
      <c r="J15" s="28">
        <f t="shared" si="5"/>
        <v>0</v>
      </c>
      <c r="K15" s="30">
        <f t="shared" si="6"/>
        <v>0</v>
      </c>
      <c r="L15" s="5"/>
      <c r="M15" s="30">
        <f t="shared" si="7"/>
        <v>0</v>
      </c>
      <c r="N15" s="42">
        <f t="shared" si="8"/>
        <v>0</v>
      </c>
      <c r="O15" s="43">
        <f t="shared" si="9"/>
        <v>0</v>
      </c>
      <c r="P15" s="43">
        <f t="shared" si="10"/>
        <v>-0.34013437099999999</v>
      </c>
      <c r="Q15" s="43">
        <f t="shared" si="11"/>
        <v>-0.34013437099999999</v>
      </c>
      <c r="R15" s="43">
        <f t="shared" si="12"/>
        <v>0.11569139033556564</v>
      </c>
    </row>
    <row r="16" spans="1:18" x14ac:dyDescent="0.3">
      <c r="A16" s="47">
        <v>37998</v>
      </c>
      <c r="B16" s="48">
        <v>2.6243629455566406</v>
      </c>
      <c r="C16" s="49">
        <v>0</v>
      </c>
      <c r="D16" s="10">
        <f t="shared" si="0"/>
        <v>2.2345551681589999</v>
      </c>
      <c r="E16" s="10">
        <f t="shared" si="1"/>
        <v>-0.68571147540983624</v>
      </c>
      <c r="F16" s="10">
        <f t="shared" si="2"/>
        <v>4.9932367995460964</v>
      </c>
      <c r="G16" s="10">
        <f t="shared" si="2"/>
        <v>0.47020022750873447</v>
      </c>
      <c r="H16" s="11">
        <f t="shared" si="3"/>
        <v>-1.5322601212429825</v>
      </c>
      <c r="I16" s="12">
        <f t="shared" si="4"/>
        <v>2.6243629455566406</v>
      </c>
      <c r="J16" s="28">
        <f t="shared" si="5"/>
        <v>6.8872808700107271</v>
      </c>
      <c r="K16" s="30">
        <f t="shared" si="6"/>
        <v>-2.6243629455566406</v>
      </c>
      <c r="L16" s="5"/>
      <c r="M16" s="30">
        <f t="shared" si="7"/>
        <v>2.6243629455566406</v>
      </c>
      <c r="N16" s="42">
        <f t="shared" si="8"/>
        <v>2.6243629455566406</v>
      </c>
      <c r="O16" s="43">
        <f t="shared" si="9"/>
        <v>6.8872808700107271</v>
      </c>
      <c r="P16" s="43">
        <f t="shared" si="10"/>
        <v>2.2842285745566406</v>
      </c>
      <c r="Q16" s="43">
        <f t="shared" si="11"/>
        <v>2.2842285745566406</v>
      </c>
      <c r="R16" s="43">
        <f t="shared" si="12"/>
        <v>5.2177001808210628</v>
      </c>
    </row>
    <row r="17" spans="1:18" x14ac:dyDescent="0.3">
      <c r="A17" s="47">
        <v>37999</v>
      </c>
      <c r="B17" s="48">
        <v>7.5829873085021973</v>
      </c>
      <c r="C17" s="49">
        <v>0</v>
      </c>
      <c r="D17" s="10">
        <f t="shared" si="0"/>
        <v>7.1931795311045565</v>
      </c>
      <c r="E17" s="10">
        <f t="shared" si="1"/>
        <v>-0.68571147540983624</v>
      </c>
      <c r="F17" s="10">
        <f t="shared" si="2"/>
        <v>51.741831766701566</v>
      </c>
      <c r="G17" s="10">
        <f t="shared" si="2"/>
        <v>0.47020022750873447</v>
      </c>
      <c r="H17" s="11">
        <f t="shared" si="3"/>
        <v>-4.9324457491615394</v>
      </c>
      <c r="I17" s="12">
        <f t="shared" si="4"/>
        <v>7.5829873085021973</v>
      </c>
      <c r="J17" s="28">
        <f t="shared" si="5"/>
        <v>57.501696520905398</v>
      </c>
      <c r="K17" s="30">
        <f t="shared" si="6"/>
        <v>-7.5829873085021973</v>
      </c>
      <c r="L17" s="5"/>
      <c r="M17" s="30">
        <f t="shared" si="7"/>
        <v>7.5829873085021973</v>
      </c>
      <c r="N17" s="42">
        <f t="shared" si="8"/>
        <v>7.5829873085021973</v>
      </c>
      <c r="O17" s="43">
        <f t="shared" si="9"/>
        <v>57.501696520905398</v>
      </c>
      <c r="P17" s="43">
        <f t="shared" si="10"/>
        <v>7.2428529375021977</v>
      </c>
      <c r="Q17" s="43">
        <f t="shared" si="11"/>
        <v>7.2428529375021977</v>
      </c>
      <c r="R17" s="43">
        <f t="shared" si="12"/>
        <v>52.458918674284213</v>
      </c>
    </row>
    <row r="18" spans="1:18" x14ac:dyDescent="0.3">
      <c r="A18" s="47">
        <v>38000</v>
      </c>
      <c r="B18" s="48">
        <v>13.223211288452148</v>
      </c>
      <c r="C18" s="49">
        <v>0</v>
      </c>
      <c r="D18" s="10">
        <f t="shared" si="0"/>
        <v>12.833403511054508</v>
      </c>
      <c r="E18" s="10">
        <f t="shared" si="1"/>
        <v>-0.68571147540983624</v>
      </c>
      <c r="F18" s="10">
        <f t="shared" si="2"/>
        <v>164.69624567754616</v>
      </c>
      <c r="G18" s="10">
        <f t="shared" si="2"/>
        <v>0.47020022750873447</v>
      </c>
      <c r="H18" s="11">
        <f t="shared" si="3"/>
        <v>-8.8000120560949586</v>
      </c>
      <c r="I18" s="12">
        <f t="shared" si="4"/>
        <v>13.223211288452148</v>
      </c>
      <c r="J18" s="28">
        <f t="shared" si="5"/>
        <v>174.85331677904833</v>
      </c>
      <c r="K18" s="30">
        <f t="shared" si="6"/>
        <v>-13.223211288452148</v>
      </c>
      <c r="L18" s="5"/>
      <c r="M18" s="30">
        <f t="shared" si="7"/>
        <v>13.223211288452148</v>
      </c>
      <c r="N18" s="42">
        <f t="shared" si="8"/>
        <v>13.223211288452148</v>
      </c>
      <c r="O18" s="43">
        <f t="shared" si="9"/>
        <v>174.85331677904833</v>
      </c>
      <c r="P18" s="43">
        <f t="shared" si="10"/>
        <v>12.883076917452149</v>
      </c>
      <c r="Q18" s="43">
        <f t="shared" si="11"/>
        <v>12.883076917452149</v>
      </c>
      <c r="R18" s="43">
        <f t="shared" si="12"/>
        <v>165.97367086098836</v>
      </c>
    </row>
    <row r="19" spans="1:18" x14ac:dyDescent="0.3">
      <c r="A19" s="47">
        <v>38001</v>
      </c>
      <c r="B19" s="48">
        <v>0</v>
      </c>
      <c r="C19" s="49">
        <v>0</v>
      </c>
      <c r="D19" s="10">
        <f t="shared" si="0"/>
        <v>-0.38980777739764078</v>
      </c>
      <c r="E19" s="10">
        <f t="shared" si="1"/>
        <v>-0.68571147540983624</v>
      </c>
      <c r="F19" s="10">
        <f t="shared" si="2"/>
        <v>0.15195010331968867</v>
      </c>
      <c r="G19" s="10">
        <f t="shared" si="2"/>
        <v>0.47020022750873447</v>
      </c>
      <c r="H19" s="11">
        <f t="shared" si="3"/>
        <v>0.26729566616556527</v>
      </c>
      <c r="I19" s="12">
        <f t="shared" si="4"/>
        <v>0</v>
      </c>
      <c r="J19" s="28">
        <f t="shared" si="5"/>
        <v>0</v>
      </c>
      <c r="K19" s="30">
        <f t="shared" si="6"/>
        <v>0</v>
      </c>
      <c r="L19" s="5"/>
      <c r="M19" s="30">
        <f t="shared" si="7"/>
        <v>0</v>
      </c>
      <c r="N19" s="42">
        <f t="shared" si="8"/>
        <v>0</v>
      </c>
      <c r="O19" s="43">
        <f t="shared" si="9"/>
        <v>0</v>
      </c>
      <c r="P19" s="43">
        <f t="shared" si="10"/>
        <v>-0.34013437099999999</v>
      </c>
      <c r="Q19" s="43">
        <f t="shared" si="11"/>
        <v>-0.34013437099999999</v>
      </c>
      <c r="R19" s="43">
        <f t="shared" si="12"/>
        <v>0.11569139033556564</v>
      </c>
    </row>
    <row r="20" spans="1:18" x14ac:dyDescent="0.3">
      <c r="A20" s="47">
        <v>38002</v>
      </c>
      <c r="B20" s="48">
        <v>0</v>
      </c>
      <c r="C20" s="49">
        <v>0</v>
      </c>
      <c r="D20" s="10">
        <f t="shared" si="0"/>
        <v>-0.38980777739764078</v>
      </c>
      <c r="E20" s="10">
        <f t="shared" si="1"/>
        <v>-0.68571147540983624</v>
      </c>
      <c r="F20" s="10">
        <f t="shared" si="2"/>
        <v>0.15195010331968867</v>
      </c>
      <c r="G20" s="10">
        <f t="shared" si="2"/>
        <v>0.47020022750873447</v>
      </c>
      <c r="H20" s="11">
        <f t="shared" si="3"/>
        <v>0.26729566616556527</v>
      </c>
      <c r="I20" s="12">
        <f t="shared" si="4"/>
        <v>0</v>
      </c>
      <c r="J20" s="28">
        <f t="shared" si="5"/>
        <v>0</v>
      </c>
      <c r="K20" s="30">
        <f t="shared" si="6"/>
        <v>0</v>
      </c>
      <c r="L20" s="5"/>
      <c r="M20" s="30">
        <f t="shared" si="7"/>
        <v>0</v>
      </c>
      <c r="N20" s="42">
        <f t="shared" si="8"/>
        <v>0</v>
      </c>
      <c r="O20" s="43">
        <f t="shared" si="9"/>
        <v>0</v>
      </c>
      <c r="P20" s="43">
        <f t="shared" si="10"/>
        <v>-0.34013437099999999</v>
      </c>
      <c r="Q20" s="43">
        <f t="shared" si="11"/>
        <v>-0.34013437099999999</v>
      </c>
      <c r="R20" s="43">
        <f t="shared" si="12"/>
        <v>0.11569139033556564</v>
      </c>
    </row>
    <row r="21" spans="1:18" x14ac:dyDescent="0.3">
      <c r="A21" s="47">
        <v>38003</v>
      </c>
      <c r="B21" s="48">
        <v>0</v>
      </c>
      <c r="C21" s="49">
        <v>0</v>
      </c>
      <c r="D21" s="10">
        <f t="shared" si="0"/>
        <v>-0.38980777739764078</v>
      </c>
      <c r="E21" s="10">
        <f t="shared" si="1"/>
        <v>-0.68571147540983624</v>
      </c>
      <c r="F21" s="10">
        <f t="shared" ref="F21:G84" si="13">D21^2</f>
        <v>0.15195010331968867</v>
      </c>
      <c r="G21" s="10">
        <f t="shared" si="13"/>
        <v>0.47020022750873447</v>
      </c>
      <c r="H21" s="11">
        <f t="shared" si="3"/>
        <v>0.26729566616556527</v>
      </c>
      <c r="I21" s="12">
        <f t="shared" si="4"/>
        <v>0</v>
      </c>
      <c r="J21" s="28">
        <f t="shared" si="5"/>
        <v>0</v>
      </c>
      <c r="K21" s="30">
        <f t="shared" si="6"/>
        <v>0</v>
      </c>
      <c r="L21" s="5"/>
      <c r="M21" s="30">
        <f t="shared" si="7"/>
        <v>0</v>
      </c>
      <c r="N21" s="42">
        <f t="shared" si="8"/>
        <v>0</v>
      </c>
      <c r="O21" s="43">
        <f t="shared" si="9"/>
        <v>0</v>
      </c>
      <c r="P21" s="43">
        <f t="shared" si="10"/>
        <v>-0.34013437099999999</v>
      </c>
      <c r="Q21" s="43">
        <f t="shared" si="11"/>
        <v>-0.34013437099999999</v>
      </c>
      <c r="R21" s="43">
        <f t="shared" si="12"/>
        <v>0.11569139033556564</v>
      </c>
    </row>
    <row r="22" spans="1:18" x14ac:dyDescent="0.3">
      <c r="A22" s="47">
        <v>38004</v>
      </c>
      <c r="B22" s="48">
        <v>0</v>
      </c>
      <c r="C22" s="49">
        <v>0</v>
      </c>
      <c r="D22" s="10">
        <f t="shared" si="0"/>
        <v>-0.38980777739764078</v>
      </c>
      <c r="E22" s="10">
        <f t="shared" si="1"/>
        <v>-0.68571147540983624</v>
      </c>
      <c r="F22" s="10">
        <f t="shared" si="13"/>
        <v>0.15195010331968867</v>
      </c>
      <c r="G22" s="10">
        <f t="shared" si="13"/>
        <v>0.47020022750873447</v>
      </c>
      <c r="H22" s="11">
        <f t="shared" si="3"/>
        <v>0.26729566616556527</v>
      </c>
      <c r="I22" s="12">
        <f t="shared" si="4"/>
        <v>0</v>
      </c>
      <c r="J22" s="28">
        <f t="shared" si="5"/>
        <v>0</v>
      </c>
      <c r="K22" s="30">
        <f t="shared" si="6"/>
        <v>0</v>
      </c>
      <c r="L22" s="5"/>
      <c r="M22" s="30">
        <f t="shared" si="7"/>
        <v>0</v>
      </c>
      <c r="N22" s="42">
        <f t="shared" si="8"/>
        <v>0</v>
      </c>
      <c r="O22" s="43">
        <f t="shared" si="9"/>
        <v>0</v>
      </c>
      <c r="P22" s="43">
        <f t="shared" si="10"/>
        <v>-0.34013437099999999</v>
      </c>
      <c r="Q22" s="43">
        <f t="shared" si="11"/>
        <v>-0.34013437099999999</v>
      </c>
      <c r="R22" s="43">
        <f t="shared" si="12"/>
        <v>0.11569139033556564</v>
      </c>
    </row>
    <row r="23" spans="1:18" x14ac:dyDescent="0.3">
      <c r="A23" s="47">
        <v>38005</v>
      </c>
      <c r="B23" s="48">
        <v>0</v>
      </c>
      <c r="C23" s="49">
        <v>0</v>
      </c>
      <c r="D23" s="10">
        <f t="shared" si="0"/>
        <v>-0.38980777739764078</v>
      </c>
      <c r="E23" s="10">
        <f t="shared" si="1"/>
        <v>-0.68571147540983624</v>
      </c>
      <c r="F23" s="10">
        <f t="shared" si="13"/>
        <v>0.15195010331968867</v>
      </c>
      <c r="G23" s="10">
        <f t="shared" si="13"/>
        <v>0.47020022750873447</v>
      </c>
      <c r="H23" s="11">
        <f t="shared" si="3"/>
        <v>0.26729566616556527</v>
      </c>
      <c r="I23" s="12">
        <f t="shared" si="4"/>
        <v>0</v>
      </c>
      <c r="J23" s="28">
        <f t="shared" si="5"/>
        <v>0</v>
      </c>
      <c r="K23" s="30">
        <f t="shared" si="6"/>
        <v>0</v>
      </c>
      <c r="L23" s="5"/>
      <c r="M23" s="30">
        <f t="shared" si="7"/>
        <v>0</v>
      </c>
      <c r="N23" s="42">
        <f t="shared" si="8"/>
        <v>0</v>
      </c>
      <c r="O23" s="43">
        <f t="shared" si="9"/>
        <v>0</v>
      </c>
      <c r="P23" s="43">
        <f t="shared" si="10"/>
        <v>-0.34013437099999999</v>
      </c>
      <c r="Q23" s="43">
        <f t="shared" si="11"/>
        <v>-0.34013437099999999</v>
      </c>
      <c r="R23" s="43">
        <f t="shared" si="12"/>
        <v>0.11569139033556564</v>
      </c>
    </row>
    <row r="24" spans="1:18" x14ac:dyDescent="0.3">
      <c r="A24" s="47">
        <v>38006</v>
      </c>
      <c r="B24" s="48">
        <v>0</v>
      </c>
      <c r="C24" s="49">
        <v>0</v>
      </c>
      <c r="D24" s="10">
        <f t="shared" si="0"/>
        <v>-0.38980777739764078</v>
      </c>
      <c r="E24" s="10">
        <f t="shared" si="1"/>
        <v>-0.68571147540983624</v>
      </c>
      <c r="F24" s="10">
        <f t="shared" si="13"/>
        <v>0.15195010331968867</v>
      </c>
      <c r="G24" s="10">
        <f t="shared" si="13"/>
        <v>0.47020022750873447</v>
      </c>
      <c r="H24" s="11">
        <f t="shared" si="3"/>
        <v>0.26729566616556527</v>
      </c>
      <c r="I24" s="12">
        <f t="shared" si="4"/>
        <v>0</v>
      </c>
      <c r="J24" s="28">
        <f t="shared" si="5"/>
        <v>0</v>
      </c>
      <c r="K24" s="30">
        <f t="shared" si="6"/>
        <v>0</v>
      </c>
      <c r="L24" s="5"/>
      <c r="M24" s="30">
        <f t="shared" si="7"/>
        <v>0</v>
      </c>
      <c r="N24" s="42">
        <f t="shared" si="8"/>
        <v>0</v>
      </c>
      <c r="O24" s="43">
        <f t="shared" si="9"/>
        <v>0</v>
      </c>
      <c r="P24" s="43">
        <f t="shared" si="10"/>
        <v>-0.34013437099999999</v>
      </c>
      <c r="Q24" s="43">
        <f t="shared" si="11"/>
        <v>-0.34013437099999999</v>
      </c>
      <c r="R24" s="43">
        <f t="shared" si="12"/>
        <v>0.11569139033556564</v>
      </c>
    </row>
    <row r="25" spans="1:18" x14ac:dyDescent="0.3">
      <c r="A25" s="47">
        <v>38007</v>
      </c>
      <c r="B25" s="48">
        <v>0</v>
      </c>
      <c r="C25" s="49">
        <v>0</v>
      </c>
      <c r="D25" s="10">
        <f t="shared" si="0"/>
        <v>-0.38980777739764078</v>
      </c>
      <c r="E25" s="10">
        <f t="shared" si="1"/>
        <v>-0.68571147540983624</v>
      </c>
      <c r="F25" s="10">
        <f t="shared" si="13"/>
        <v>0.15195010331968867</v>
      </c>
      <c r="G25" s="10">
        <f t="shared" si="13"/>
        <v>0.47020022750873447</v>
      </c>
      <c r="H25" s="11">
        <f t="shared" si="3"/>
        <v>0.26729566616556527</v>
      </c>
      <c r="I25" s="12">
        <f t="shared" si="4"/>
        <v>0</v>
      </c>
      <c r="J25" s="28">
        <f t="shared" si="5"/>
        <v>0</v>
      </c>
      <c r="K25" s="30">
        <f t="shared" si="6"/>
        <v>0</v>
      </c>
      <c r="L25" s="5"/>
      <c r="M25" s="30">
        <f t="shared" si="7"/>
        <v>0</v>
      </c>
      <c r="N25" s="42">
        <f t="shared" si="8"/>
        <v>0</v>
      </c>
      <c r="O25" s="43">
        <f t="shared" si="9"/>
        <v>0</v>
      </c>
      <c r="P25" s="43">
        <f t="shared" si="10"/>
        <v>-0.34013437099999999</v>
      </c>
      <c r="Q25" s="43">
        <f t="shared" si="11"/>
        <v>-0.34013437099999999</v>
      </c>
      <c r="R25" s="43">
        <f t="shared" si="12"/>
        <v>0.11569139033556564</v>
      </c>
    </row>
    <row r="26" spans="1:18" x14ac:dyDescent="0.3">
      <c r="A26" s="47">
        <v>38008</v>
      </c>
      <c r="B26" s="48">
        <v>1.2432469129562378</v>
      </c>
      <c r="C26" s="49">
        <v>51.794600000000003</v>
      </c>
      <c r="D26" s="10">
        <f t="shared" si="0"/>
        <v>0.85343913555859707</v>
      </c>
      <c r="E26" s="10">
        <f t="shared" si="1"/>
        <v>51.108888524590164</v>
      </c>
      <c r="F26" s="10">
        <f t="shared" si="13"/>
        <v>0.72835835810300542</v>
      </c>
      <c r="G26" s="10">
        <f t="shared" si="13"/>
        <v>2612.1184862189839</v>
      </c>
      <c r="H26" s="11">
        <f t="shared" si="3"/>
        <v>43.618325641786932</v>
      </c>
      <c r="I26" s="12">
        <f t="shared" si="4"/>
        <v>50.551353087043765</v>
      </c>
      <c r="J26" s="28">
        <f t="shared" si="5"/>
        <v>2555.439298930969</v>
      </c>
      <c r="K26" s="30">
        <f t="shared" si="6"/>
        <v>50.551353087043765</v>
      </c>
      <c r="L26" s="5"/>
      <c r="M26" s="30">
        <f t="shared" si="7"/>
        <v>-50.551353087043765</v>
      </c>
      <c r="N26" s="42">
        <f t="shared" si="8"/>
        <v>-50.551353087043765</v>
      </c>
      <c r="O26" s="43">
        <f t="shared" si="9"/>
        <v>2555.439298930969</v>
      </c>
      <c r="P26" s="43">
        <f t="shared" si="10"/>
        <v>0.9031125419562378</v>
      </c>
      <c r="Q26" s="43">
        <f t="shared" si="11"/>
        <v>0.9031125419562378</v>
      </c>
      <c r="R26" s="43">
        <f t="shared" si="12"/>
        <v>0.81561226343865734</v>
      </c>
    </row>
    <row r="27" spans="1:18" x14ac:dyDescent="0.3">
      <c r="A27" s="47">
        <v>38009</v>
      </c>
      <c r="B27" s="48">
        <v>3.0027130618691444E-2</v>
      </c>
      <c r="C27" s="49">
        <v>0</v>
      </c>
      <c r="D27" s="10">
        <f t="shared" si="0"/>
        <v>-0.35978064677894933</v>
      </c>
      <c r="E27" s="10">
        <f t="shared" si="1"/>
        <v>-0.68571147540983624</v>
      </c>
      <c r="F27" s="10">
        <f t="shared" si="13"/>
        <v>0.12944211379667911</v>
      </c>
      <c r="G27" s="10">
        <f t="shared" si="13"/>
        <v>0.47020022750873447</v>
      </c>
      <c r="H27" s="11">
        <f t="shared" si="3"/>
        <v>0.2467057181266985</v>
      </c>
      <c r="I27" s="12">
        <f t="shared" si="4"/>
        <v>3.0027130618691444E-2</v>
      </c>
      <c r="J27" s="28">
        <f t="shared" si="5"/>
        <v>9.0162857319195724E-4</v>
      </c>
      <c r="K27" s="30">
        <f t="shared" si="6"/>
        <v>-3.0027130618691444E-2</v>
      </c>
      <c r="L27" s="5"/>
      <c r="M27" s="30">
        <f t="shared" si="7"/>
        <v>3.0027130618691444E-2</v>
      </c>
      <c r="N27" s="42">
        <f t="shared" si="8"/>
        <v>3.0027130618691444E-2</v>
      </c>
      <c r="O27" s="43">
        <f t="shared" si="9"/>
        <v>9.0162857319195724E-4</v>
      </c>
      <c r="P27" s="43">
        <f t="shared" si="10"/>
        <v>-0.31010724038130855</v>
      </c>
      <c r="Q27" s="43">
        <f t="shared" si="11"/>
        <v>-0.31010724038130855</v>
      </c>
      <c r="R27" s="43">
        <f t="shared" si="12"/>
        <v>9.6166500536910685E-2</v>
      </c>
    </row>
    <row r="28" spans="1:18" x14ac:dyDescent="0.3">
      <c r="A28" s="47">
        <v>38010</v>
      </c>
      <c r="B28" s="48">
        <v>4.8039083480834961</v>
      </c>
      <c r="C28" s="49">
        <v>0</v>
      </c>
      <c r="D28" s="10">
        <f t="shared" si="0"/>
        <v>4.4141005706858554</v>
      </c>
      <c r="E28" s="10">
        <f t="shared" si="1"/>
        <v>-0.68571147540983624</v>
      </c>
      <c r="F28" s="10">
        <f t="shared" si="13"/>
        <v>19.484283848129195</v>
      </c>
      <c r="G28" s="10">
        <f t="shared" si="13"/>
        <v>0.47020022750873447</v>
      </c>
      <c r="H28" s="11">
        <f t="shared" si="3"/>
        <v>-3.0267994149323978</v>
      </c>
      <c r="I28" s="12">
        <f t="shared" si="4"/>
        <v>4.8039083480834961</v>
      </c>
      <c r="J28" s="28">
        <f t="shared" si="5"/>
        <v>23.077535416786304</v>
      </c>
      <c r="K28" s="30">
        <f t="shared" si="6"/>
        <v>-4.8039083480834961</v>
      </c>
      <c r="L28" s="5"/>
      <c r="M28" s="30">
        <f t="shared" si="7"/>
        <v>4.8039083480834961</v>
      </c>
      <c r="N28" s="42">
        <f t="shared" si="8"/>
        <v>4.8039083480834961</v>
      </c>
      <c r="O28" s="43">
        <f t="shared" si="9"/>
        <v>23.077535416786304</v>
      </c>
      <c r="P28" s="43">
        <f t="shared" si="10"/>
        <v>4.4637739770834965</v>
      </c>
      <c r="Q28" s="43">
        <f t="shared" si="11"/>
        <v>4.4637739770834965</v>
      </c>
      <c r="R28" s="43">
        <f t="shared" si="12"/>
        <v>19.925278118487817</v>
      </c>
    </row>
    <row r="29" spans="1:18" x14ac:dyDescent="0.3">
      <c r="A29" s="47">
        <v>38011</v>
      </c>
      <c r="B29" s="48">
        <v>0.4056854248046875</v>
      </c>
      <c r="C29" s="49">
        <v>0</v>
      </c>
      <c r="D29" s="10">
        <f t="shared" si="0"/>
        <v>1.5877647407046724E-2</v>
      </c>
      <c r="E29" s="10">
        <f t="shared" si="1"/>
        <v>-0.68571147540983624</v>
      </c>
      <c r="F29" s="10">
        <f t="shared" si="13"/>
        <v>2.5209968718249758E-4</v>
      </c>
      <c r="G29" s="10">
        <f t="shared" si="13"/>
        <v>0.47020022750873447</v>
      </c>
      <c r="H29" s="11">
        <f t="shared" si="3"/>
        <v>-1.0887485029523169E-2</v>
      </c>
      <c r="I29" s="12">
        <f t="shared" si="4"/>
        <v>0.4056854248046875</v>
      </c>
      <c r="J29" s="28">
        <f t="shared" si="5"/>
        <v>0.16458066389895976</v>
      </c>
      <c r="K29" s="30">
        <f t="shared" si="6"/>
        <v>-0.4056854248046875</v>
      </c>
      <c r="L29" s="5"/>
      <c r="M29" s="30">
        <f t="shared" si="7"/>
        <v>0.4056854248046875</v>
      </c>
      <c r="N29" s="42">
        <f t="shared" si="8"/>
        <v>0.4056854248046875</v>
      </c>
      <c r="O29" s="43">
        <f t="shared" si="9"/>
        <v>0.16458066389895976</v>
      </c>
      <c r="P29" s="43">
        <f t="shared" si="10"/>
        <v>6.5551053804687509E-2</v>
      </c>
      <c r="Q29" s="43">
        <f t="shared" si="11"/>
        <v>6.5551053804687509E-2</v>
      </c>
      <c r="R29" s="43">
        <f t="shared" si="12"/>
        <v>4.2969406549050364E-3</v>
      </c>
    </row>
    <row r="30" spans="1:18" x14ac:dyDescent="0.3">
      <c r="A30" s="47">
        <v>38012</v>
      </c>
      <c r="B30" s="48">
        <v>3.0185763835906982</v>
      </c>
      <c r="C30" s="49">
        <v>0</v>
      </c>
      <c r="D30" s="10">
        <f t="shared" si="0"/>
        <v>2.6287686061930575</v>
      </c>
      <c r="E30" s="10">
        <f t="shared" si="1"/>
        <v>-0.68571147540983624</v>
      </c>
      <c r="F30" s="10">
        <f t="shared" si="13"/>
        <v>6.9104243849061904</v>
      </c>
      <c r="G30" s="10">
        <f t="shared" si="13"/>
        <v>0.47020022750873447</v>
      </c>
      <c r="H30" s="11">
        <f t="shared" si="3"/>
        <v>-1.8025767994637003</v>
      </c>
      <c r="I30" s="12">
        <f t="shared" si="4"/>
        <v>3.0185763835906982</v>
      </c>
      <c r="J30" s="28">
        <f t="shared" si="5"/>
        <v>9.1118033835714982</v>
      </c>
      <c r="K30" s="30">
        <f t="shared" si="6"/>
        <v>-3.0185763835906982</v>
      </c>
      <c r="L30" s="5"/>
      <c r="M30" s="30">
        <f t="shared" si="7"/>
        <v>3.0185763835906982</v>
      </c>
      <c r="N30" s="42">
        <f t="shared" si="8"/>
        <v>3.0185763835906982</v>
      </c>
      <c r="O30" s="43">
        <f t="shared" si="9"/>
        <v>9.1118033835714982</v>
      </c>
      <c r="P30" s="43">
        <f t="shared" si="10"/>
        <v>2.6784420125906983</v>
      </c>
      <c r="Q30" s="43">
        <f t="shared" si="11"/>
        <v>2.6784420125906983</v>
      </c>
      <c r="R30" s="43">
        <f t="shared" si="12"/>
        <v>7.1740516148109101</v>
      </c>
    </row>
    <row r="31" spans="1:18" x14ac:dyDescent="0.3">
      <c r="A31" s="47">
        <v>38013</v>
      </c>
      <c r="B31" s="48">
        <v>1.5622665882110596</v>
      </c>
      <c r="C31" s="49">
        <v>0</v>
      </c>
      <c r="D31" s="10">
        <f t="shared" si="0"/>
        <v>1.1724588108134189</v>
      </c>
      <c r="E31" s="10">
        <f t="shared" si="1"/>
        <v>-0.68571147540983624</v>
      </c>
      <c r="F31" s="10">
        <f t="shared" si="13"/>
        <v>1.3746596630540162</v>
      </c>
      <c r="G31" s="10">
        <f t="shared" si="13"/>
        <v>0.47020022750873447</v>
      </c>
      <c r="H31" s="11">
        <f t="shared" si="3"/>
        <v>-0.80396846102013153</v>
      </c>
      <c r="I31" s="12">
        <f t="shared" si="4"/>
        <v>1.5622665882110596</v>
      </c>
      <c r="J31" s="28">
        <f t="shared" si="5"/>
        <v>2.4406768926406244</v>
      </c>
      <c r="K31" s="30">
        <f t="shared" si="6"/>
        <v>-1.5622665882110596</v>
      </c>
      <c r="L31" s="5"/>
      <c r="M31" s="30">
        <f t="shared" si="7"/>
        <v>1.5622665882110596</v>
      </c>
      <c r="N31" s="42">
        <f t="shared" si="8"/>
        <v>1.5622665882110596</v>
      </c>
      <c r="O31" s="43">
        <f t="shared" si="9"/>
        <v>2.4406768926406244</v>
      </c>
      <c r="P31" s="43">
        <f t="shared" si="10"/>
        <v>1.2221322172110596</v>
      </c>
      <c r="Q31" s="43">
        <f t="shared" si="11"/>
        <v>1.2221322172110596</v>
      </c>
      <c r="R31" s="43">
        <f t="shared" si="12"/>
        <v>1.4936071563452205</v>
      </c>
    </row>
    <row r="32" spans="1:18" x14ac:dyDescent="0.3">
      <c r="A32" s="47">
        <v>38014</v>
      </c>
      <c r="B32" s="48">
        <v>0</v>
      </c>
      <c r="C32" s="49">
        <v>35.067500000000003</v>
      </c>
      <c r="D32" s="10">
        <f t="shared" si="0"/>
        <v>-0.38980777739764078</v>
      </c>
      <c r="E32" s="10">
        <f t="shared" si="1"/>
        <v>34.381788524590164</v>
      </c>
      <c r="F32" s="10">
        <f t="shared" si="13"/>
        <v>0.15195010331968867</v>
      </c>
      <c r="G32" s="10">
        <f t="shared" si="13"/>
        <v>1182.1073821496398</v>
      </c>
      <c r="H32" s="11">
        <f t="shared" si="3"/>
        <v>-13.402288567726202</v>
      </c>
      <c r="I32" s="12">
        <f t="shared" si="4"/>
        <v>35.067500000000003</v>
      </c>
      <c r="J32" s="28">
        <f t="shared" si="5"/>
        <v>1229.7295562500001</v>
      </c>
      <c r="K32" s="30">
        <f t="shared" si="6"/>
        <v>35.067500000000003</v>
      </c>
      <c r="L32" s="5"/>
      <c r="M32" s="30">
        <f t="shared" si="7"/>
        <v>-35.067500000000003</v>
      </c>
      <c r="N32" s="42">
        <f t="shared" si="8"/>
        <v>-35.067500000000003</v>
      </c>
      <c r="O32" s="43">
        <f t="shared" si="9"/>
        <v>1229.7295562500001</v>
      </c>
      <c r="P32" s="43">
        <f t="shared" si="10"/>
        <v>-0.34013437099999999</v>
      </c>
      <c r="Q32" s="43">
        <f t="shared" si="11"/>
        <v>-0.34013437099999999</v>
      </c>
      <c r="R32" s="43">
        <f t="shared" si="12"/>
        <v>0.11569139033556564</v>
      </c>
    </row>
    <row r="33" spans="1:18" x14ac:dyDescent="0.3">
      <c r="A33" s="47">
        <v>38015</v>
      </c>
      <c r="B33" s="48">
        <v>0</v>
      </c>
      <c r="C33" s="49">
        <v>0</v>
      </c>
      <c r="D33" s="10">
        <f t="shared" si="0"/>
        <v>-0.38980777739764078</v>
      </c>
      <c r="E33" s="10">
        <f t="shared" si="1"/>
        <v>-0.68571147540983624</v>
      </c>
      <c r="F33" s="10">
        <f t="shared" si="13"/>
        <v>0.15195010331968867</v>
      </c>
      <c r="G33" s="10">
        <f t="shared" si="13"/>
        <v>0.47020022750873447</v>
      </c>
      <c r="H33" s="11">
        <f t="shared" si="3"/>
        <v>0.26729566616556527</v>
      </c>
      <c r="I33" s="12">
        <f t="shared" si="4"/>
        <v>0</v>
      </c>
      <c r="J33" s="28">
        <f t="shared" si="5"/>
        <v>0</v>
      </c>
      <c r="K33" s="30">
        <f t="shared" si="6"/>
        <v>0</v>
      </c>
      <c r="L33" s="5"/>
      <c r="M33" s="30">
        <f t="shared" si="7"/>
        <v>0</v>
      </c>
      <c r="N33" s="42">
        <f t="shared" si="8"/>
        <v>0</v>
      </c>
      <c r="O33" s="43">
        <f t="shared" si="9"/>
        <v>0</v>
      </c>
      <c r="P33" s="43">
        <f t="shared" si="10"/>
        <v>-0.34013437099999999</v>
      </c>
      <c r="Q33" s="43">
        <f t="shared" si="11"/>
        <v>-0.34013437099999999</v>
      </c>
      <c r="R33" s="43">
        <f t="shared" si="12"/>
        <v>0.11569139033556564</v>
      </c>
    </row>
    <row r="34" spans="1:18" x14ac:dyDescent="0.3">
      <c r="A34" s="47">
        <v>38016</v>
      </c>
      <c r="B34" s="48">
        <v>0</v>
      </c>
      <c r="C34" s="49">
        <v>0</v>
      </c>
      <c r="D34" s="10">
        <f t="shared" si="0"/>
        <v>-0.38980777739764078</v>
      </c>
      <c r="E34" s="10">
        <f t="shared" si="1"/>
        <v>-0.68571147540983624</v>
      </c>
      <c r="F34" s="10">
        <f t="shared" si="13"/>
        <v>0.15195010331968867</v>
      </c>
      <c r="G34" s="10">
        <f t="shared" si="13"/>
        <v>0.47020022750873447</v>
      </c>
      <c r="H34" s="11">
        <f t="shared" si="3"/>
        <v>0.26729566616556527</v>
      </c>
      <c r="I34" s="12">
        <f t="shared" si="4"/>
        <v>0</v>
      </c>
      <c r="J34" s="28">
        <f t="shared" si="5"/>
        <v>0</v>
      </c>
      <c r="K34" s="30">
        <f t="shared" si="6"/>
        <v>0</v>
      </c>
      <c r="L34" s="5"/>
      <c r="M34" s="30">
        <f t="shared" si="7"/>
        <v>0</v>
      </c>
      <c r="N34" s="42">
        <f t="shared" si="8"/>
        <v>0</v>
      </c>
      <c r="O34" s="43">
        <f t="shared" si="9"/>
        <v>0</v>
      </c>
      <c r="P34" s="43">
        <f t="shared" si="10"/>
        <v>-0.34013437099999999</v>
      </c>
      <c r="Q34" s="43">
        <f t="shared" si="11"/>
        <v>-0.34013437099999999</v>
      </c>
      <c r="R34" s="43">
        <f t="shared" si="12"/>
        <v>0.11569139033556564</v>
      </c>
    </row>
    <row r="35" spans="1:18" x14ac:dyDescent="0.3">
      <c r="A35" s="47">
        <v>38017</v>
      </c>
      <c r="B35" s="48">
        <v>0</v>
      </c>
      <c r="C35" s="49">
        <v>0</v>
      </c>
      <c r="D35" s="10">
        <f t="shared" si="0"/>
        <v>-0.38980777739764078</v>
      </c>
      <c r="E35" s="10">
        <f t="shared" si="1"/>
        <v>-0.68571147540983624</v>
      </c>
      <c r="F35" s="10">
        <f t="shared" si="13"/>
        <v>0.15195010331968867</v>
      </c>
      <c r="G35" s="10">
        <f t="shared" si="13"/>
        <v>0.47020022750873447</v>
      </c>
      <c r="H35" s="11">
        <f t="shared" si="3"/>
        <v>0.26729566616556527</v>
      </c>
      <c r="I35" s="12">
        <f t="shared" si="4"/>
        <v>0</v>
      </c>
      <c r="J35" s="28">
        <f t="shared" si="5"/>
        <v>0</v>
      </c>
      <c r="K35" s="30">
        <f t="shared" si="6"/>
        <v>0</v>
      </c>
      <c r="L35" s="5"/>
      <c r="M35" s="30">
        <f t="shared" si="7"/>
        <v>0</v>
      </c>
      <c r="N35" s="42">
        <f t="shared" si="8"/>
        <v>0</v>
      </c>
      <c r="O35" s="43">
        <f t="shared" si="9"/>
        <v>0</v>
      </c>
      <c r="P35" s="43">
        <f t="shared" si="10"/>
        <v>-0.34013437099999999</v>
      </c>
      <c r="Q35" s="43">
        <f t="shared" si="11"/>
        <v>-0.34013437099999999</v>
      </c>
      <c r="R35" s="43">
        <f t="shared" si="12"/>
        <v>0.11569139033556564</v>
      </c>
    </row>
    <row r="36" spans="1:18" x14ac:dyDescent="0.3">
      <c r="A36" s="47">
        <v>38018</v>
      </c>
      <c r="B36" s="48">
        <v>1.9000275135040283</v>
      </c>
      <c r="C36" s="49">
        <v>0</v>
      </c>
      <c r="D36" s="10">
        <f t="shared" si="0"/>
        <v>1.5102197361063876</v>
      </c>
      <c r="E36" s="10">
        <f t="shared" si="1"/>
        <v>-0.68571147540983624</v>
      </c>
      <c r="F36" s="10">
        <f t="shared" si="13"/>
        <v>2.2807636513252469</v>
      </c>
      <c r="G36" s="10">
        <f t="shared" si="13"/>
        <v>0.47020022750873447</v>
      </c>
      <c r="H36" s="11">
        <f t="shared" si="3"/>
        <v>-1.0355750034385647</v>
      </c>
      <c r="I36" s="12">
        <f t="shared" si="4"/>
        <v>1.9000275135040283</v>
      </c>
      <c r="J36" s="28">
        <f t="shared" si="5"/>
        <v>3.6101045520723005</v>
      </c>
      <c r="K36" s="30">
        <f t="shared" si="6"/>
        <v>-1.9000275135040283</v>
      </c>
      <c r="L36" s="5"/>
      <c r="M36" s="30">
        <f t="shared" si="7"/>
        <v>1.9000275135040283</v>
      </c>
      <c r="N36" s="42">
        <f t="shared" si="8"/>
        <v>1.9000275135040283</v>
      </c>
      <c r="O36" s="43">
        <f t="shared" si="9"/>
        <v>3.6101045520723005</v>
      </c>
      <c r="P36" s="43">
        <f t="shared" si="10"/>
        <v>1.5598931425040283</v>
      </c>
      <c r="Q36" s="43">
        <f t="shared" si="11"/>
        <v>1.5598931425040283</v>
      </c>
      <c r="R36" s="43">
        <f t="shared" si="12"/>
        <v>2.433266616031093</v>
      </c>
    </row>
    <row r="37" spans="1:18" x14ac:dyDescent="0.3">
      <c r="A37" s="47">
        <v>38019</v>
      </c>
      <c r="B37" s="48">
        <v>0</v>
      </c>
      <c r="C37" s="49">
        <v>0</v>
      </c>
      <c r="D37" s="10">
        <f t="shared" si="0"/>
        <v>-0.38980777739764078</v>
      </c>
      <c r="E37" s="10">
        <f t="shared" si="1"/>
        <v>-0.68571147540983624</v>
      </c>
      <c r="F37" s="10">
        <f t="shared" si="13"/>
        <v>0.15195010331968867</v>
      </c>
      <c r="G37" s="10">
        <f t="shared" si="13"/>
        <v>0.47020022750873447</v>
      </c>
      <c r="H37" s="11">
        <f t="shared" si="3"/>
        <v>0.26729566616556527</v>
      </c>
      <c r="I37" s="12">
        <f t="shared" si="4"/>
        <v>0</v>
      </c>
      <c r="J37" s="28">
        <f t="shared" si="5"/>
        <v>0</v>
      </c>
      <c r="K37" s="30">
        <f t="shared" si="6"/>
        <v>0</v>
      </c>
      <c r="L37" s="5"/>
      <c r="M37" s="30">
        <f t="shared" si="7"/>
        <v>0</v>
      </c>
      <c r="N37" s="42">
        <f t="shared" si="8"/>
        <v>0</v>
      </c>
      <c r="O37" s="43">
        <f t="shared" si="9"/>
        <v>0</v>
      </c>
      <c r="P37" s="43">
        <f t="shared" si="10"/>
        <v>-0.34013437099999999</v>
      </c>
      <c r="Q37" s="43">
        <f t="shared" si="11"/>
        <v>-0.34013437099999999</v>
      </c>
      <c r="R37" s="43">
        <f t="shared" si="12"/>
        <v>0.11569139033556564</v>
      </c>
    </row>
    <row r="38" spans="1:18" x14ac:dyDescent="0.3">
      <c r="A38" s="47">
        <v>38020</v>
      </c>
      <c r="B38" s="48">
        <v>0</v>
      </c>
      <c r="C38" s="49">
        <v>0</v>
      </c>
      <c r="D38" s="10">
        <f t="shared" si="0"/>
        <v>-0.38980777739764078</v>
      </c>
      <c r="E38" s="10">
        <f t="shared" si="1"/>
        <v>-0.68571147540983624</v>
      </c>
      <c r="F38" s="10">
        <f t="shared" si="13"/>
        <v>0.15195010331968867</v>
      </c>
      <c r="G38" s="10">
        <f t="shared" si="13"/>
        <v>0.47020022750873447</v>
      </c>
      <c r="H38" s="11">
        <f t="shared" si="3"/>
        <v>0.26729566616556527</v>
      </c>
      <c r="I38" s="12">
        <f t="shared" si="4"/>
        <v>0</v>
      </c>
      <c r="J38" s="28">
        <f t="shared" si="5"/>
        <v>0</v>
      </c>
      <c r="K38" s="30">
        <f t="shared" si="6"/>
        <v>0</v>
      </c>
      <c r="L38" s="5"/>
      <c r="M38" s="30">
        <f t="shared" si="7"/>
        <v>0</v>
      </c>
      <c r="N38" s="42">
        <f t="shared" si="8"/>
        <v>0</v>
      </c>
      <c r="O38" s="43">
        <f t="shared" si="9"/>
        <v>0</v>
      </c>
      <c r="P38" s="43">
        <f t="shared" si="10"/>
        <v>-0.34013437099999999</v>
      </c>
      <c r="Q38" s="43">
        <f t="shared" si="11"/>
        <v>-0.34013437099999999</v>
      </c>
      <c r="R38" s="43">
        <f t="shared" si="12"/>
        <v>0.11569139033556564</v>
      </c>
    </row>
    <row r="39" spans="1:18" x14ac:dyDescent="0.3">
      <c r="A39" s="47">
        <v>38021</v>
      </c>
      <c r="B39" s="48">
        <v>0</v>
      </c>
      <c r="C39" s="49">
        <v>20.486899999999999</v>
      </c>
      <c r="D39" s="10">
        <f t="shared" si="0"/>
        <v>-0.38980777739764078</v>
      </c>
      <c r="E39" s="10">
        <f t="shared" si="1"/>
        <v>19.801188524590163</v>
      </c>
      <c r="F39" s="10">
        <f t="shared" si="13"/>
        <v>0.15195010331968867</v>
      </c>
      <c r="G39" s="10">
        <f t="shared" si="13"/>
        <v>392.08706698636115</v>
      </c>
      <c r="H39" s="11">
        <f t="shared" si="3"/>
        <v>-7.7186572886021612</v>
      </c>
      <c r="I39" s="12">
        <f t="shared" si="4"/>
        <v>20.486899999999999</v>
      </c>
      <c r="J39" s="28">
        <f t="shared" si="5"/>
        <v>419.71307160999993</v>
      </c>
      <c r="K39" s="30">
        <f t="shared" si="6"/>
        <v>20.486899999999999</v>
      </c>
      <c r="L39" s="5"/>
      <c r="M39" s="30">
        <f t="shared" si="7"/>
        <v>-20.486899999999999</v>
      </c>
      <c r="N39" s="42">
        <f t="shared" si="8"/>
        <v>-20.486899999999999</v>
      </c>
      <c r="O39" s="43">
        <f t="shared" si="9"/>
        <v>419.71307160999993</v>
      </c>
      <c r="P39" s="43">
        <f t="shared" si="10"/>
        <v>-0.34013437099999999</v>
      </c>
      <c r="Q39" s="43">
        <f t="shared" si="11"/>
        <v>-0.34013437099999999</v>
      </c>
      <c r="R39" s="43">
        <f t="shared" si="12"/>
        <v>0.11569139033556564</v>
      </c>
    </row>
    <row r="40" spans="1:18" x14ac:dyDescent="0.3">
      <c r="A40" s="47">
        <v>38022</v>
      </c>
      <c r="B40" s="48">
        <v>10.30665397644043</v>
      </c>
      <c r="C40" s="49">
        <v>4.5015000000000001</v>
      </c>
      <c r="D40" s="10">
        <f t="shared" si="0"/>
        <v>9.916846199042789</v>
      </c>
      <c r="E40" s="10">
        <f t="shared" si="1"/>
        <v>3.8157885245901637</v>
      </c>
      <c r="F40" s="10">
        <f t="shared" si="13"/>
        <v>98.343838535469416</v>
      </c>
      <c r="G40" s="10">
        <f t="shared" si="13"/>
        <v>14.560242064393979</v>
      </c>
      <c r="H40" s="11">
        <f t="shared" si="3"/>
        <v>37.840587926433059</v>
      </c>
      <c r="I40" s="12">
        <f t="shared" si="4"/>
        <v>5.8051539764404296</v>
      </c>
      <c r="J40" s="28">
        <f t="shared" si="5"/>
        <v>33.699812690182135</v>
      </c>
      <c r="K40" s="30">
        <f t="shared" si="6"/>
        <v>-5.8051539764404296</v>
      </c>
      <c r="L40" s="5"/>
      <c r="M40" s="30">
        <f t="shared" si="7"/>
        <v>5.8051539764404296</v>
      </c>
      <c r="N40" s="42">
        <f t="shared" si="8"/>
        <v>5.8051539764404296</v>
      </c>
      <c r="O40" s="43">
        <f t="shared" si="9"/>
        <v>33.699812690182135</v>
      </c>
      <c r="P40" s="43">
        <f t="shared" si="10"/>
        <v>9.9665196054404301</v>
      </c>
      <c r="Q40" s="43">
        <f t="shared" si="11"/>
        <v>9.9665196054404301</v>
      </c>
      <c r="R40" s="43">
        <f t="shared" si="12"/>
        <v>99.331513045628469</v>
      </c>
    </row>
    <row r="41" spans="1:18" x14ac:dyDescent="0.3">
      <c r="A41" s="47">
        <v>38023</v>
      </c>
      <c r="B41" s="48">
        <v>5.659782886505127</v>
      </c>
      <c r="C41" s="49">
        <v>0</v>
      </c>
      <c r="D41" s="10">
        <f t="shared" si="0"/>
        <v>5.2699751091074862</v>
      </c>
      <c r="E41" s="10">
        <f t="shared" si="1"/>
        <v>-0.68571147540983624</v>
      </c>
      <c r="F41" s="10">
        <f t="shared" si="13"/>
        <v>27.772637650612463</v>
      </c>
      <c r="G41" s="10">
        <f t="shared" si="13"/>
        <v>0.47020022750873447</v>
      </c>
      <c r="H41" s="11">
        <f t="shared" si="3"/>
        <v>-3.6136824074392071</v>
      </c>
      <c r="I41" s="12">
        <f t="shared" si="4"/>
        <v>5.659782886505127</v>
      </c>
      <c r="J41" s="28">
        <f t="shared" si="5"/>
        <v>32.033142322376307</v>
      </c>
      <c r="K41" s="30">
        <f t="shared" si="6"/>
        <v>-5.659782886505127</v>
      </c>
      <c r="L41" s="5"/>
      <c r="M41" s="30">
        <f t="shared" si="7"/>
        <v>5.659782886505127</v>
      </c>
      <c r="N41" s="42">
        <f t="shared" si="8"/>
        <v>5.659782886505127</v>
      </c>
      <c r="O41" s="43">
        <f t="shared" si="9"/>
        <v>32.033142322376307</v>
      </c>
      <c r="P41" s="43">
        <f t="shared" si="10"/>
        <v>5.3196485155051274</v>
      </c>
      <c r="Q41" s="43">
        <f t="shared" si="11"/>
        <v>5.3196485155051274</v>
      </c>
      <c r="R41" s="43">
        <f t="shared" si="12"/>
        <v>28.298660328515904</v>
      </c>
    </row>
    <row r="42" spans="1:18" x14ac:dyDescent="0.3">
      <c r="A42" s="47">
        <v>38024</v>
      </c>
      <c r="B42" s="48">
        <v>0</v>
      </c>
      <c r="C42" s="49">
        <v>0</v>
      </c>
      <c r="D42" s="10">
        <f t="shared" si="0"/>
        <v>-0.38980777739764078</v>
      </c>
      <c r="E42" s="10">
        <f t="shared" si="1"/>
        <v>-0.68571147540983624</v>
      </c>
      <c r="F42" s="10">
        <f t="shared" si="13"/>
        <v>0.15195010331968867</v>
      </c>
      <c r="G42" s="10">
        <f t="shared" si="13"/>
        <v>0.47020022750873447</v>
      </c>
      <c r="H42" s="11">
        <f t="shared" si="3"/>
        <v>0.26729566616556527</v>
      </c>
      <c r="I42" s="12">
        <f t="shared" si="4"/>
        <v>0</v>
      </c>
      <c r="J42" s="28">
        <f t="shared" si="5"/>
        <v>0</v>
      </c>
      <c r="K42" s="30">
        <f t="shared" si="6"/>
        <v>0</v>
      </c>
      <c r="L42" s="5"/>
      <c r="M42" s="30">
        <f t="shared" si="7"/>
        <v>0</v>
      </c>
      <c r="N42" s="42">
        <f t="shared" si="8"/>
        <v>0</v>
      </c>
      <c r="O42" s="43">
        <f t="shared" si="9"/>
        <v>0</v>
      </c>
      <c r="P42" s="43">
        <f t="shared" si="10"/>
        <v>-0.34013437099999999</v>
      </c>
      <c r="Q42" s="43">
        <f t="shared" si="11"/>
        <v>-0.34013437099999999</v>
      </c>
      <c r="R42" s="43">
        <f t="shared" si="12"/>
        <v>0.11569139033556564</v>
      </c>
    </row>
    <row r="43" spans="1:18" x14ac:dyDescent="0.3">
      <c r="A43" s="47">
        <v>38025</v>
      </c>
      <c r="B43" s="48">
        <v>0</v>
      </c>
      <c r="C43" s="49">
        <v>0</v>
      </c>
      <c r="D43" s="10">
        <f t="shared" si="0"/>
        <v>-0.38980777739764078</v>
      </c>
      <c r="E43" s="10">
        <f t="shared" si="1"/>
        <v>-0.68571147540983624</v>
      </c>
      <c r="F43" s="10">
        <f t="shared" si="13"/>
        <v>0.15195010331968867</v>
      </c>
      <c r="G43" s="10">
        <f t="shared" si="13"/>
        <v>0.47020022750873447</v>
      </c>
      <c r="H43" s="11">
        <f t="shared" si="3"/>
        <v>0.26729566616556527</v>
      </c>
      <c r="I43" s="12">
        <f t="shared" si="4"/>
        <v>0</v>
      </c>
      <c r="J43" s="28">
        <f t="shared" si="5"/>
        <v>0</v>
      </c>
      <c r="K43" s="30">
        <f t="shared" si="6"/>
        <v>0</v>
      </c>
      <c r="L43" s="5"/>
      <c r="M43" s="30">
        <f t="shared" si="7"/>
        <v>0</v>
      </c>
      <c r="N43" s="42">
        <f t="shared" si="8"/>
        <v>0</v>
      </c>
      <c r="O43" s="43">
        <f t="shared" si="9"/>
        <v>0</v>
      </c>
      <c r="P43" s="43">
        <f t="shared" si="10"/>
        <v>-0.34013437099999999</v>
      </c>
      <c r="Q43" s="43">
        <f t="shared" si="11"/>
        <v>-0.34013437099999999</v>
      </c>
      <c r="R43" s="43">
        <f t="shared" si="12"/>
        <v>0.11569139033556564</v>
      </c>
    </row>
    <row r="44" spans="1:18" x14ac:dyDescent="0.3">
      <c r="A44" s="47">
        <v>38026</v>
      </c>
      <c r="B44" s="48">
        <v>0</v>
      </c>
      <c r="C44" s="49">
        <v>0</v>
      </c>
      <c r="D44" s="10">
        <f t="shared" si="0"/>
        <v>-0.38980777739764078</v>
      </c>
      <c r="E44" s="10">
        <f t="shared" si="1"/>
        <v>-0.68571147540983624</v>
      </c>
      <c r="F44" s="10">
        <f t="shared" si="13"/>
        <v>0.15195010331968867</v>
      </c>
      <c r="G44" s="10">
        <f t="shared" si="13"/>
        <v>0.47020022750873447</v>
      </c>
      <c r="H44" s="11">
        <f t="shared" si="3"/>
        <v>0.26729566616556527</v>
      </c>
      <c r="I44" s="12">
        <f t="shared" si="4"/>
        <v>0</v>
      </c>
      <c r="J44" s="28">
        <f t="shared" si="5"/>
        <v>0</v>
      </c>
      <c r="K44" s="30">
        <f t="shared" si="6"/>
        <v>0</v>
      </c>
      <c r="L44" s="5"/>
      <c r="M44" s="30">
        <f t="shared" si="7"/>
        <v>0</v>
      </c>
      <c r="N44" s="42">
        <f t="shared" si="8"/>
        <v>0</v>
      </c>
      <c r="O44" s="43">
        <f t="shared" si="9"/>
        <v>0</v>
      </c>
      <c r="P44" s="43">
        <f t="shared" si="10"/>
        <v>-0.34013437099999999</v>
      </c>
      <c r="Q44" s="43">
        <f t="shared" si="11"/>
        <v>-0.34013437099999999</v>
      </c>
      <c r="R44" s="43">
        <f t="shared" si="12"/>
        <v>0.11569139033556564</v>
      </c>
    </row>
    <row r="45" spans="1:18" x14ac:dyDescent="0.3">
      <c r="A45" s="47">
        <v>38027</v>
      </c>
      <c r="B45" s="48">
        <v>0</v>
      </c>
      <c r="C45" s="49">
        <v>0</v>
      </c>
      <c r="D45" s="10">
        <f t="shared" si="0"/>
        <v>-0.38980777739764078</v>
      </c>
      <c r="E45" s="10">
        <f t="shared" si="1"/>
        <v>-0.68571147540983624</v>
      </c>
      <c r="F45" s="10">
        <f t="shared" si="13"/>
        <v>0.15195010331968867</v>
      </c>
      <c r="G45" s="10">
        <f t="shared" si="13"/>
        <v>0.47020022750873447</v>
      </c>
      <c r="H45" s="11">
        <f t="shared" si="3"/>
        <v>0.26729566616556527</v>
      </c>
      <c r="I45" s="12">
        <f t="shared" si="4"/>
        <v>0</v>
      </c>
      <c r="J45" s="28">
        <f t="shared" si="5"/>
        <v>0</v>
      </c>
      <c r="K45" s="30">
        <f t="shared" si="6"/>
        <v>0</v>
      </c>
      <c r="L45" s="5"/>
      <c r="M45" s="30">
        <f t="shared" si="7"/>
        <v>0</v>
      </c>
      <c r="N45" s="42">
        <f t="shared" si="8"/>
        <v>0</v>
      </c>
      <c r="O45" s="43">
        <f t="shared" si="9"/>
        <v>0</v>
      </c>
      <c r="P45" s="43">
        <f t="shared" si="10"/>
        <v>-0.34013437099999999</v>
      </c>
      <c r="Q45" s="43">
        <f t="shared" si="11"/>
        <v>-0.34013437099999999</v>
      </c>
      <c r="R45" s="43">
        <f t="shared" si="12"/>
        <v>0.11569139033556564</v>
      </c>
    </row>
    <row r="46" spans="1:18" x14ac:dyDescent="0.3">
      <c r="A46" s="47">
        <v>38028</v>
      </c>
      <c r="B46" s="48">
        <v>9.1667555272579193E-2</v>
      </c>
      <c r="C46" s="49">
        <v>0</v>
      </c>
      <c r="D46" s="10">
        <f t="shared" si="0"/>
        <v>-0.29814022212506158</v>
      </c>
      <c r="E46" s="10">
        <f t="shared" si="1"/>
        <v>-0.68571147540983624</v>
      </c>
      <c r="F46" s="10">
        <f t="shared" si="13"/>
        <v>8.8887592048781064E-2</v>
      </c>
      <c r="G46" s="10">
        <f t="shared" si="13"/>
        <v>0.47020022750873447</v>
      </c>
      <c r="H46" s="11">
        <f t="shared" si="3"/>
        <v>0.20443817159239228</v>
      </c>
      <c r="I46" s="12">
        <f t="shared" si="4"/>
        <v>9.1667555272579193E-2</v>
      </c>
      <c r="J46" s="28">
        <f t="shared" si="5"/>
        <v>8.4029406896513614E-3</v>
      </c>
      <c r="K46" s="30">
        <f t="shared" si="6"/>
        <v>-9.1667555272579193E-2</v>
      </c>
      <c r="L46" s="5"/>
      <c r="M46" s="30">
        <f t="shared" si="7"/>
        <v>9.1667555272579193E-2</v>
      </c>
      <c r="N46" s="42">
        <f t="shared" si="8"/>
        <v>9.1667555272579193E-2</v>
      </c>
      <c r="O46" s="43">
        <f t="shared" si="9"/>
        <v>8.4029406896513614E-3</v>
      </c>
      <c r="P46" s="43">
        <f t="shared" si="10"/>
        <v>-0.2484668157274208</v>
      </c>
      <c r="Q46" s="43">
        <f t="shared" si="11"/>
        <v>-0.2484668157274208</v>
      </c>
      <c r="R46" s="43">
        <f t="shared" si="12"/>
        <v>6.1735758517724081E-2</v>
      </c>
    </row>
    <row r="47" spans="1:18" x14ac:dyDescent="0.3">
      <c r="A47" s="47">
        <v>38029</v>
      </c>
      <c r="B47" s="48">
        <v>0</v>
      </c>
      <c r="C47" s="49">
        <v>0</v>
      </c>
      <c r="D47" s="10">
        <f t="shared" si="0"/>
        <v>-0.38980777739764078</v>
      </c>
      <c r="E47" s="10">
        <f t="shared" si="1"/>
        <v>-0.68571147540983624</v>
      </c>
      <c r="F47" s="10">
        <f t="shared" si="13"/>
        <v>0.15195010331968867</v>
      </c>
      <c r="G47" s="10">
        <f t="shared" si="13"/>
        <v>0.47020022750873447</v>
      </c>
      <c r="H47" s="11">
        <f t="shared" si="3"/>
        <v>0.26729566616556527</v>
      </c>
      <c r="I47" s="12">
        <f t="shared" si="4"/>
        <v>0</v>
      </c>
      <c r="J47" s="28">
        <f t="shared" si="5"/>
        <v>0</v>
      </c>
      <c r="K47" s="30">
        <f t="shared" si="6"/>
        <v>0</v>
      </c>
      <c r="L47" s="5"/>
      <c r="M47" s="30">
        <f t="shared" si="7"/>
        <v>0</v>
      </c>
      <c r="N47" s="42">
        <f t="shared" si="8"/>
        <v>0</v>
      </c>
      <c r="O47" s="43">
        <f t="shared" si="9"/>
        <v>0</v>
      </c>
      <c r="P47" s="43">
        <f t="shared" si="10"/>
        <v>-0.34013437099999999</v>
      </c>
      <c r="Q47" s="43">
        <f t="shared" si="11"/>
        <v>-0.34013437099999999</v>
      </c>
      <c r="R47" s="43">
        <f t="shared" si="12"/>
        <v>0.11569139033556564</v>
      </c>
    </row>
    <row r="48" spans="1:18" x14ac:dyDescent="0.3">
      <c r="A48" s="47">
        <v>38030</v>
      </c>
      <c r="B48" s="48">
        <v>0</v>
      </c>
      <c r="C48" s="49">
        <v>4.7544000000000004</v>
      </c>
      <c r="D48" s="10">
        <f t="shared" si="0"/>
        <v>-0.38980777739764078</v>
      </c>
      <c r="E48" s="10">
        <f t="shared" si="1"/>
        <v>4.0686885245901641</v>
      </c>
      <c r="F48" s="10">
        <f t="shared" si="13"/>
        <v>0.15195010331968867</v>
      </c>
      <c r="G48" s="10">
        <f t="shared" si="13"/>
        <v>16.554226310131686</v>
      </c>
      <c r="H48" s="11">
        <f t="shared" si="3"/>
        <v>-1.5860064306937782</v>
      </c>
      <c r="I48" s="12">
        <f t="shared" si="4"/>
        <v>4.7544000000000004</v>
      </c>
      <c r="J48" s="28">
        <f t="shared" si="5"/>
        <v>22.604319360000005</v>
      </c>
      <c r="K48" s="30">
        <f t="shared" si="6"/>
        <v>4.7544000000000004</v>
      </c>
      <c r="L48" s="5"/>
      <c r="M48" s="30">
        <f t="shared" si="7"/>
        <v>-4.7544000000000004</v>
      </c>
      <c r="N48" s="42">
        <f t="shared" si="8"/>
        <v>-4.7544000000000004</v>
      </c>
      <c r="O48" s="43">
        <f t="shared" si="9"/>
        <v>22.604319360000005</v>
      </c>
      <c r="P48" s="43">
        <f t="shared" si="10"/>
        <v>-0.34013437099999999</v>
      </c>
      <c r="Q48" s="43">
        <f t="shared" si="11"/>
        <v>-0.34013437099999999</v>
      </c>
      <c r="R48" s="43">
        <f t="shared" si="12"/>
        <v>0.11569139033556564</v>
      </c>
    </row>
    <row r="49" spans="1:18" x14ac:dyDescent="0.3">
      <c r="A49" s="47">
        <v>38031</v>
      </c>
      <c r="B49" s="48">
        <v>7.5338869094848633</v>
      </c>
      <c r="C49" s="49">
        <v>7.7214999999999998</v>
      </c>
      <c r="D49" s="10">
        <f t="shared" si="0"/>
        <v>7.1440791320872226</v>
      </c>
      <c r="E49" s="10">
        <f t="shared" si="1"/>
        <v>7.0357885245901635</v>
      </c>
      <c r="F49" s="10">
        <f t="shared" si="13"/>
        <v>51.037866645524126</v>
      </c>
      <c r="G49" s="10">
        <f t="shared" si="13"/>
        <v>49.502320162754629</v>
      </c>
      <c r="H49" s="11">
        <f t="shared" si="3"/>
        <v>50.264229976303334</v>
      </c>
      <c r="I49" s="12">
        <f t="shared" si="4"/>
        <v>0.18761309051513653</v>
      </c>
      <c r="J49" s="28">
        <f t="shared" si="5"/>
        <v>3.519867173264081E-2</v>
      </c>
      <c r="K49" s="30">
        <f t="shared" si="6"/>
        <v>0.18761309051513653</v>
      </c>
      <c r="L49" s="5"/>
      <c r="M49" s="30">
        <f t="shared" si="7"/>
        <v>-0.18761309051513653</v>
      </c>
      <c r="N49" s="42">
        <f t="shared" si="8"/>
        <v>-0.18761309051513653</v>
      </c>
      <c r="O49" s="43">
        <f t="shared" si="9"/>
        <v>3.519867173264081E-2</v>
      </c>
      <c r="P49" s="43">
        <f t="shared" si="10"/>
        <v>7.1937525384848637</v>
      </c>
      <c r="Q49" s="43">
        <f t="shared" si="11"/>
        <v>7.1937525384848637</v>
      </c>
      <c r="R49" s="43">
        <f t="shared" si="12"/>
        <v>51.750075584957422</v>
      </c>
    </row>
    <row r="50" spans="1:18" x14ac:dyDescent="0.3">
      <c r="A50" s="47">
        <v>38032</v>
      </c>
      <c r="B50" s="48">
        <v>11.905324935913086</v>
      </c>
      <c r="C50" s="49">
        <v>5.1475999999999997</v>
      </c>
      <c r="D50" s="10">
        <f t="shared" si="0"/>
        <v>11.515517158515445</v>
      </c>
      <c r="E50" s="10">
        <f t="shared" si="1"/>
        <v>4.4618885245901634</v>
      </c>
      <c r="F50" s="10">
        <f t="shared" si="13"/>
        <v>132.60713542806363</v>
      </c>
      <c r="G50" s="10">
        <f t="shared" si="13"/>
        <v>19.908449205869385</v>
      </c>
      <c r="H50" s="11">
        <f t="shared" si="3"/>
        <v>51.38095386430119</v>
      </c>
      <c r="I50" s="12">
        <f t="shared" si="4"/>
        <v>6.7577249359130862</v>
      </c>
      <c r="J50" s="28">
        <f t="shared" si="5"/>
        <v>45.666846309461526</v>
      </c>
      <c r="K50" s="30">
        <f t="shared" si="6"/>
        <v>-6.7577249359130862</v>
      </c>
      <c r="L50" s="5"/>
      <c r="M50" s="30">
        <f t="shared" si="7"/>
        <v>6.7577249359130862</v>
      </c>
      <c r="N50" s="42">
        <f t="shared" si="8"/>
        <v>6.7577249359130862</v>
      </c>
      <c r="O50" s="43">
        <f t="shared" si="9"/>
        <v>45.666846309461526</v>
      </c>
      <c r="P50" s="43">
        <f t="shared" si="10"/>
        <v>11.565190564913086</v>
      </c>
      <c r="Q50" s="43">
        <f t="shared" si="11"/>
        <v>11.565190564913086</v>
      </c>
      <c r="R50" s="43">
        <f t="shared" si="12"/>
        <v>133.75363280275468</v>
      </c>
    </row>
    <row r="51" spans="1:18" x14ac:dyDescent="0.3">
      <c r="A51" s="47">
        <v>38033</v>
      </c>
      <c r="B51" s="48">
        <v>0.39036214351654053</v>
      </c>
      <c r="C51" s="49">
        <v>0</v>
      </c>
      <c r="D51" s="10">
        <f t="shared" si="0"/>
        <v>5.5436611889975174E-4</v>
      </c>
      <c r="E51" s="10">
        <f t="shared" si="1"/>
        <v>-0.68571147540983624</v>
      </c>
      <c r="F51" s="10">
        <f t="shared" si="13"/>
        <v>3.0732179378397369E-7</v>
      </c>
      <c r="G51" s="10">
        <f t="shared" si="13"/>
        <v>0.47020022750873447</v>
      </c>
      <c r="H51" s="11">
        <f t="shared" si="3"/>
        <v>-3.8013520930797344E-4</v>
      </c>
      <c r="I51" s="12">
        <f t="shared" si="4"/>
        <v>0.39036214351654053</v>
      </c>
      <c r="J51" s="28">
        <f t="shared" si="5"/>
        <v>0.15238260309082818</v>
      </c>
      <c r="K51" s="30">
        <f t="shared" si="6"/>
        <v>-0.39036214351654053</v>
      </c>
      <c r="L51" s="5"/>
      <c r="M51" s="30">
        <f t="shared" si="7"/>
        <v>0.39036214351654053</v>
      </c>
      <c r="N51" s="42">
        <f t="shared" si="8"/>
        <v>0.39036214351654053</v>
      </c>
      <c r="O51" s="43">
        <f t="shared" si="9"/>
        <v>0.15238260309082818</v>
      </c>
      <c r="P51" s="43">
        <f t="shared" si="10"/>
        <v>5.0227772516540536E-2</v>
      </c>
      <c r="Q51" s="43">
        <f t="shared" si="11"/>
        <v>5.0227772516540536E-2</v>
      </c>
      <c r="R51" s="43">
        <f t="shared" si="12"/>
        <v>2.5228291319733449E-3</v>
      </c>
    </row>
    <row r="52" spans="1:18" x14ac:dyDescent="0.3">
      <c r="A52" s="47">
        <v>38034</v>
      </c>
      <c r="B52" s="48">
        <v>0</v>
      </c>
      <c r="C52" s="49">
        <v>0</v>
      </c>
      <c r="D52" s="10">
        <f t="shared" si="0"/>
        <v>-0.38980777739764078</v>
      </c>
      <c r="E52" s="10">
        <f t="shared" si="1"/>
        <v>-0.68571147540983624</v>
      </c>
      <c r="F52" s="10">
        <f t="shared" si="13"/>
        <v>0.15195010331968867</v>
      </c>
      <c r="G52" s="10">
        <f t="shared" si="13"/>
        <v>0.47020022750873447</v>
      </c>
      <c r="H52" s="11">
        <f t="shared" si="3"/>
        <v>0.26729566616556527</v>
      </c>
      <c r="I52" s="12">
        <f t="shared" si="4"/>
        <v>0</v>
      </c>
      <c r="J52" s="28">
        <f t="shared" si="5"/>
        <v>0</v>
      </c>
      <c r="K52" s="30">
        <f t="shared" si="6"/>
        <v>0</v>
      </c>
      <c r="L52" s="5"/>
      <c r="M52" s="30">
        <f t="shared" si="7"/>
        <v>0</v>
      </c>
      <c r="N52" s="42">
        <f t="shared" si="8"/>
        <v>0</v>
      </c>
      <c r="O52" s="43">
        <f t="shared" si="9"/>
        <v>0</v>
      </c>
      <c r="P52" s="43">
        <f t="shared" si="10"/>
        <v>-0.34013437099999999</v>
      </c>
      <c r="Q52" s="43">
        <f t="shared" si="11"/>
        <v>-0.34013437099999999</v>
      </c>
      <c r="R52" s="43">
        <f t="shared" si="12"/>
        <v>0.11569139033556564</v>
      </c>
    </row>
    <row r="53" spans="1:18" x14ac:dyDescent="0.3">
      <c r="A53" s="47">
        <v>38035</v>
      </c>
      <c r="B53" s="48">
        <v>0</v>
      </c>
      <c r="C53" s="49">
        <v>0</v>
      </c>
      <c r="D53" s="10">
        <f t="shared" si="0"/>
        <v>-0.38980777739764078</v>
      </c>
      <c r="E53" s="10">
        <f t="shared" si="1"/>
        <v>-0.68571147540983624</v>
      </c>
      <c r="F53" s="10">
        <f t="shared" si="13"/>
        <v>0.15195010331968867</v>
      </c>
      <c r="G53" s="10">
        <f t="shared" si="13"/>
        <v>0.47020022750873447</v>
      </c>
      <c r="H53" s="11">
        <f t="shared" si="3"/>
        <v>0.26729566616556527</v>
      </c>
      <c r="I53" s="12">
        <f t="shared" si="4"/>
        <v>0</v>
      </c>
      <c r="J53" s="28">
        <f t="shared" si="5"/>
        <v>0</v>
      </c>
      <c r="K53" s="30">
        <f t="shared" si="6"/>
        <v>0</v>
      </c>
      <c r="L53" s="5"/>
      <c r="M53" s="30">
        <f t="shared" si="7"/>
        <v>0</v>
      </c>
      <c r="N53" s="42">
        <f t="shared" si="8"/>
        <v>0</v>
      </c>
      <c r="O53" s="43">
        <f t="shared" si="9"/>
        <v>0</v>
      </c>
      <c r="P53" s="43">
        <f t="shared" si="10"/>
        <v>-0.34013437099999999</v>
      </c>
      <c r="Q53" s="43">
        <f t="shared" si="11"/>
        <v>-0.34013437099999999</v>
      </c>
      <c r="R53" s="43">
        <f t="shared" si="12"/>
        <v>0.11569139033556564</v>
      </c>
    </row>
    <row r="54" spans="1:18" x14ac:dyDescent="0.3">
      <c r="A54" s="47">
        <v>38036</v>
      </c>
      <c r="B54" s="48">
        <v>0.78885006904602051</v>
      </c>
      <c r="C54" s="49">
        <v>0</v>
      </c>
      <c r="D54" s="10">
        <f t="shared" si="0"/>
        <v>0.39904229164837973</v>
      </c>
      <c r="E54" s="10">
        <f t="shared" si="1"/>
        <v>-0.68571147540983624</v>
      </c>
      <c r="F54" s="10">
        <f t="shared" si="13"/>
        <v>0.15923475052399055</v>
      </c>
      <c r="G54" s="10">
        <f t="shared" si="13"/>
        <v>0.47020022750873447</v>
      </c>
      <c r="H54" s="11">
        <f t="shared" si="3"/>
        <v>-0.27362787855713266</v>
      </c>
      <c r="I54" s="12">
        <f t="shared" si="4"/>
        <v>0.78885006904602051</v>
      </c>
      <c r="J54" s="28">
        <f t="shared" si="5"/>
        <v>0.62228443143391132</v>
      </c>
      <c r="K54" s="30">
        <f t="shared" si="6"/>
        <v>-0.78885006904602051</v>
      </c>
      <c r="L54" s="5"/>
      <c r="M54" s="30">
        <f t="shared" si="7"/>
        <v>0.78885006904602051</v>
      </c>
      <c r="N54" s="42">
        <f t="shared" si="8"/>
        <v>0.78885006904602051</v>
      </c>
      <c r="O54" s="43">
        <f t="shared" si="9"/>
        <v>0.62228443143391132</v>
      </c>
      <c r="P54" s="43">
        <f t="shared" si="10"/>
        <v>0.44871569804602052</v>
      </c>
      <c r="Q54" s="43">
        <f t="shared" si="11"/>
        <v>0.44871569804602052</v>
      </c>
      <c r="R54" s="43">
        <f t="shared" si="12"/>
        <v>0.20134577767292747</v>
      </c>
    </row>
    <row r="55" spans="1:18" x14ac:dyDescent="0.3">
      <c r="A55" s="47">
        <v>38037</v>
      </c>
      <c r="B55" s="48">
        <v>0.10435318946838379</v>
      </c>
      <c r="C55" s="49">
        <v>0</v>
      </c>
      <c r="D55" s="10">
        <f t="shared" si="0"/>
        <v>-0.28545458792925699</v>
      </c>
      <c r="E55" s="10">
        <f t="shared" si="1"/>
        <v>-0.68571147540983624</v>
      </c>
      <c r="F55" s="10">
        <f t="shared" si="13"/>
        <v>8.1484321769861909E-2</v>
      </c>
      <c r="G55" s="10">
        <f t="shared" si="13"/>
        <v>0.47020022750873447</v>
      </c>
      <c r="H55" s="11">
        <f t="shared" si="3"/>
        <v>0.19573948665147764</v>
      </c>
      <c r="I55" s="12">
        <f t="shared" si="4"/>
        <v>0.10435318946838379</v>
      </c>
      <c r="J55" s="28">
        <f t="shared" si="5"/>
        <v>1.0889588152224405E-2</v>
      </c>
      <c r="K55" s="30">
        <f t="shared" si="6"/>
        <v>-0.10435318946838379</v>
      </c>
      <c r="L55" s="5"/>
      <c r="M55" s="30">
        <f t="shared" si="7"/>
        <v>0.10435318946838379</v>
      </c>
      <c r="N55" s="42">
        <f t="shared" si="8"/>
        <v>0.10435318946838379</v>
      </c>
      <c r="O55" s="43">
        <f t="shared" si="9"/>
        <v>1.0889588152224405E-2</v>
      </c>
      <c r="P55" s="43">
        <f t="shared" si="10"/>
        <v>-0.2357811815316162</v>
      </c>
      <c r="Q55" s="43">
        <f t="shared" si="11"/>
        <v>-0.2357811815316162</v>
      </c>
      <c r="R55" s="43">
        <f t="shared" si="12"/>
        <v>5.5592765564444951E-2</v>
      </c>
    </row>
    <row r="56" spans="1:18" x14ac:dyDescent="0.3">
      <c r="A56" s="47">
        <v>38038</v>
      </c>
      <c r="B56" s="48">
        <v>0</v>
      </c>
      <c r="C56" s="49">
        <v>0</v>
      </c>
      <c r="D56" s="10">
        <f t="shared" si="0"/>
        <v>-0.38980777739764078</v>
      </c>
      <c r="E56" s="10">
        <f t="shared" si="1"/>
        <v>-0.68571147540983624</v>
      </c>
      <c r="F56" s="10">
        <f t="shared" si="13"/>
        <v>0.15195010331968867</v>
      </c>
      <c r="G56" s="10">
        <f t="shared" si="13"/>
        <v>0.47020022750873447</v>
      </c>
      <c r="H56" s="11">
        <f t="shared" si="3"/>
        <v>0.26729566616556527</v>
      </c>
      <c r="I56" s="12">
        <f t="shared" si="4"/>
        <v>0</v>
      </c>
      <c r="J56" s="28">
        <f t="shared" si="5"/>
        <v>0</v>
      </c>
      <c r="K56" s="30">
        <f t="shared" si="6"/>
        <v>0</v>
      </c>
      <c r="L56" s="5"/>
      <c r="M56" s="30">
        <f t="shared" si="7"/>
        <v>0</v>
      </c>
      <c r="N56" s="42">
        <f t="shared" si="8"/>
        <v>0</v>
      </c>
      <c r="O56" s="43">
        <f t="shared" si="9"/>
        <v>0</v>
      </c>
      <c r="P56" s="43">
        <f t="shared" si="10"/>
        <v>-0.34013437099999999</v>
      </c>
      <c r="Q56" s="43">
        <f t="shared" si="11"/>
        <v>-0.34013437099999999</v>
      </c>
      <c r="R56" s="43">
        <f t="shared" si="12"/>
        <v>0.11569139033556564</v>
      </c>
    </row>
    <row r="57" spans="1:18" x14ac:dyDescent="0.3">
      <c r="A57" s="47">
        <v>38039</v>
      </c>
      <c r="B57" s="48">
        <v>0</v>
      </c>
      <c r="C57" s="49">
        <v>0</v>
      </c>
      <c r="D57" s="10">
        <f t="shared" si="0"/>
        <v>-0.38980777739764078</v>
      </c>
      <c r="E57" s="10">
        <f t="shared" si="1"/>
        <v>-0.68571147540983624</v>
      </c>
      <c r="F57" s="10">
        <f t="shared" si="13"/>
        <v>0.15195010331968867</v>
      </c>
      <c r="G57" s="10">
        <f t="shared" si="13"/>
        <v>0.47020022750873447</v>
      </c>
      <c r="H57" s="11">
        <f t="shared" si="3"/>
        <v>0.26729566616556527</v>
      </c>
      <c r="I57" s="12">
        <f t="shared" si="4"/>
        <v>0</v>
      </c>
      <c r="J57" s="28">
        <f t="shared" si="5"/>
        <v>0</v>
      </c>
      <c r="K57" s="30">
        <f t="shared" si="6"/>
        <v>0</v>
      </c>
      <c r="L57" s="5"/>
      <c r="M57" s="30">
        <f t="shared" si="7"/>
        <v>0</v>
      </c>
      <c r="N57" s="42">
        <f t="shared" si="8"/>
        <v>0</v>
      </c>
      <c r="O57" s="43">
        <f t="shared" si="9"/>
        <v>0</v>
      </c>
      <c r="P57" s="43">
        <f t="shared" si="10"/>
        <v>-0.34013437099999999</v>
      </c>
      <c r="Q57" s="43">
        <f t="shared" si="11"/>
        <v>-0.34013437099999999</v>
      </c>
      <c r="R57" s="43">
        <f t="shared" si="12"/>
        <v>0.11569139033556564</v>
      </c>
    </row>
    <row r="58" spans="1:18" x14ac:dyDescent="0.3">
      <c r="A58" s="47">
        <v>38040</v>
      </c>
      <c r="B58" s="48">
        <v>0</v>
      </c>
      <c r="C58" s="49">
        <v>0</v>
      </c>
      <c r="D58" s="10">
        <f t="shared" si="0"/>
        <v>-0.38980777739764078</v>
      </c>
      <c r="E58" s="10">
        <f t="shared" si="1"/>
        <v>-0.68571147540983624</v>
      </c>
      <c r="F58" s="10">
        <f t="shared" si="13"/>
        <v>0.15195010331968867</v>
      </c>
      <c r="G58" s="10">
        <f t="shared" si="13"/>
        <v>0.47020022750873447</v>
      </c>
      <c r="H58" s="11">
        <f t="shared" si="3"/>
        <v>0.26729566616556527</v>
      </c>
      <c r="I58" s="12">
        <f t="shared" si="4"/>
        <v>0</v>
      </c>
      <c r="J58" s="28">
        <f t="shared" si="5"/>
        <v>0</v>
      </c>
      <c r="K58" s="30">
        <f t="shared" si="6"/>
        <v>0</v>
      </c>
      <c r="L58" s="5"/>
      <c r="M58" s="30">
        <f t="shared" si="7"/>
        <v>0</v>
      </c>
      <c r="N58" s="42">
        <f t="shared" si="8"/>
        <v>0</v>
      </c>
      <c r="O58" s="43">
        <f t="shared" si="9"/>
        <v>0</v>
      </c>
      <c r="P58" s="43">
        <f t="shared" si="10"/>
        <v>-0.34013437099999999</v>
      </c>
      <c r="Q58" s="43">
        <f t="shared" si="11"/>
        <v>-0.34013437099999999</v>
      </c>
      <c r="R58" s="43">
        <f t="shared" si="12"/>
        <v>0.11569139033556564</v>
      </c>
    </row>
    <row r="59" spans="1:18" x14ac:dyDescent="0.3">
      <c r="A59" s="47">
        <v>38041</v>
      </c>
      <c r="B59" s="48">
        <v>0</v>
      </c>
      <c r="C59" s="49">
        <v>0</v>
      </c>
      <c r="D59" s="10">
        <f t="shared" si="0"/>
        <v>-0.38980777739764078</v>
      </c>
      <c r="E59" s="10">
        <f t="shared" si="1"/>
        <v>-0.68571147540983624</v>
      </c>
      <c r="F59" s="10">
        <f t="shared" si="13"/>
        <v>0.15195010331968867</v>
      </c>
      <c r="G59" s="10">
        <f t="shared" si="13"/>
        <v>0.47020022750873447</v>
      </c>
      <c r="H59" s="11">
        <f t="shared" si="3"/>
        <v>0.26729566616556527</v>
      </c>
      <c r="I59" s="12">
        <f t="shared" si="4"/>
        <v>0</v>
      </c>
      <c r="J59" s="28">
        <f t="shared" si="5"/>
        <v>0</v>
      </c>
      <c r="K59" s="30">
        <f t="shared" si="6"/>
        <v>0</v>
      </c>
      <c r="L59" s="5"/>
      <c r="M59" s="30">
        <f t="shared" si="7"/>
        <v>0</v>
      </c>
      <c r="N59" s="42">
        <f t="shared" si="8"/>
        <v>0</v>
      </c>
      <c r="O59" s="43">
        <f t="shared" si="9"/>
        <v>0</v>
      </c>
      <c r="P59" s="43">
        <f t="shared" si="10"/>
        <v>-0.34013437099999999</v>
      </c>
      <c r="Q59" s="43">
        <f t="shared" si="11"/>
        <v>-0.34013437099999999</v>
      </c>
      <c r="R59" s="43">
        <f t="shared" si="12"/>
        <v>0.11569139033556564</v>
      </c>
    </row>
    <row r="60" spans="1:18" x14ac:dyDescent="0.3">
      <c r="A60" s="47">
        <v>38042</v>
      </c>
      <c r="B60" s="48">
        <v>0</v>
      </c>
      <c r="C60" s="49">
        <v>0</v>
      </c>
      <c r="D60" s="10">
        <f t="shared" si="0"/>
        <v>-0.38980777739764078</v>
      </c>
      <c r="E60" s="10">
        <f t="shared" si="1"/>
        <v>-0.68571147540983624</v>
      </c>
      <c r="F60" s="10">
        <f t="shared" si="13"/>
        <v>0.15195010331968867</v>
      </c>
      <c r="G60" s="10">
        <f t="shared" si="13"/>
        <v>0.47020022750873447</v>
      </c>
      <c r="H60" s="11">
        <f t="shared" si="3"/>
        <v>0.26729566616556527</v>
      </c>
      <c r="I60" s="12">
        <f t="shared" si="4"/>
        <v>0</v>
      </c>
      <c r="J60" s="28">
        <f t="shared" si="5"/>
        <v>0</v>
      </c>
      <c r="K60" s="30">
        <f t="shared" si="6"/>
        <v>0</v>
      </c>
      <c r="L60" s="5"/>
      <c r="M60" s="30">
        <f t="shared" si="7"/>
        <v>0</v>
      </c>
      <c r="N60" s="42">
        <f t="shared" si="8"/>
        <v>0</v>
      </c>
      <c r="O60" s="43">
        <f t="shared" si="9"/>
        <v>0</v>
      </c>
      <c r="P60" s="43">
        <f t="shared" si="10"/>
        <v>-0.34013437099999999</v>
      </c>
      <c r="Q60" s="43">
        <f t="shared" si="11"/>
        <v>-0.34013437099999999</v>
      </c>
      <c r="R60" s="43">
        <f t="shared" si="12"/>
        <v>0.11569139033556564</v>
      </c>
    </row>
    <row r="61" spans="1:18" x14ac:dyDescent="0.3">
      <c r="A61" s="47">
        <v>38043</v>
      </c>
      <c r="B61" s="48">
        <v>0</v>
      </c>
      <c r="C61" s="49">
        <v>0</v>
      </c>
      <c r="D61" s="10">
        <f t="shared" si="0"/>
        <v>-0.38980777739764078</v>
      </c>
      <c r="E61" s="10">
        <f t="shared" si="1"/>
        <v>-0.68571147540983624</v>
      </c>
      <c r="F61" s="10">
        <f t="shared" si="13"/>
        <v>0.15195010331968867</v>
      </c>
      <c r="G61" s="10">
        <f t="shared" si="13"/>
        <v>0.47020022750873447</v>
      </c>
      <c r="H61" s="11">
        <f t="shared" si="3"/>
        <v>0.26729566616556527</v>
      </c>
      <c r="I61" s="12">
        <f t="shared" si="4"/>
        <v>0</v>
      </c>
      <c r="J61" s="28">
        <f t="shared" si="5"/>
        <v>0</v>
      </c>
      <c r="K61" s="30">
        <f t="shared" si="6"/>
        <v>0</v>
      </c>
      <c r="L61" s="5"/>
      <c r="M61" s="30">
        <f t="shared" si="7"/>
        <v>0</v>
      </c>
      <c r="N61" s="42">
        <f t="shared" si="8"/>
        <v>0</v>
      </c>
      <c r="O61" s="43">
        <f t="shared" si="9"/>
        <v>0</v>
      </c>
      <c r="P61" s="43">
        <f t="shared" si="10"/>
        <v>-0.34013437099999999</v>
      </c>
      <c r="Q61" s="43">
        <f t="shared" si="11"/>
        <v>-0.34013437099999999</v>
      </c>
      <c r="R61" s="43">
        <f t="shared" si="12"/>
        <v>0.11569139033556564</v>
      </c>
    </row>
    <row r="62" spans="1:18" x14ac:dyDescent="0.3">
      <c r="A62" s="47">
        <v>38044</v>
      </c>
      <c r="B62" s="48">
        <v>0</v>
      </c>
      <c r="C62" s="49">
        <v>0</v>
      </c>
      <c r="D62" s="10">
        <f t="shared" si="0"/>
        <v>-0.38980777739764078</v>
      </c>
      <c r="E62" s="10">
        <f t="shared" si="1"/>
        <v>-0.68571147540983624</v>
      </c>
      <c r="F62" s="10">
        <f t="shared" si="13"/>
        <v>0.15195010331968867</v>
      </c>
      <c r="G62" s="10">
        <f t="shared" si="13"/>
        <v>0.47020022750873447</v>
      </c>
      <c r="H62" s="11">
        <f t="shared" si="3"/>
        <v>0.26729566616556527</v>
      </c>
      <c r="I62" s="12">
        <f t="shared" si="4"/>
        <v>0</v>
      </c>
      <c r="J62" s="28">
        <f t="shared" si="5"/>
        <v>0</v>
      </c>
      <c r="K62" s="30">
        <f t="shared" si="6"/>
        <v>0</v>
      </c>
      <c r="L62" s="5"/>
      <c r="M62" s="30">
        <f t="shared" si="7"/>
        <v>0</v>
      </c>
      <c r="N62" s="42">
        <f t="shared" si="8"/>
        <v>0</v>
      </c>
      <c r="O62" s="43">
        <f t="shared" si="9"/>
        <v>0</v>
      </c>
      <c r="P62" s="43">
        <f t="shared" si="10"/>
        <v>-0.34013437099999999</v>
      </c>
      <c r="Q62" s="43">
        <f t="shared" si="11"/>
        <v>-0.34013437099999999</v>
      </c>
      <c r="R62" s="43">
        <f t="shared" si="12"/>
        <v>0.11569139033556564</v>
      </c>
    </row>
    <row r="63" spans="1:18" x14ac:dyDescent="0.3">
      <c r="A63" s="47">
        <v>38045</v>
      </c>
      <c r="B63" s="48">
        <v>0</v>
      </c>
      <c r="C63" s="49">
        <v>0</v>
      </c>
      <c r="D63" s="10">
        <f t="shared" si="0"/>
        <v>-0.38980777739764078</v>
      </c>
      <c r="E63" s="10">
        <f t="shared" si="1"/>
        <v>-0.68571147540983624</v>
      </c>
      <c r="F63" s="10">
        <f t="shared" si="13"/>
        <v>0.15195010331968867</v>
      </c>
      <c r="G63" s="10">
        <f t="shared" si="13"/>
        <v>0.47020022750873447</v>
      </c>
      <c r="H63" s="11">
        <f t="shared" si="3"/>
        <v>0.26729566616556527</v>
      </c>
      <c r="I63" s="12">
        <f t="shared" si="4"/>
        <v>0</v>
      </c>
      <c r="J63" s="28">
        <f t="shared" si="5"/>
        <v>0</v>
      </c>
      <c r="K63" s="30">
        <f t="shared" si="6"/>
        <v>0</v>
      </c>
      <c r="L63" s="5"/>
      <c r="M63" s="30">
        <f t="shared" si="7"/>
        <v>0</v>
      </c>
      <c r="N63" s="42">
        <f t="shared" si="8"/>
        <v>0</v>
      </c>
      <c r="O63" s="43">
        <f t="shared" si="9"/>
        <v>0</v>
      </c>
      <c r="P63" s="43">
        <f t="shared" si="10"/>
        <v>-0.34013437099999999</v>
      </c>
      <c r="Q63" s="43">
        <f t="shared" si="11"/>
        <v>-0.34013437099999999</v>
      </c>
      <c r="R63" s="43">
        <f t="shared" si="12"/>
        <v>0.11569139033556564</v>
      </c>
    </row>
    <row r="64" spans="1:18" x14ac:dyDescent="0.3">
      <c r="A64" s="47">
        <v>38046</v>
      </c>
      <c r="B64" s="48">
        <v>0</v>
      </c>
      <c r="C64" s="49">
        <v>0</v>
      </c>
      <c r="D64" s="10">
        <f t="shared" si="0"/>
        <v>-0.38980777739764078</v>
      </c>
      <c r="E64" s="10">
        <f t="shared" si="1"/>
        <v>-0.68571147540983624</v>
      </c>
      <c r="F64" s="10">
        <f t="shared" si="13"/>
        <v>0.15195010331968867</v>
      </c>
      <c r="G64" s="10">
        <f t="shared" si="13"/>
        <v>0.47020022750873447</v>
      </c>
      <c r="H64" s="11">
        <f t="shared" si="3"/>
        <v>0.26729566616556527</v>
      </c>
      <c r="I64" s="12">
        <f t="shared" si="4"/>
        <v>0</v>
      </c>
      <c r="J64" s="28">
        <f t="shared" si="5"/>
        <v>0</v>
      </c>
      <c r="K64" s="30">
        <f t="shared" si="6"/>
        <v>0</v>
      </c>
      <c r="L64" s="5"/>
      <c r="M64" s="30">
        <f t="shared" si="7"/>
        <v>0</v>
      </c>
      <c r="N64" s="42">
        <f t="shared" si="8"/>
        <v>0</v>
      </c>
      <c r="O64" s="43">
        <f t="shared" si="9"/>
        <v>0</v>
      </c>
      <c r="P64" s="43">
        <f t="shared" si="10"/>
        <v>-0.34013437099999999</v>
      </c>
      <c r="Q64" s="43">
        <f t="shared" si="11"/>
        <v>-0.34013437099999999</v>
      </c>
      <c r="R64" s="43">
        <f t="shared" si="12"/>
        <v>0.11569139033556564</v>
      </c>
    </row>
    <row r="65" spans="1:18" x14ac:dyDescent="0.3">
      <c r="A65" s="47">
        <v>38047</v>
      </c>
      <c r="B65" s="48">
        <v>0</v>
      </c>
      <c r="C65" s="49">
        <v>0</v>
      </c>
      <c r="D65" s="10">
        <f t="shared" si="0"/>
        <v>-0.38980777739764078</v>
      </c>
      <c r="E65" s="10">
        <f t="shared" si="1"/>
        <v>-0.68571147540983624</v>
      </c>
      <c r="F65" s="10">
        <f t="shared" si="13"/>
        <v>0.15195010331968867</v>
      </c>
      <c r="G65" s="10">
        <f t="shared" si="13"/>
        <v>0.47020022750873447</v>
      </c>
      <c r="H65" s="11">
        <f t="shared" si="3"/>
        <v>0.26729566616556527</v>
      </c>
      <c r="I65" s="12">
        <f t="shared" si="4"/>
        <v>0</v>
      </c>
      <c r="J65" s="28">
        <f t="shared" si="5"/>
        <v>0</v>
      </c>
      <c r="K65" s="30">
        <f t="shared" si="6"/>
        <v>0</v>
      </c>
      <c r="L65" s="5"/>
      <c r="M65" s="30">
        <f t="shared" si="7"/>
        <v>0</v>
      </c>
      <c r="N65" s="42">
        <f t="shared" si="8"/>
        <v>0</v>
      </c>
      <c r="O65" s="43">
        <f t="shared" si="9"/>
        <v>0</v>
      </c>
      <c r="P65" s="43">
        <f t="shared" si="10"/>
        <v>-0.34013437099999999</v>
      </c>
      <c r="Q65" s="43">
        <f t="shared" si="11"/>
        <v>-0.34013437099999999</v>
      </c>
      <c r="R65" s="43">
        <f t="shared" si="12"/>
        <v>0.11569139033556564</v>
      </c>
    </row>
    <row r="66" spans="1:18" x14ac:dyDescent="0.3">
      <c r="A66" s="47">
        <v>38048</v>
      </c>
      <c r="B66" s="48">
        <v>0</v>
      </c>
      <c r="C66" s="49">
        <v>0</v>
      </c>
      <c r="D66" s="10">
        <f t="shared" si="0"/>
        <v>-0.38980777739764078</v>
      </c>
      <c r="E66" s="10">
        <f t="shared" si="1"/>
        <v>-0.68571147540983624</v>
      </c>
      <c r="F66" s="10">
        <f t="shared" si="13"/>
        <v>0.15195010331968867</v>
      </c>
      <c r="G66" s="10">
        <f t="shared" si="13"/>
        <v>0.47020022750873447</v>
      </c>
      <c r="H66" s="11">
        <f t="shared" si="3"/>
        <v>0.26729566616556527</v>
      </c>
      <c r="I66" s="12">
        <f t="shared" si="4"/>
        <v>0</v>
      </c>
      <c r="J66" s="28">
        <f t="shared" si="5"/>
        <v>0</v>
      </c>
      <c r="K66" s="30">
        <f t="shared" si="6"/>
        <v>0</v>
      </c>
      <c r="L66" s="5"/>
      <c r="M66" s="30">
        <f t="shared" si="7"/>
        <v>0</v>
      </c>
      <c r="N66" s="42">
        <f t="shared" si="8"/>
        <v>0</v>
      </c>
      <c r="O66" s="43">
        <f t="shared" si="9"/>
        <v>0</v>
      </c>
      <c r="P66" s="43">
        <f t="shared" si="10"/>
        <v>-0.34013437099999999</v>
      </c>
      <c r="Q66" s="43">
        <f t="shared" si="11"/>
        <v>-0.34013437099999999</v>
      </c>
      <c r="R66" s="43">
        <f t="shared" si="12"/>
        <v>0.11569139033556564</v>
      </c>
    </row>
    <row r="67" spans="1:18" x14ac:dyDescent="0.3">
      <c r="A67" s="47">
        <v>38049</v>
      </c>
      <c r="B67" s="48">
        <v>0</v>
      </c>
      <c r="C67" s="49">
        <v>0</v>
      </c>
      <c r="D67" s="10">
        <f t="shared" si="0"/>
        <v>-0.38980777739764078</v>
      </c>
      <c r="E67" s="10">
        <f t="shared" si="1"/>
        <v>-0.68571147540983624</v>
      </c>
      <c r="F67" s="10">
        <f t="shared" si="13"/>
        <v>0.15195010331968867</v>
      </c>
      <c r="G67" s="10">
        <f t="shared" si="13"/>
        <v>0.47020022750873447</v>
      </c>
      <c r="H67" s="11">
        <f t="shared" si="3"/>
        <v>0.26729566616556527</v>
      </c>
      <c r="I67" s="12">
        <f t="shared" si="4"/>
        <v>0</v>
      </c>
      <c r="J67" s="28">
        <f t="shared" si="5"/>
        <v>0</v>
      </c>
      <c r="K67" s="30">
        <f t="shared" si="6"/>
        <v>0</v>
      </c>
      <c r="L67" s="5"/>
      <c r="M67" s="30">
        <f t="shared" si="7"/>
        <v>0</v>
      </c>
      <c r="N67" s="42">
        <f t="shared" si="8"/>
        <v>0</v>
      </c>
      <c r="O67" s="43">
        <f t="shared" si="9"/>
        <v>0</v>
      </c>
      <c r="P67" s="43">
        <f t="shared" si="10"/>
        <v>-0.34013437099999999</v>
      </c>
      <c r="Q67" s="43">
        <f t="shared" si="11"/>
        <v>-0.34013437099999999</v>
      </c>
      <c r="R67" s="43">
        <f t="shared" si="12"/>
        <v>0.11569139033556564</v>
      </c>
    </row>
    <row r="68" spans="1:18" x14ac:dyDescent="0.3">
      <c r="A68" s="47">
        <v>38050</v>
      </c>
      <c r="B68" s="48">
        <v>0</v>
      </c>
      <c r="C68" s="49">
        <v>1.9673</v>
      </c>
      <c r="D68" s="10">
        <f t="shared" si="0"/>
        <v>-0.38980777739764078</v>
      </c>
      <c r="E68" s="10">
        <f t="shared" si="1"/>
        <v>1.2815885245901639</v>
      </c>
      <c r="F68" s="10">
        <f t="shared" si="13"/>
        <v>0.15195010331968867</v>
      </c>
      <c r="G68" s="10">
        <f t="shared" si="13"/>
        <v>1.6424691463611931</v>
      </c>
      <c r="H68" s="11">
        <f t="shared" si="3"/>
        <v>-0.49957317430881348</v>
      </c>
      <c r="I68" s="12">
        <f t="shared" si="4"/>
        <v>1.9673</v>
      </c>
      <c r="J68" s="28">
        <f t="shared" si="5"/>
        <v>3.87026929</v>
      </c>
      <c r="K68" s="30">
        <f t="shared" si="6"/>
        <v>1.9673</v>
      </c>
      <c r="L68" s="5"/>
      <c r="M68" s="30">
        <f t="shared" si="7"/>
        <v>-1.9673</v>
      </c>
      <c r="N68" s="42">
        <f t="shared" si="8"/>
        <v>-1.9673</v>
      </c>
      <c r="O68" s="43">
        <f t="shared" si="9"/>
        <v>3.87026929</v>
      </c>
      <c r="P68" s="43">
        <f t="shared" si="10"/>
        <v>-0.34013437099999999</v>
      </c>
      <c r="Q68" s="43">
        <f t="shared" si="11"/>
        <v>-0.34013437099999999</v>
      </c>
      <c r="R68" s="43">
        <f t="shared" si="12"/>
        <v>0.11569139033556564</v>
      </c>
    </row>
    <row r="69" spans="1:18" x14ac:dyDescent="0.3">
      <c r="A69" s="47">
        <v>38051</v>
      </c>
      <c r="B69" s="48">
        <v>0</v>
      </c>
      <c r="C69" s="49">
        <v>1.9673</v>
      </c>
      <c r="D69" s="10">
        <f t="shared" ref="D69:D132" si="14">B69-$C$375</f>
        <v>-0.38980777739764078</v>
      </c>
      <c r="E69" s="10">
        <f t="shared" ref="E69:E132" si="15">C69-$D$375</f>
        <v>1.2815885245901639</v>
      </c>
      <c r="F69" s="10">
        <f t="shared" si="13"/>
        <v>0.15195010331968867</v>
      </c>
      <c r="G69" s="10">
        <f t="shared" si="13"/>
        <v>1.6424691463611931</v>
      </c>
      <c r="H69" s="11">
        <f t="shared" si="3"/>
        <v>-0.49957317430881348</v>
      </c>
      <c r="I69" s="12">
        <f t="shared" si="4"/>
        <v>1.9673</v>
      </c>
      <c r="J69" s="28">
        <f t="shared" si="5"/>
        <v>3.87026929</v>
      </c>
      <c r="K69" s="30">
        <f t="shared" si="6"/>
        <v>1.9673</v>
      </c>
      <c r="L69" s="5"/>
      <c r="M69" s="30">
        <f t="shared" si="7"/>
        <v>-1.9673</v>
      </c>
      <c r="N69" s="42">
        <f t="shared" si="8"/>
        <v>-1.9673</v>
      </c>
      <c r="O69" s="43">
        <f t="shared" si="9"/>
        <v>3.87026929</v>
      </c>
      <c r="P69" s="43">
        <f t="shared" si="10"/>
        <v>-0.34013437099999999</v>
      </c>
      <c r="Q69" s="43">
        <f t="shared" si="11"/>
        <v>-0.34013437099999999</v>
      </c>
      <c r="R69" s="43">
        <f t="shared" si="12"/>
        <v>0.11569139033556564</v>
      </c>
    </row>
    <row r="70" spans="1:18" x14ac:dyDescent="0.3">
      <c r="A70" s="47">
        <v>38052</v>
      </c>
      <c r="B70" s="48">
        <v>1.1068876981735229</v>
      </c>
      <c r="C70" s="49">
        <v>0</v>
      </c>
      <c r="D70" s="10">
        <f t="shared" si="14"/>
        <v>0.71707992077588223</v>
      </c>
      <c r="E70" s="10">
        <f t="shared" si="15"/>
        <v>-0.68571147540983624</v>
      </c>
      <c r="F70" s="10">
        <f t="shared" si="13"/>
        <v>0.51420361277994553</v>
      </c>
      <c r="G70" s="10">
        <f t="shared" si="13"/>
        <v>0.47020022750873447</v>
      </c>
      <c r="H70" s="11">
        <f t="shared" si="3"/>
        <v>-0.49170993046199868</v>
      </c>
      <c r="I70" s="12">
        <f t="shared" si="4"/>
        <v>1.1068876981735229</v>
      </c>
      <c r="J70" s="28">
        <f t="shared" si="5"/>
        <v>1.22520037636788</v>
      </c>
      <c r="K70" s="30">
        <f t="shared" ref="K70:K133" si="16">C70-B70</f>
        <v>-1.1068876981735229</v>
      </c>
      <c r="L70" s="5"/>
      <c r="M70" s="30">
        <f t="shared" ref="M70:M133" si="17">B70-C70</f>
        <v>1.1068876981735229</v>
      </c>
      <c r="N70" s="42">
        <f t="shared" ref="N70:N133" si="18">B70-C70</f>
        <v>1.1068876981735229</v>
      </c>
      <c r="O70" s="43">
        <f t="shared" ref="O70:O133" si="19">M70*N70</f>
        <v>1.22520037636788</v>
      </c>
      <c r="P70" s="43">
        <f t="shared" ref="P70:P133" si="20">B70-0.340134371</f>
        <v>0.76675332717352296</v>
      </c>
      <c r="Q70" s="43">
        <f t="shared" ref="Q70:Q133" si="21">B70-0.340134371</f>
        <v>0.76675332717352296</v>
      </c>
      <c r="R70" s="43">
        <f t="shared" ref="R70:R133" si="22">P70*Q70</f>
        <v>0.58791066473166753</v>
      </c>
    </row>
    <row r="71" spans="1:18" x14ac:dyDescent="0.3">
      <c r="A71" s="47">
        <v>38053</v>
      </c>
      <c r="B71" s="48">
        <v>0.44278484582901001</v>
      </c>
      <c r="C71" s="49">
        <v>0</v>
      </c>
      <c r="D71" s="10">
        <f t="shared" si="14"/>
        <v>5.2977068431369234E-2</v>
      </c>
      <c r="E71" s="10">
        <f t="shared" si="15"/>
        <v>-0.68571147540983624</v>
      </c>
      <c r="F71" s="10">
        <f t="shared" si="13"/>
        <v>2.8065697795819785E-3</v>
      </c>
      <c r="G71" s="10">
        <f t="shared" si="13"/>
        <v>0.47020022750873447</v>
      </c>
      <c r="H71" s="11">
        <f t="shared" si="3"/>
        <v>-3.6326983756962056E-2</v>
      </c>
      <c r="I71" s="12">
        <f t="shared" si="4"/>
        <v>0.44278484582901001</v>
      </c>
      <c r="J71" s="28">
        <f t="shared" si="5"/>
        <v>0.19605841969582016</v>
      </c>
      <c r="K71" s="30">
        <f t="shared" si="16"/>
        <v>-0.44278484582901001</v>
      </c>
      <c r="L71" s="5"/>
      <c r="M71" s="30">
        <f t="shared" si="17"/>
        <v>0.44278484582901001</v>
      </c>
      <c r="N71" s="42">
        <f t="shared" si="18"/>
        <v>0.44278484582901001</v>
      </c>
      <c r="O71" s="43">
        <f t="shared" si="19"/>
        <v>0.19605841969582016</v>
      </c>
      <c r="P71" s="43">
        <f t="shared" si="20"/>
        <v>0.10265047482901002</v>
      </c>
      <c r="Q71" s="43">
        <f t="shared" si="21"/>
        <v>0.10265047482901002</v>
      </c>
      <c r="R71" s="43">
        <f t="shared" si="22"/>
        <v>1.053711998262122E-2</v>
      </c>
    </row>
    <row r="72" spans="1:18" x14ac:dyDescent="0.3">
      <c r="A72" s="47">
        <v>38054</v>
      </c>
      <c r="B72" s="48">
        <v>0</v>
      </c>
      <c r="C72" s="49">
        <v>0</v>
      </c>
      <c r="D72" s="10">
        <f t="shared" si="14"/>
        <v>-0.38980777739764078</v>
      </c>
      <c r="E72" s="10">
        <f t="shared" si="15"/>
        <v>-0.68571147540983624</v>
      </c>
      <c r="F72" s="10">
        <f t="shared" si="13"/>
        <v>0.15195010331968867</v>
      </c>
      <c r="G72" s="10">
        <f t="shared" si="13"/>
        <v>0.47020022750873447</v>
      </c>
      <c r="H72" s="11">
        <f t="shared" si="3"/>
        <v>0.26729566616556527</v>
      </c>
      <c r="I72" s="12">
        <f t="shared" si="4"/>
        <v>0</v>
      </c>
      <c r="J72" s="28">
        <f t="shared" si="5"/>
        <v>0</v>
      </c>
      <c r="K72" s="30">
        <f t="shared" si="16"/>
        <v>0</v>
      </c>
      <c r="L72" s="5"/>
      <c r="M72" s="30">
        <f t="shared" si="17"/>
        <v>0</v>
      </c>
      <c r="N72" s="42">
        <f t="shared" si="18"/>
        <v>0</v>
      </c>
      <c r="O72" s="43">
        <f t="shared" si="19"/>
        <v>0</v>
      </c>
      <c r="P72" s="43">
        <f t="shared" si="20"/>
        <v>-0.34013437099999999</v>
      </c>
      <c r="Q72" s="43">
        <f t="shared" si="21"/>
        <v>-0.34013437099999999</v>
      </c>
      <c r="R72" s="43">
        <f t="shared" si="22"/>
        <v>0.11569139033556564</v>
      </c>
    </row>
    <row r="73" spans="1:18" x14ac:dyDescent="0.3">
      <c r="A73" s="47">
        <v>38055</v>
      </c>
      <c r="B73" s="48">
        <v>0</v>
      </c>
      <c r="C73" s="49">
        <v>0</v>
      </c>
      <c r="D73" s="10">
        <f t="shared" si="14"/>
        <v>-0.38980777739764078</v>
      </c>
      <c r="E73" s="10">
        <f t="shared" si="15"/>
        <v>-0.68571147540983624</v>
      </c>
      <c r="F73" s="10">
        <f t="shared" si="13"/>
        <v>0.15195010331968867</v>
      </c>
      <c r="G73" s="10">
        <f t="shared" si="13"/>
        <v>0.47020022750873447</v>
      </c>
      <c r="H73" s="11">
        <f t="shared" si="3"/>
        <v>0.26729566616556527</v>
      </c>
      <c r="I73" s="12">
        <f t="shared" si="4"/>
        <v>0</v>
      </c>
      <c r="J73" s="28">
        <f t="shared" si="5"/>
        <v>0</v>
      </c>
      <c r="K73" s="30">
        <f t="shared" si="16"/>
        <v>0</v>
      </c>
      <c r="L73" s="5"/>
      <c r="M73" s="30">
        <f t="shared" si="17"/>
        <v>0</v>
      </c>
      <c r="N73" s="42">
        <f t="shared" si="18"/>
        <v>0</v>
      </c>
      <c r="O73" s="43">
        <f t="shared" si="19"/>
        <v>0</v>
      </c>
      <c r="P73" s="43">
        <f t="shared" si="20"/>
        <v>-0.34013437099999999</v>
      </c>
      <c r="Q73" s="43">
        <f t="shared" si="21"/>
        <v>-0.34013437099999999</v>
      </c>
      <c r="R73" s="43">
        <f t="shared" si="22"/>
        <v>0.11569139033556564</v>
      </c>
    </row>
    <row r="74" spans="1:18" x14ac:dyDescent="0.3">
      <c r="A74" s="47">
        <v>38056</v>
      </c>
      <c r="B74" s="48">
        <v>0</v>
      </c>
      <c r="C74" s="49">
        <v>0</v>
      </c>
      <c r="D74" s="10">
        <f t="shared" si="14"/>
        <v>-0.38980777739764078</v>
      </c>
      <c r="E74" s="10">
        <f t="shared" si="15"/>
        <v>-0.68571147540983624</v>
      </c>
      <c r="F74" s="10">
        <f t="shared" si="13"/>
        <v>0.15195010331968867</v>
      </c>
      <c r="G74" s="10">
        <f t="shared" si="13"/>
        <v>0.47020022750873447</v>
      </c>
      <c r="H74" s="11">
        <f t="shared" si="3"/>
        <v>0.26729566616556527</v>
      </c>
      <c r="I74" s="12">
        <f t="shared" si="4"/>
        <v>0</v>
      </c>
      <c r="J74" s="28">
        <f t="shared" si="5"/>
        <v>0</v>
      </c>
      <c r="K74" s="30">
        <f t="shared" si="16"/>
        <v>0</v>
      </c>
      <c r="L74" s="5"/>
      <c r="M74" s="30">
        <f t="shared" si="17"/>
        <v>0</v>
      </c>
      <c r="N74" s="42">
        <f t="shared" si="18"/>
        <v>0</v>
      </c>
      <c r="O74" s="43">
        <f t="shared" si="19"/>
        <v>0</v>
      </c>
      <c r="P74" s="43">
        <f t="shared" si="20"/>
        <v>-0.34013437099999999</v>
      </c>
      <c r="Q74" s="43">
        <f t="shared" si="21"/>
        <v>-0.34013437099999999</v>
      </c>
      <c r="R74" s="43">
        <f t="shared" si="22"/>
        <v>0.11569139033556564</v>
      </c>
    </row>
    <row r="75" spans="1:18" x14ac:dyDescent="0.3">
      <c r="A75" s="47">
        <v>38057</v>
      </c>
      <c r="B75" s="48">
        <v>0</v>
      </c>
      <c r="C75" s="49">
        <v>0</v>
      </c>
      <c r="D75" s="10">
        <f t="shared" si="14"/>
        <v>-0.38980777739764078</v>
      </c>
      <c r="E75" s="10">
        <f t="shared" si="15"/>
        <v>-0.68571147540983624</v>
      </c>
      <c r="F75" s="10">
        <f t="shared" si="13"/>
        <v>0.15195010331968867</v>
      </c>
      <c r="G75" s="10">
        <f t="shared" si="13"/>
        <v>0.47020022750873447</v>
      </c>
      <c r="H75" s="11">
        <f t="shared" si="3"/>
        <v>0.26729566616556527</v>
      </c>
      <c r="I75" s="12">
        <f t="shared" si="4"/>
        <v>0</v>
      </c>
      <c r="J75" s="28">
        <f t="shared" si="5"/>
        <v>0</v>
      </c>
      <c r="K75" s="30">
        <f t="shared" si="16"/>
        <v>0</v>
      </c>
      <c r="L75" s="5"/>
      <c r="M75" s="30">
        <f t="shared" si="17"/>
        <v>0</v>
      </c>
      <c r="N75" s="42">
        <f t="shared" si="18"/>
        <v>0</v>
      </c>
      <c r="O75" s="43">
        <f t="shared" si="19"/>
        <v>0</v>
      </c>
      <c r="P75" s="43">
        <f t="shared" si="20"/>
        <v>-0.34013437099999999</v>
      </c>
      <c r="Q75" s="43">
        <f t="shared" si="21"/>
        <v>-0.34013437099999999</v>
      </c>
      <c r="R75" s="43">
        <f t="shared" si="22"/>
        <v>0.11569139033556564</v>
      </c>
    </row>
    <row r="76" spans="1:18" x14ac:dyDescent="0.3">
      <c r="A76" s="47">
        <v>38058</v>
      </c>
      <c r="B76" s="48">
        <v>0</v>
      </c>
      <c r="C76" s="49">
        <v>0</v>
      </c>
      <c r="D76" s="10">
        <f t="shared" si="14"/>
        <v>-0.38980777739764078</v>
      </c>
      <c r="E76" s="10">
        <f t="shared" si="15"/>
        <v>-0.68571147540983624</v>
      </c>
      <c r="F76" s="10">
        <f t="shared" si="13"/>
        <v>0.15195010331968867</v>
      </c>
      <c r="G76" s="10">
        <f t="shared" si="13"/>
        <v>0.47020022750873447</v>
      </c>
      <c r="H76" s="11">
        <f t="shared" si="3"/>
        <v>0.26729566616556527</v>
      </c>
      <c r="I76" s="12">
        <f t="shared" si="4"/>
        <v>0</v>
      </c>
      <c r="J76" s="28">
        <f t="shared" si="5"/>
        <v>0</v>
      </c>
      <c r="K76" s="30">
        <f t="shared" si="16"/>
        <v>0</v>
      </c>
      <c r="L76" s="5"/>
      <c r="M76" s="30">
        <f t="shared" si="17"/>
        <v>0</v>
      </c>
      <c r="N76" s="42">
        <f t="shared" si="18"/>
        <v>0</v>
      </c>
      <c r="O76" s="43">
        <f t="shared" si="19"/>
        <v>0</v>
      </c>
      <c r="P76" s="43">
        <f t="shared" si="20"/>
        <v>-0.34013437099999999</v>
      </c>
      <c r="Q76" s="43">
        <f t="shared" si="21"/>
        <v>-0.34013437099999999</v>
      </c>
      <c r="R76" s="43">
        <f t="shared" si="22"/>
        <v>0.11569139033556564</v>
      </c>
    </row>
    <row r="77" spans="1:18" x14ac:dyDescent="0.3">
      <c r="A77" s="47">
        <v>38059</v>
      </c>
      <c r="B77" s="48">
        <v>0</v>
      </c>
      <c r="C77" s="49">
        <v>0</v>
      </c>
      <c r="D77" s="10">
        <f t="shared" si="14"/>
        <v>-0.38980777739764078</v>
      </c>
      <c r="E77" s="10">
        <f t="shared" si="15"/>
        <v>-0.68571147540983624</v>
      </c>
      <c r="F77" s="10">
        <f t="shared" si="13"/>
        <v>0.15195010331968867</v>
      </c>
      <c r="G77" s="10">
        <f t="shared" si="13"/>
        <v>0.47020022750873447</v>
      </c>
      <c r="H77" s="11">
        <f t="shared" si="3"/>
        <v>0.26729566616556527</v>
      </c>
      <c r="I77" s="12">
        <f t="shared" si="4"/>
        <v>0</v>
      </c>
      <c r="J77" s="28">
        <f t="shared" si="5"/>
        <v>0</v>
      </c>
      <c r="K77" s="30">
        <f t="shared" si="16"/>
        <v>0</v>
      </c>
      <c r="L77" s="5"/>
      <c r="M77" s="30">
        <f t="shared" si="17"/>
        <v>0</v>
      </c>
      <c r="N77" s="42">
        <f t="shared" si="18"/>
        <v>0</v>
      </c>
      <c r="O77" s="43">
        <f t="shared" si="19"/>
        <v>0</v>
      </c>
      <c r="P77" s="43">
        <f t="shared" si="20"/>
        <v>-0.34013437099999999</v>
      </c>
      <c r="Q77" s="43">
        <f t="shared" si="21"/>
        <v>-0.34013437099999999</v>
      </c>
      <c r="R77" s="43">
        <f t="shared" si="22"/>
        <v>0.11569139033556564</v>
      </c>
    </row>
    <row r="78" spans="1:18" x14ac:dyDescent="0.3">
      <c r="A78" s="47">
        <v>38060</v>
      </c>
      <c r="B78" s="48">
        <v>0</v>
      </c>
      <c r="C78" s="49">
        <v>0</v>
      </c>
      <c r="D78" s="10">
        <f t="shared" si="14"/>
        <v>-0.38980777739764078</v>
      </c>
      <c r="E78" s="10">
        <f t="shared" si="15"/>
        <v>-0.68571147540983624</v>
      </c>
      <c r="F78" s="10">
        <f t="shared" si="13"/>
        <v>0.15195010331968867</v>
      </c>
      <c r="G78" s="10">
        <f t="shared" si="13"/>
        <v>0.47020022750873447</v>
      </c>
      <c r="H78" s="11">
        <f t="shared" si="3"/>
        <v>0.26729566616556527</v>
      </c>
      <c r="I78" s="12">
        <f t="shared" si="4"/>
        <v>0</v>
      </c>
      <c r="J78" s="28">
        <f t="shared" si="5"/>
        <v>0</v>
      </c>
      <c r="K78" s="30">
        <f t="shared" si="16"/>
        <v>0</v>
      </c>
      <c r="L78" s="5"/>
      <c r="M78" s="30">
        <f t="shared" si="17"/>
        <v>0</v>
      </c>
      <c r="N78" s="42">
        <f t="shared" si="18"/>
        <v>0</v>
      </c>
      <c r="O78" s="43">
        <f t="shared" si="19"/>
        <v>0</v>
      </c>
      <c r="P78" s="43">
        <f t="shared" si="20"/>
        <v>-0.34013437099999999</v>
      </c>
      <c r="Q78" s="43">
        <f t="shared" si="21"/>
        <v>-0.34013437099999999</v>
      </c>
      <c r="R78" s="43">
        <f t="shared" si="22"/>
        <v>0.11569139033556564</v>
      </c>
    </row>
    <row r="79" spans="1:18" x14ac:dyDescent="0.3">
      <c r="A79" s="47">
        <v>38061</v>
      </c>
      <c r="B79" s="48">
        <v>0</v>
      </c>
      <c r="C79" s="49">
        <v>0</v>
      </c>
      <c r="D79" s="10">
        <f t="shared" si="14"/>
        <v>-0.38980777739764078</v>
      </c>
      <c r="E79" s="10">
        <f t="shared" si="15"/>
        <v>-0.68571147540983624</v>
      </c>
      <c r="F79" s="10">
        <f t="shared" si="13"/>
        <v>0.15195010331968867</v>
      </c>
      <c r="G79" s="10">
        <f t="shared" si="13"/>
        <v>0.47020022750873447</v>
      </c>
      <c r="H79" s="11">
        <f t="shared" si="3"/>
        <v>0.26729566616556527</v>
      </c>
      <c r="I79" s="12">
        <f t="shared" si="4"/>
        <v>0</v>
      </c>
      <c r="J79" s="28">
        <f t="shared" si="5"/>
        <v>0</v>
      </c>
      <c r="K79" s="30">
        <f t="shared" si="16"/>
        <v>0</v>
      </c>
      <c r="L79" s="5"/>
      <c r="M79" s="30">
        <f t="shared" si="17"/>
        <v>0</v>
      </c>
      <c r="N79" s="42">
        <f t="shared" si="18"/>
        <v>0</v>
      </c>
      <c r="O79" s="43">
        <f t="shared" si="19"/>
        <v>0</v>
      </c>
      <c r="P79" s="43">
        <f t="shared" si="20"/>
        <v>-0.34013437099999999</v>
      </c>
      <c r="Q79" s="43">
        <f t="shared" si="21"/>
        <v>-0.34013437099999999</v>
      </c>
      <c r="R79" s="43">
        <f t="shared" si="22"/>
        <v>0.11569139033556564</v>
      </c>
    </row>
    <row r="80" spans="1:18" x14ac:dyDescent="0.3">
      <c r="A80" s="47">
        <v>38062</v>
      </c>
      <c r="B80" s="48">
        <v>0</v>
      </c>
      <c r="C80" s="49">
        <v>0</v>
      </c>
      <c r="D80" s="10">
        <f t="shared" si="14"/>
        <v>-0.38980777739764078</v>
      </c>
      <c r="E80" s="10">
        <f t="shared" si="15"/>
        <v>-0.68571147540983624</v>
      </c>
      <c r="F80" s="10">
        <f t="shared" si="13"/>
        <v>0.15195010331968867</v>
      </c>
      <c r="G80" s="10">
        <f t="shared" si="13"/>
        <v>0.47020022750873447</v>
      </c>
      <c r="H80" s="11">
        <f t="shared" si="3"/>
        <v>0.26729566616556527</v>
      </c>
      <c r="I80" s="12">
        <f t="shared" si="4"/>
        <v>0</v>
      </c>
      <c r="J80" s="28">
        <f t="shared" si="5"/>
        <v>0</v>
      </c>
      <c r="K80" s="30">
        <f t="shared" si="16"/>
        <v>0</v>
      </c>
      <c r="L80" s="5"/>
      <c r="M80" s="30">
        <f t="shared" si="17"/>
        <v>0</v>
      </c>
      <c r="N80" s="42">
        <f t="shared" si="18"/>
        <v>0</v>
      </c>
      <c r="O80" s="43">
        <f t="shared" si="19"/>
        <v>0</v>
      </c>
      <c r="P80" s="43">
        <f t="shared" si="20"/>
        <v>-0.34013437099999999</v>
      </c>
      <c r="Q80" s="43">
        <f t="shared" si="21"/>
        <v>-0.34013437099999999</v>
      </c>
      <c r="R80" s="43">
        <f t="shared" si="22"/>
        <v>0.11569139033556564</v>
      </c>
    </row>
    <row r="81" spans="1:18" x14ac:dyDescent="0.3">
      <c r="A81" s="47">
        <v>38063</v>
      </c>
      <c r="B81" s="48">
        <v>0</v>
      </c>
      <c r="C81" s="49">
        <v>0</v>
      </c>
      <c r="D81" s="10">
        <f t="shared" si="14"/>
        <v>-0.38980777739764078</v>
      </c>
      <c r="E81" s="10">
        <f t="shared" si="15"/>
        <v>-0.68571147540983624</v>
      </c>
      <c r="F81" s="10">
        <f t="shared" si="13"/>
        <v>0.15195010331968867</v>
      </c>
      <c r="G81" s="10">
        <f t="shared" si="13"/>
        <v>0.47020022750873447</v>
      </c>
      <c r="H81" s="11">
        <f t="shared" si="3"/>
        <v>0.26729566616556527</v>
      </c>
      <c r="I81" s="12">
        <f t="shared" si="4"/>
        <v>0</v>
      </c>
      <c r="J81" s="28">
        <f t="shared" si="5"/>
        <v>0</v>
      </c>
      <c r="K81" s="30">
        <f t="shared" si="16"/>
        <v>0</v>
      </c>
      <c r="L81" s="5"/>
      <c r="M81" s="30">
        <f t="shared" si="17"/>
        <v>0</v>
      </c>
      <c r="N81" s="42">
        <f t="shared" si="18"/>
        <v>0</v>
      </c>
      <c r="O81" s="43">
        <f t="shared" si="19"/>
        <v>0</v>
      </c>
      <c r="P81" s="43">
        <f t="shared" si="20"/>
        <v>-0.34013437099999999</v>
      </c>
      <c r="Q81" s="43">
        <f t="shared" si="21"/>
        <v>-0.34013437099999999</v>
      </c>
      <c r="R81" s="43">
        <f t="shared" si="22"/>
        <v>0.11569139033556564</v>
      </c>
    </row>
    <row r="82" spans="1:18" x14ac:dyDescent="0.3">
      <c r="A82" s="47">
        <v>38064</v>
      </c>
      <c r="B82" s="48">
        <v>0</v>
      </c>
      <c r="C82" s="49">
        <v>0</v>
      </c>
      <c r="D82" s="10">
        <f t="shared" si="14"/>
        <v>-0.38980777739764078</v>
      </c>
      <c r="E82" s="10">
        <f t="shared" si="15"/>
        <v>-0.68571147540983624</v>
      </c>
      <c r="F82" s="10">
        <f t="shared" si="13"/>
        <v>0.15195010331968867</v>
      </c>
      <c r="G82" s="10">
        <f t="shared" si="13"/>
        <v>0.47020022750873447</v>
      </c>
      <c r="H82" s="11">
        <f t="shared" si="3"/>
        <v>0.26729566616556527</v>
      </c>
      <c r="I82" s="12">
        <f t="shared" si="4"/>
        <v>0</v>
      </c>
      <c r="J82" s="28">
        <f t="shared" si="5"/>
        <v>0</v>
      </c>
      <c r="K82" s="30">
        <f t="shared" si="16"/>
        <v>0</v>
      </c>
      <c r="L82" s="5"/>
      <c r="M82" s="30">
        <f t="shared" si="17"/>
        <v>0</v>
      </c>
      <c r="N82" s="42">
        <f t="shared" si="18"/>
        <v>0</v>
      </c>
      <c r="O82" s="43">
        <f t="shared" si="19"/>
        <v>0</v>
      </c>
      <c r="P82" s="43">
        <f t="shared" si="20"/>
        <v>-0.34013437099999999</v>
      </c>
      <c r="Q82" s="43">
        <f t="shared" si="21"/>
        <v>-0.34013437099999999</v>
      </c>
      <c r="R82" s="43">
        <f t="shared" si="22"/>
        <v>0.11569139033556564</v>
      </c>
    </row>
    <row r="83" spans="1:18" x14ac:dyDescent="0.3">
      <c r="A83" s="47">
        <v>38065</v>
      </c>
      <c r="B83" s="48">
        <v>0</v>
      </c>
      <c r="C83" s="49">
        <v>0</v>
      </c>
      <c r="D83" s="10">
        <f t="shared" si="14"/>
        <v>-0.38980777739764078</v>
      </c>
      <c r="E83" s="10">
        <f t="shared" si="15"/>
        <v>-0.68571147540983624</v>
      </c>
      <c r="F83" s="10">
        <f t="shared" si="13"/>
        <v>0.15195010331968867</v>
      </c>
      <c r="G83" s="10">
        <f t="shared" si="13"/>
        <v>0.47020022750873447</v>
      </c>
      <c r="H83" s="11">
        <f t="shared" si="3"/>
        <v>0.26729566616556527</v>
      </c>
      <c r="I83" s="12">
        <f t="shared" si="4"/>
        <v>0</v>
      </c>
      <c r="J83" s="28">
        <f t="shared" si="5"/>
        <v>0</v>
      </c>
      <c r="K83" s="30">
        <f t="shared" si="16"/>
        <v>0</v>
      </c>
      <c r="L83" s="5"/>
      <c r="M83" s="30">
        <f t="shared" si="17"/>
        <v>0</v>
      </c>
      <c r="N83" s="42">
        <f t="shared" si="18"/>
        <v>0</v>
      </c>
      <c r="O83" s="43">
        <f t="shared" si="19"/>
        <v>0</v>
      </c>
      <c r="P83" s="43">
        <f t="shared" si="20"/>
        <v>-0.34013437099999999</v>
      </c>
      <c r="Q83" s="43">
        <f t="shared" si="21"/>
        <v>-0.34013437099999999</v>
      </c>
      <c r="R83" s="43">
        <f t="shared" si="22"/>
        <v>0.11569139033556564</v>
      </c>
    </row>
    <row r="84" spans="1:18" x14ac:dyDescent="0.3">
      <c r="A84" s="47">
        <v>38066</v>
      </c>
      <c r="B84" s="48">
        <v>0</v>
      </c>
      <c r="C84" s="49">
        <v>0</v>
      </c>
      <c r="D84" s="10">
        <f t="shared" si="14"/>
        <v>-0.38980777739764078</v>
      </c>
      <c r="E84" s="10">
        <f t="shared" si="15"/>
        <v>-0.68571147540983624</v>
      </c>
      <c r="F84" s="10">
        <f t="shared" si="13"/>
        <v>0.15195010331968867</v>
      </c>
      <c r="G84" s="10">
        <f t="shared" si="13"/>
        <v>0.47020022750873447</v>
      </c>
      <c r="H84" s="11">
        <f t="shared" si="3"/>
        <v>0.26729566616556527</v>
      </c>
      <c r="I84" s="12">
        <f t="shared" si="4"/>
        <v>0</v>
      </c>
      <c r="J84" s="28">
        <f t="shared" si="5"/>
        <v>0</v>
      </c>
      <c r="K84" s="30">
        <f t="shared" si="16"/>
        <v>0</v>
      </c>
      <c r="L84" s="5"/>
      <c r="M84" s="30">
        <f t="shared" si="17"/>
        <v>0</v>
      </c>
      <c r="N84" s="42">
        <f t="shared" si="18"/>
        <v>0</v>
      </c>
      <c r="O84" s="43">
        <f t="shared" si="19"/>
        <v>0</v>
      </c>
      <c r="P84" s="43">
        <f t="shared" si="20"/>
        <v>-0.34013437099999999</v>
      </c>
      <c r="Q84" s="43">
        <f t="shared" si="21"/>
        <v>-0.34013437099999999</v>
      </c>
      <c r="R84" s="43">
        <f t="shared" si="22"/>
        <v>0.11569139033556564</v>
      </c>
    </row>
    <row r="85" spans="1:18" x14ac:dyDescent="0.3">
      <c r="A85" s="47">
        <v>38067</v>
      </c>
      <c r="B85" s="48">
        <v>0</v>
      </c>
      <c r="C85" s="49">
        <v>0</v>
      </c>
      <c r="D85" s="10">
        <f t="shared" si="14"/>
        <v>-0.38980777739764078</v>
      </c>
      <c r="E85" s="10">
        <f t="shared" si="15"/>
        <v>-0.68571147540983624</v>
      </c>
      <c r="F85" s="10">
        <f t="shared" ref="F85:G148" si="23">D85^2</f>
        <v>0.15195010331968867</v>
      </c>
      <c r="G85" s="10">
        <f t="shared" si="23"/>
        <v>0.47020022750873447</v>
      </c>
      <c r="H85" s="11">
        <f t="shared" si="3"/>
        <v>0.26729566616556527</v>
      </c>
      <c r="I85" s="12">
        <f t="shared" si="4"/>
        <v>0</v>
      </c>
      <c r="J85" s="28">
        <f t="shared" si="5"/>
        <v>0</v>
      </c>
      <c r="K85" s="30">
        <f t="shared" si="16"/>
        <v>0</v>
      </c>
      <c r="L85" s="5"/>
      <c r="M85" s="30">
        <f t="shared" si="17"/>
        <v>0</v>
      </c>
      <c r="N85" s="42">
        <f t="shared" si="18"/>
        <v>0</v>
      </c>
      <c r="O85" s="43">
        <f t="shared" si="19"/>
        <v>0</v>
      </c>
      <c r="P85" s="43">
        <f t="shared" si="20"/>
        <v>-0.34013437099999999</v>
      </c>
      <c r="Q85" s="43">
        <f t="shared" si="21"/>
        <v>-0.34013437099999999</v>
      </c>
      <c r="R85" s="43">
        <f t="shared" si="22"/>
        <v>0.11569139033556564</v>
      </c>
    </row>
    <row r="86" spans="1:18" x14ac:dyDescent="0.3">
      <c r="A86" s="47">
        <v>38068</v>
      </c>
      <c r="B86" s="48">
        <v>0</v>
      </c>
      <c r="C86" s="49">
        <v>0</v>
      </c>
      <c r="D86" s="10">
        <f t="shared" si="14"/>
        <v>-0.38980777739764078</v>
      </c>
      <c r="E86" s="10">
        <f t="shared" si="15"/>
        <v>-0.68571147540983624</v>
      </c>
      <c r="F86" s="10">
        <f t="shared" si="23"/>
        <v>0.15195010331968867</v>
      </c>
      <c r="G86" s="10">
        <f t="shared" si="23"/>
        <v>0.47020022750873447</v>
      </c>
      <c r="H86" s="11">
        <f t="shared" si="3"/>
        <v>0.26729566616556527</v>
      </c>
      <c r="I86" s="12">
        <f t="shared" si="4"/>
        <v>0</v>
      </c>
      <c r="J86" s="28">
        <f t="shared" si="5"/>
        <v>0</v>
      </c>
      <c r="K86" s="30">
        <f t="shared" si="16"/>
        <v>0</v>
      </c>
      <c r="L86" s="5"/>
      <c r="M86" s="30">
        <f t="shared" si="17"/>
        <v>0</v>
      </c>
      <c r="N86" s="42">
        <f t="shared" si="18"/>
        <v>0</v>
      </c>
      <c r="O86" s="43">
        <f t="shared" si="19"/>
        <v>0</v>
      </c>
      <c r="P86" s="43">
        <f t="shared" si="20"/>
        <v>-0.34013437099999999</v>
      </c>
      <c r="Q86" s="43">
        <f t="shared" si="21"/>
        <v>-0.34013437099999999</v>
      </c>
      <c r="R86" s="43">
        <f t="shared" si="22"/>
        <v>0.11569139033556564</v>
      </c>
    </row>
    <row r="87" spans="1:18" x14ac:dyDescent="0.3">
      <c r="A87" s="47">
        <v>38069</v>
      </c>
      <c r="B87" s="48">
        <v>0</v>
      </c>
      <c r="C87" s="49">
        <v>2.1293000000000002</v>
      </c>
      <c r="D87" s="10">
        <f t="shared" si="14"/>
        <v>-0.38980777739764078</v>
      </c>
      <c r="E87" s="10">
        <f t="shared" si="15"/>
        <v>1.4435885245901638</v>
      </c>
      <c r="F87" s="10">
        <f t="shared" si="23"/>
        <v>0.15195010331968867</v>
      </c>
      <c r="G87" s="10">
        <f t="shared" si="23"/>
        <v>2.0839478283284061</v>
      </c>
      <c r="H87" s="11">
        <f t="shared" si="3"/>
        <v>-0.56272203424723122</v>
      </c>
      <c r="I87" s="12">
        <f t="shared" si="4"/>
        <v>2.1293000000000002</v>
      </c>
      <c r="J87" s="28">
        <f t="shared" si="5"/>
        <v>4.5339184900000005</v>
      </c>
      <c r="K87" s="30">
        <f t="shared" si="16"/>
        <v>2.1293000000000002</v>
      </c>
      <c r="L87" s="5"/>
      <c r="M87" s="30">
        <f t="shared" si="17"/>
        <v>-2.1293000000000002</v>
      </c>
      <c r="N87" s="42">
        <f t="shared" si="18"/>
        <v>-2.1293000000000002</v>
      </c>
      <c r="O87" s="43">
        <f t="shared" si="19"/>
        <v>4.5339184900000005</v>
      </c>
      <c r="P87" s="43">
        <f t="shared" si="20"/>
        <v>-0.34013437099999999</v>
      </c>
      <c r="Q87" s="43">
        <f t="shared" si="21"/>
        <v>-0.34013437099999999</v>
      </c>
      <c r="R87" s="43">
        <f t="shared" si="22"/>
        <v>0.11569139033556564</v>
      </c>
    </row>
    <row r="88" spans="1:18" x14ac:dyDescent="0.3">
      <c r="A88" s="47">
        <v>38070</v>
      </c>
      <c r="B88" s="48">
        <v>0</v>
      </c>
      <c r="C88" s="49">
        <v>0</v>
      </c>
      <c r="D88" s="10">
        <f t="shared" si="14"/>
        <v>-0.38980777739764078</v>
      </c>
      <c r="E88" s="10">
        <f t="shared" si="15"/>
        <v>-0.68571147540983624</v>
      </c>
      <c r="F88" s="10">
        <f t="shared" si="23"/>
        <v>0.15195010331968867</v>
      </c>
      <c r="G88" s="10">
        <f t="shared" si="23"/>
        <v>0.47020022750873447</v>
      </c>
      <c r="H88" s="11">
        <f t="shared" si="3"/>
        <v>0.26729566616556527</v>
      </c>
      <c r="I88" s="12">
        <f t="shared" si="4"/>
        <v>0</v>
      </c>
      <c r="J88" s="28">
        <f t="shared" si="5"/>
        <v>0</v>
      </c>
      <c r="K88" s="30">
        <f t="shared" si="16"/>
        <v>0</v>
      </c>
      <c r="L88" s="5"/>
      <c r="M88" s="30">
        <f t="shared" si="17"/>
        <v>0</v>
      </c>
      <c r="N88" s="42">
        <f t="shared" si="18"/>
        <v>0</v>
      </c>
      <c r="O88" s="43">
        <f t="shared" si="19"/>
        <v>0</v>
      </c>
      <c r="P88" s="43">
        <f t="shared" si="20"/>
        <v>-0.34013437099999999</v>
      </c>
      <c r="Q88" s="43">
        <f t="shared" si="21"/>
        <v>-0.34013437099999999</v>
      </c>
      <c r="R88" s="43">
        <f t="shared" si="22"/>
        <v>0.11569139033556564</v>
      </c>
    </row>
    <row r="89" spans="1:18" x14ac:dyDescent="0.3">
      <c r="A89" s="47">
        <v>38071</v>
      </c>
      <c r="B89" s="48">
        <v>0</v>
      </c>
      <c r="C89" s="49">
        <v>0</v>
      </c>
      <c r="D89" s="10">
        <f t="shared" si="14"/>
        <v>-0.38980777739764078</v>
      </c>
      <c r="E89" s="10">
        <f t="shared" si="15"/>
        <v>-0.68571147540983624</v>
      </c>
      <c r="F89" s="10">
        <f t="shared" si="23"/>
        <v>0.15195010331968867</v>
      </c>
      <c r="G89" s="10">
        <f t="shared" si="23"/>
        <v>0.47020022750873447</v>
      </c>
      <c r="H89" s="11">
        <f t="shared" si="3"/>
        <v>0.26729566616556527</v>
      </c>
      <c r="I89" s="12">
        <f t="shared" si="4"/>
        <v>0</v>
      </c>
      <c r="J89" s="28">
        <f t="shared" si="5"/>
        <v>0</v>
      </c>
      <c r="K89" s="30">
        <f t="shared" si="16"/>
        <v>0</v>
      </c>
      <c r="L89" s="5"/>
      <c r="M89" s="30">
        <f t="shared" si="17"/>
        <v>0</v>
      </c>
      <c r="N89" s="42">
        <f t="shared" si="18"/>
        <v>0</v>
      </c>
      <c r="O89" s="43">
        <f t="shared" si="19"/>
        <v>0</v>
      </c>
      <c r="P89" s="43">
        <f t="shared" si="20"/>
        <v>-0.34013437099999999</v>
      </c>
      <c r="Q89" s="43">
        <f t="shared" si="21"/>
        <v>-0.34013437099999999</v>
      </c>
      <c r="R89" s="43">
        <f t="shared" si="22"/>
        <v>0.11569139033556564</v>
      </c>
    </row>
    <row r="90" spans="1:18" x14ac:dyDescent="0.3">
      <c r="A90" s="47">
        <v>38072</v>
      </c>
      <c r="B90" s="48">
        <v>0</v>
      </c>
      <c r="C90" s="49">
        <v>0.97850000000000004</v>
      </c>
      <c r="D90" s="10">
        <f t="shared" si="14"/>
        <v>-0.38980777739764078</v>
      </c>
      <c r="E90" s="10">
        <f t="shared" si="15"/>
        <v>0.2927885245901638</v>
      </c>
      <c r="F90" s="10">
        <f t="shared" si="23"/>
        <v>0.15195010331968867</v>
      </c>
      <c r="G90" s="10">
        <f t="shared" si="23"/>
        <v>8.5725120131684956E-2</v>
      </c>
      <c r="H90" s="11">
        <f t="shared" si="3"/>
        <v>-0.11413124401802624</v>
      </c>
      <c r="I90" s="12">
        <f t="shared" si="4"/>
        <v>0.97850000000000004</v>
      </c>
      <c r="J90" s="28">
        <f t="shared" si="5"/>
        <v>0.95746225000000007</v>
      </c>
      <c r="K90" s="30">
        <f t="shared" si="16"/>
        <v>0.97850000000000004</v>
      </c>
      <c r="L90" s="5"/>
      <c r="M90" s="30">
        <f t="shared" si="17"/>
        <v>-0.97850000000000004</v>
      </c>
      <c r="N90" s="42">
        <f t="shared" si="18"/>
        <v>-0.97850000000000004</v>
      </c>
      <c r="O90" s="43">
        <f t="shared" si="19"/>
        <v>0.95746225000000007</v>
      </c>
      <c r="P90" s="43">
        <f t="shared" si="20"/>
        <v>-0.34013437099999999</v>
      </c>
      <c r="Q90" s="43">
        <f t="shared" si="21"/>
        <v>-0.34013437099999999</v>
      </c>
      <c r="R90" s="43">
        <f t="shared" si="22"/>
        <v>0.11569139033556564</v>
      </c>
    </row>
    <row r="91" spans="1:18" x14ac:dyDescent="0.3">
      <c r="A91" s="47">
        <v>38073</v>
      </c>
      <c r="B91" s="48">
        <v>0</v>
      </c>
      <c r="C91" s="49">
        <v>0.97850000000000004</v>
      </c>
      <c r="D91" s="10">
        <f t="shared" si="14"/>
        <v>-0.38980777739764078</v>
      </c>
      <c r="E91" s="10">
        <f t="shared" si="15"/>
        <v>0.2927885245901638</v>
      </c>
      <c r="F91" s="10">
        <f t="shared" si="23"/>
        <v>0.15195010331968867</v>
      </c>
      <c r="G91" s="10">
        <f t="shared" si="23"/>
        <v>8.5725120131684956E-2</v>
      </c>
      <c r="H91" s="11">
        <f t="shared" si="3"/>
        <v>-0.11413124401802624</v>
      </c>
      <c r="I91" s="12">
        <f t="shared" si="4"/>
        <v>0.97850000000000004</v>
      </c>
      <c r="J91" s="28">
        <f t="shared" si="5"/>
        <v>0.95746225000000007</v>
      </c>
      <c r="K91" s="30">
        <f t="shared" si="16"/>
        <v>0.97850000000000004</v>
      </c>
      <c r="L91" s="5"/>
      <c r="M91" s="30">
        <f t="shared" si="17"/>
        <v>-0.97850000000000004</v>
      </c>
      <c r="N91" s="42">
        <f t="shared" si="18"/>
        <v>-0.97850000000000004</v>
      </c>
      <c r="O91" s="43">
        <f t="shared" si="19"/>
        <v>0.95746225000000007</v>
      </c>
      <c r="P91" s="43">
        <f t="shared" si="20"/>
        <v>-0.34013437099999999</v>
      </c>
      <c r="Q91" s="43">
        <f t="shared" si="21"/>
        <v>-0.34013437099999999</v>
      </c>
      <c r="R91" s="43">
        <f t="shared" si="22"/>
        <v>0.11569139033556564</v>
      </c>
    </row>
    <row r="92" spans="1:18" x14ac:dyDescent="0.3">
      <c r="A92" s="47">
        <v>38074</v>
      </c>
      <c r="B92" s="48">
        <v>0</v>
      </c>
      <c r="C92" s="49">
        <v>0</v>
      </c>
      <c r="D92" s="10">
        <f t="shared" si="14"/>
        <v>-0.38980777739764078</v>
      </c>
      <c r="E92" s="10">
        <f t="shared" si="15"/>
        <v>-0.68571147540983624</v>
      </c>
      <c r="F92" s="10">
        <f t="shared" si="23"/>
        <v>0.15195010331968867</v>
      </c>
      <c r="G92" s="10">
        <f t="shared" si="23"/>
        <v>0.47020022750873447</v>
      </c>
      <c r="H92" s="11">
        <f t="shared" si="3"/>
        <v>0.26729566616556527</v>
      </c>
      <c r="I92" s="12">
        <f t="shared" si="4"/>
        <v>0</v>
      </c>
      <c r="J92" s="28">
        <f t="shared" si="5"/>
        <v>0</v>
      </c>
      <c r="K92" s="30">
        <f t="shared" si="16"/>
        <v>0</v>
      </c>
      <c r="L92" s="5"/>
      <c r="M92" s="30">
        <f t="shared" si="17"/>
        <v>0</v>
      </c>
      <c r="N92" s="42">
        <f t="shared" si="18"/>
        <v>0</v>
      </c>
      <c r="O92" s="43">
        <f t="shared" si="19"/>
        <v>0</v>
      </c>
      <c r="P92" s="43">
        <f t="shared" si="20"/>
        <v>-0.34013437099999999</v>
      </c>
      <c r="Q92" s="43">
        <f t="shared" si="21"/>
        <v>-0.34013437099999999</v>
      </c>
      <c r="R92" s="43">
        <f t="shared" si="22"/>
        <v>0.11569139033556564</v>
      </c>
    </row>
    <row r="93" spans="1:18" x14ac:dyDescent="0.3">
      <c r="A93" s="47">
        <v>38075</v>
      </c>
      <c r="B93" s="48">
        <v>0</v>
      </c>
      <c r="C93" s="49">
        <v>0</v>
      </c>
      <c r="D93" s="10">
        <f t="shared" si="14"/>
        <v>-0.38980777739764078</v>
      </c>
      <c r="E93" s="10">
        <f t="shared" si="15"/>
        <v>-0.68571147540983624</v>
      </c>
      <c r="F93" s="10">
        <f t="shared" si="23"/>
        <v>0.15195010331968867</v>
      </c>
      <c r="G93" s="10">
        <f t="shared" si="23"/>
        <v>0.47020022750873447</v>
      </c>
      <c r="H93" s="11">
        <f t="shared" si="3"/>
        <v>0.26729566616556527</v>
      </c>
      <c r="I93" s="12">
        <f t="shared" si="4"/>
        <v>0</v>
      </c>
      <c r="J93" s="28">
        <f t="shared" si="5"/>
        <v>0</v>
      </c>
      <c r="K93" s="30">
        <f t="shared" si="16"/>
        <v>0</v>
      </c>
      <c r="L93" s="5"/>
      <c r="M93" s="30">
        <f t="shared" si="17"/>
        <v>0</v>
      </c>
      <c r="N93" s="42">
        <f t="shared" si="18"/>
        <v>0</v>
      </c>
      <c r="O93" s="43">
        <f t="shared" si="19"/>
        <v>0</v>
      </c>
      <c r="P93" s="43">
        <f t="shared" si="20"/>
        <v>-0.34013437099999999</v>
      </c>
      <c r="Q93" s="43">
        <f t="shared" si="21"/>
        <v>-0.34013437099999999</v>
      </c>
      <c r="R93" s="43">
        <f t="shared" si="22"/>
        <v>0.11569139033556564</v>
      </c>
    </row>
    <row r="94" spans="1:18" x14ac:dyDescent="0.3">
      <c r="A94" s="47">
        <v>38076</v>
      </c>
      <c r="B94" s="48">
        <v>0</v>
      </c>
      <c r="C94" s="49">
        <v>0.97850000000000004</v>
      </c>
      <c r="D94" s="10">
        <f t="shared" si="14"/>
        <v>-0.38980777739764078</v>
      </c>
      <c r="E94" s="10">
        <f t="shared" si="15"/>
        <v>0.2927885245901638</v>
      </c>
      <c r="F94" s="10">
        <f t="shared" si="23"/>
        <v>0.15195010331968867</v>
      </c>
      <c r="G94" s="10">
        <f t="shared" si="23"/>
        <v>8.5725120131684956E-2</v>
      </c>
      <c r="H94" s="11">
        <f t="shared" si="3"/>
        <v>-0.11413124401802624</v>
      </c>
      <c r="I94" s="12">
        <f t="shared" si="4"/>
        <v>0.97850000000000004</v>
      </c>
      <c r="J94" s="28">
        <f t="shared" si="5"/>
        <v>0.95746225000000007</v>
      </c>
      <c r="K94" s="30">
        <f t="shared" si="16"/>
        <v>0.97850000000000004</v>
      </c>
      <c r="L94" s="5"/>
      <c r="M94" s="30">
        <f t="shared" si="17"/>
        <v>-0.97850000000000004</v>
      </c>
      <c r="N94" s="42">
        <f t="shared" si="18"/>
        <v>-0.97850000000000004</v>
      </c>
      <c r="O94" s="43">
        <f t="shared" si="19"/>
        <v>0.95746225000000007</v>
      </c>
      <c r="P94" s="43">
        <f t="shared" si="20"/>
        <v>-0.34013437099999999</v>
      </c>
      <c r="Q94" s="43">
        <f t="shared" si="21"/>
        <v>-0.34013437099999999</v>
      </c>
      <c r="R94" s="43">
        <f t="shared" si="22"/>
        <v>0.11569139033556564</v>
      </c>
    </row>
    <row r="95" spans="1:18" x14ac:dyDescent="0.3">
      <c r="A95" s="47">
        <v>38077</v>
      </c>
      <c r="B95" s="48">
        <v>0</v>
      </c>
      <c r="C95" s="49">
        <v>0</v>
      </c>
      <c r="D95" s="10">
        <f t="shared" si="14"/>
        <v>-0.38980777739764078</v>
      </c>
      <c r="E95" s="10">
        <f t="shared" si="15"/>
        <v>-0.68571147540983624</v>
      </c>
      <c r="F95" s="10">
        <f t="shared" si="23"/>
        <v>0.15195010331968867</v>
      </c>
      <c r="G95" s="10">
        <f t="shared" si="23"/>
        <v>0.47020022750873447</v>
      </c>
      <c r="H95" s="11">
        <f t="shared" si="3"/>
        <v>0.26729566616556527</v>
      </c>
      <c r="I95" s="12">
        <f t="shared" si="4"/>
        <v>0</v>
      </c>
      <c r="J95" s="28">
        <f t="shared" si="5"/>
        <v>0</v>
      </c>
      <c r="K95" s="30">
        <f t="shared" si="16"/>
        <v>0</v>
      </c>
      <c r="L95" s="5"/>
      <c r="M95" s="30">
        <f t="shared" si="17"/>
        <v>0</v>
      </c>
      <c r="N95" s="42">
        <f t="shared" si="18"/>
        <v>0</v>
      </c>
      <c r="O95" s="43">
        <f t="shared" si="19"/>
        <v>0</v>
      </c>
      <c r="P95" s="43">
        <f t="shared" si="20"/>
        <v>-0.34013437099999999</v>
      </c>
      <c r="Q95" s="43">
        <f t="shared" si="21"/>
        <v>-0.34013437099999999</v>
      </c>
      <c r="R95" s="43">
        <f t="shared" si="22"/>
        <v>0.11569139033556564</v>
      </c>
    </row>
    <row r="96" spans="1:18" x14ac:dyDescent="0.3">
      <c r="A96" s="47">
        <v>38078</v>
      </c>
      <c r="B96" s="48">
        <v>0</v>
      </c>
      <c r="C96" s="49">
        <v>0</v>
      </c>
      <c r="D96" s="10">
        <f t="shared" si="14"/>
        <v>-0.38980777739764078</v>
      </c>
      <c r="E96" s="10">
        <f t="shared" si="15"/>
        <v>-0.68571147540983624</v>
      </c>
      <c r="F96" s="10">
        <f t="shared" si="23"/>
        <v>0.15195010331968867</v>
      </c>
      <c r="G96" s="10">
        <f t="shared" si="23"/>
        <v>0.47020022750873447</v>
      </c>
      <c r="H96" s="11">
        <f t="shared" si="3"/>
        <v>0.26729566616556527</v>
      </c>
      <c r="I96" s="12">
        <f t="shared" si="4"/>
        <v>0</v>
      </c>
      <c r="J96" s="28">
        <f t="shared" si="5"/>
        <v>0</v>
      </c>
      <c r="K96" s="30">
        <f t="shared" si="16"/>
        <v>0</v>
      </c>
      <c r="L96" s="5"/>
      <c r="M96" s="30">
        <f t="shared" si="17"/>
        <v>0</v>
      </c>
      <c r="N96" s="42">
        <f t="shared" si="18"/>
        <v>0</v>
      </c>
      <c r="O96" s="43">
        <f t="shared" si="19"/>
        <v>0</v>
      </c>
      <c r="P96" s="43">
        <f t="shared" si="20"/>
        <v>-0.34013437099999999</v>
      </c>
      <c r="Q96" s="43">
        <f t="shared" si="21"/>
        <v>-0.34013437099999999</v>
      </c>
      <c r="R96" s="43">
        <f t="shared" si="22"/>
        <v>0.11569139033556564</v>
      </c>
    </row>
    <row r="97" spans="1:18" x14ac:dyDescent="0.3">
      <c r="A97" s="47">
        <v>38079</v>
      </c>
      <c r="B97" s="48">
        <v>0</v>
      </c>
      <c r="C97" s="49">
        <v>0</v>
      </c>
      <c r="D97" s="10">
        <f t="shared" si="14"/>
        <v>-0.38980777739764078</v>
      </c>
      <c r="E97" s="10">
        <f t="shared" si="15"/>
        <v>-0.68571147540983624</v>
      </c>
      <c r="F97" s="10">
        <f t="shared" si="23"/>
        <v>0.15195010331968867</v>
      </c>
      <c r="G97" s="10">
        <f t="shared" si="23"/>
        <v>0.47020022750873447</v>
      </c>
      <c r="H97" s="11">
        <f t="shared" si="3"/>
        <v>0.26729566616556527</v>
      </c>
      <c r="I97" s="12">
        <f t="shared" si="4"/>
        <v>0</v>
      </c>
      <c r="J97" s="28">
        <f t="shared" si="5"/>
        <v>0</v>
      </c>
      <c r="K97" s="30">
        <f t="shared" si="16"/>
        <v>0</v>
      </c>
      <c r="L97" s="5"/>
      <c r="M97" s="30">
        <f t="shared" si="17"/>
        <v>0</v>
      </c>
      <c r="N97" s="42">
        <f t="shared" si="18"/>
        <v>0</v>
      </c>
      <c r="O97" s="43">
        <f t="shared" si="19"/>
        <v>0</v>
      </c>
      <c r="P97" s="43">
        <f t="shared" si="20"/>
        <v>-0.34013437099999999</v>
      </c>
      <c r="Q97" s="43">
        <f t="shared" si="21"/>
        <v>-0.34013437099999999</v>
      </c>
      <c r="R97" s="43">
        <f t="shared" si="22"/>
        <v>0.11569139033556564</v>
      </c>
    </row>
    <row r="98" spans="1:18" x14ac:dyDescent="0.3">
      <c r="A98" s="47">
        <v>38080</v>
      </c>
      <c r="B98" s="48">
        <v>0</v>
      </c>
      <c r="C98" s="49">
        <v>0</v>
      </c>
      <c r="D98" s="10">
        <f t="shared" si="14"/>
        <v>-0.38980777739764078</v>
      </c>
      <c r="E98" s="10">
        <f t="shared" si="15"/>
        <v>-0.68571147540983624</v>
      </c>
      <c r="F98" s="10">
        <f t="shared" si="23"/>
        <v>0.15195010331968867</v>
      </c>
      <c r="G98" s="10">
        <f t="shared" si="23"/>
        <v>0.47020022750873447</v>
      </c>
      <c r="H98" s="11">
        <f t="shared" si="3"/>
        <v>0.26729566616556527</v>
      </c>
      <c r="I98" s="12">
        <f t="shared" si="4"/>
        <v>0</v>
      </c>
      <c r="J98" s="28">
        <f t="shared" si="5"/>
        <v>0</v>
      </c>
      <c r="K98" s="30">
        <f t="shared" si="16"/>
        <v>0</v>
      </c>
      <c r="L98" s="5"/>
      <c r="M98" s="30">
        <f t="shared" si="17"/>
        <v>0</v>
      </c>
      <c r="N98" s="42">
        <f t="shared" si="18"/>
        <v>0</v>
      </c>
      <c r="O98" s="43">
        <f t="shared" si="19"/>
        <v>0</v>
      </c>
      <c r="P98" s="43">
        <f t="shared" si="20"/>
        <v>-0.34013437099999999</v>
      </c>
      <c r="Q98" s="43">
        <f t="shared" si="21"/>
        <v>-0.34013437099999999</v>
      </c>
      <c r="R98" s="43">
        <f t="shared" si="22"/>
        <v>0.11569139033556564</v>
      </c>
    </row>
    <row r="99" spans="1:18" x14ac:dyDescent="0.3">
      <c r="A99" s="47">
        <v>38081</v>
      </c>
      <c r="B99" s="48">
        <v>0</v>
      </c>
      <c r="C99" s="49">
        <v>0</v>
      </c>
      <c r="D99" s="10">
        <f t="shared" si="14"/>
        <v>-0.38980777739764078</v>
      </c>
      <c r="E99" s="10">
        <f t="shared" si="15"/>
        <v>-0.68571147540983624</v>
      </c>
      <c r="F99" s="10">
        <f t="shared" si="23"/>
        <v>0.15195010331968867</v>
      </c>
      <c r="G99" s="10">
        <f t="shared" si="23"/>
        <v>0.47020022750873447</v>
      </c>
      <c r="H99" s="11">
        <f t="shared" si="3"/>
        <v>0.26729566616556527</v>
      </c>
      <c r="I99" s="12">
        <f t="shared" si="4"/>
        <v>0</v>
      </c>
      <c r="J99" s="28">
        <f t="shared" si="5"/>
        <v>0</v>
      </c>
      <c r="K99" s="30">
        <f t="shared" si="16"/>
        <v>0</v>
      </c>
      <c r="L99" s="5"/>
      <c r="M99" s="30">
        <f t="shared" si="17"/>
        <v>0</v>
      </c>
      <c r="N99" s="42">
        <f t="shared" si="18"/>
        <v>0</v>
      </c>
      <c r="O99" s="43">
        <f t="shared" si="19"/>
        <v>0</v>
      </c>
      <c r="P99" s="43">
        <f t="shared" si="20"/>
        <v>-0.34013437099999999</v>
      </c>
      <c r="Q99" s="43">
        <f t="shared" si="21"/>
        <v>-0.34013437099999999</v>
      </c>
      <c r="R99" s="43">
        <f t="shared" si="22"/>
        <v>0.11569139033556564</v>
      </c>
    </row>
    <row r="100" spans="1:18" x14ac:dyDescent="0.3">
      <c r="A100" s="47">
        <v>38082</v>
      </c>
      <c r="B100" s="48">
        <v>0</v>
      </c>
      <c r="C100" s="49">
        <v>0</v>
      </c>
      <c r="D100" s="10">
        <f t="shared" si="14"/>
        <v>-0.38980777739764078</v>
      </c>
      <c r="E100" s="10">
        <f t="shared" si="15"/>
        <v>-0.68571147540983624</v>
      </c>
      <c r="F100" s="10">
        <f t="shared" si="23"/>
        <v>0.15195010331968867</v>
      </c>
      <c r="G100" s="10">
        <f t="shared" si="23"/>
        <v>0.47020022750873447</v>
      </c>
      <c r="H100" s="11">
        <f t="shared" si="3"/>
        <v>0.26729566616556527</v>
      </c>
      <c r="I100" s="12">
        <f t="shared" si="4"/>
        <v>0</v>
      </c>
      <c r="J100" s="28">
        <f t="shared" si="5"/>
        <v>0</v>
      </c>
      <c r="K100" s="30">
        <f t="shared" si="16"/>
        <v>0</v>
      </c>
      <c r="L100" s="5"/>
      <c r="M100" s="30">
        <f t="shared" si="17"/>
        <v>0</v>
      </c>
      <c r="N100" s="42">
        <f t="shared" si="18"/>
        <v>0</v>
      </c>
      <c r="O100" s="43">
        <f t="shared" si="19"/>
        <v>0</v>
      </c>
      <c r="P100" s="43">
        <f t="shared" si="20"/>
        <v>-0.34013437099999999</v>
      </c>
      <c r="Q100" s="43">
        <f t="shared" si="21"/>
        <v>-0.34013437099999999</v>
      </c>
      <c r="R100" s="43">
        <f t="shared" si="22"/>
        <v>0.11569139033556564</v>
      </c>
    </row>
    <row r="101" spans="1:18" x14ac:dyDescent="0.3">
      <c r="A101" s="47">
        <v>38083</v>
      </c>
      <c r="B101" s="48">
        <v>0</v>
      </c>
      <c r="C101" s="49">
        <v>0</v>
      </c>
      <c r="D101" s="10">
        <f t="shared" si="14"/>
        <v>-0.38980777739764078</v>
      </c>
      <c r="E101" s="10">
        <f t="shared" si="15"/>
        <v>-0.68571147540983624</v>
      </c>
      <c r="F101" s="10">
        <f t="shared" si="23"/>
        <v>0.15195010331968867</v>
      </c>
      <c r="G101" s="10">
        <f t="shared" si="23"/>
        <v>0.47020022750873447</v>
      </c>
      <c r="H101" s="11">
        <f t="shared" si="3"/>
        <v>0.26729566616556527</v>
      </c>
      <c r="I101" s="12">
        <f t="shared" si="4"/>
        <v>0</v>
      </c>
      <c r="J101" s="28">
        <f t="shared" si="5"/>
        <v>0</v>
      </c>
      <c r="K101" s="30">
        <f t="shared" si="16"/>
        <v>0</v>
      </c>
      <c r="L101" s="5"/>
      <c r="M101" s="30">
        <f t="shared" si="17"/>
        <v>0</v>
      </c>
      <c r="N101" s="42">
        <f t="shared" si="18"/>
        <v>0</v>
      </c>
      <c r="O101" s="43">
        <f t="shared" si="19"/>
        <v>0</v>
      </c>
      <c r="P101" s="43">
        <f t="shared" si="20"/>
        <v>-0.34013437099999999</v>
      </c>
      <c r="Q101" s="43">
        <f t="shared" si="21"/>
        <v>-0.34013437099999999</v>
      </c>
      <c r="R101" s="43">
        <f t="shared" si="22"/>
        <v>0.11569139033556564</v>
      </c>
    </row>
    <row r="102" spans="1:18" x14ac:dyDescent="0.3">
      <c r="A102" s="47">
        <v>38084</v>
      </c>
      <c r="B102" s="48">
        <v>0</v>
      </c>
      <c r="C102" s="49">
        <v>0</v>
      </c>
      <c r="D102" s="10">
        <f t="shared" si="14"/>
        <v>-0.38980777739764078</v>
      </c>
      <c r="E102" s="10">
        <f t="shared" si="15"/>
        <v>-0.68571147540983624</v>
      </c>
      <c r="F102" s="10">
        <f t="shared" si="23"/>
        <v>0.15195010331968867</v>
      </c>
      <c r="G102" s="10">
        <f t="shared" si="23"/>
        <v>0.47020022750873447</v>
      </c>
      <c r="H102" s="11">
        <f t="shared" si="3"/>
        <v>0.26729566616556527</v>
      </c>
      <c r="I102" s="12">
        <f t="shared" si="4"/>
        <v>0</v>
      </c>
      <c r="J102" s="28">
        <f t="shared" si="5"/>
        <v>0</v>
      </c>
      <c r="K102" s="30">
        <f t="shared" si="16"/>
        <v>0</v>
      </c>
      <c r="L102" s="5"/>
      <c r="M102" s="30">
        <f t="shared" si="17"/>
        <v>0</v>
      </c>
      <c r="N102" s="42">
        <f t="shared" si="18"/>
        <v>0</v>
      </c>
      <c r="O102" s="43">
        <f t="shared" si="19"/>
        <v>0</v>
      </c>
      <c r="P102" s="43">
        <f t="shared" si="20"/>
        <v>-0.34013437099999999</v>
      </c>
      <c r="Q102" s="43">
        <f t="shared" si="21"/>
        <v>-0.34013437099999999</v>
      </c>
      <c r="R102" s="43">
        <f t="shared" si="22"/>
        <v>0.11569139033556564</v>
      </c>
    </row>
    <row r="103" spans="1:18" x14ac:dyDescent="0.3">
      <c r="A103" s="47">
        <v>38085</v>
      </c>
      <c r="B103" s="48">
        <v>0</v>
      </c>
      <c r="C103" s="49">
        <v>0</v>
      </c>
      <c r="D103" s="10">
        <f t="shared" si="14"/>
        <v>-0.38980777739764078</v>
      </c>
      <c r="E103" s="10">
        <f t="shared" si="15"/>
        <v>-0.68571147540983624</v>
      </c>
      <c r="F103" s="10">
        <f t="shared" si="23"/>
        <v>0.15195010331968867</v>
      </c>
      <c r="G103" s="10">
        <f t="shared" si="23"/>
        <v>0.47020022750873447</v>
      </c>
      <c r="H103" s="11">
        <f t="shared" si="3"/>
        <v>0.26729566616556527</v>
      </c>
      <c r="I103" s="12">
        <f t="shared" si="4"/>
        <v>0</v>
      </c>
      <c r="J103" s="28">
        <f t="shared" si="5"/>
        <v>0</v>
      </c>
      <c r="K103" s="30">
        <f t="shared" si="16"/>
        <v>0</v>
      </c>
      <c r="L103" s="5"/>
      <c r="M103" s="30">
        <f t="shared" si="17"/>
        <v>0</v>
      </c>
      <c r="N103" s="42">
        <f t="shared" si="18"/>
        <v>0</v>
      </c>
      <c r="O103" s="43">
        <f t="shared" si="19"/>
        <v>0</v>
      </c>
      <c r="P103" s="43">
        <f t="shared" si="20"/>
        <v>-0.34013437099999999</v>
      </c>
      <c r="Q103" s="43">
        <f t="shared" si="21"/>
        <v>-0.34013437099999999</v>
      </c>
      <c r="R103" s="43">
        <f t="shared" si="22"/>
        <v>0.11569139033556564</v>
      </c>
    </row>
    <row r="104" spans="1:18" x14ac:dyDescent="0.3">
      <c r="A104" s="47">
        <v>38086</v>
      </c>
      <c r="B104" s="48">
        <v>0</v>
      </c>
      <c r="C104" s="49">
        <v>0</v>
      </c>
      <c r="D104" s="10">
        <f t="shared" si="14"/>
        <v>-0.38980777739764078</v>
      </c>
      <c r="E104" s="10">
        <f t="shared" si="15"/>
        <v>-0.68571147540983624</v>
      </c>
      <c r="F104" s="10">
        <f t="shared" si="23"/>
        <v>0.15195010331968867</v>
      </c>
      <c r="G104" s="10">
        <f t="shared" si="23"/>
        <v>0.47020022750873447</v>
      </c>
      <c r="H104" s="11">
        <f t="shared" si="3"/>
        <v>0.26729566616556527</v>
      </c>
      <c r="I104" s="12">
        <f t="shared" si="4"/>
        <v>0</v>
      </c>
      <c r="J104" s="28">
        <f t="shared" si="5"/>
        <v>0</v>
      </c>
      <c r="K104" s="30">
        <f t="shared" si="16"/>
        <v>0</v>
      </c>
      <c r="L104" s="5"/>
      <c r="M104" s="30">
        <f t="shared" si="17"/>
        <v>0</v>
      </c>
      <c r="N104" s="42">
        <f t="shared" si="18"/>
        <v>0</v>
      </c>
      <c r="O104" s="43">
        <f t="shared" si="19"/>
        <v>0</v>
      </c>
      <c r="P104" s="43">
        <f t="shared" si="20"/>
        <v>-0.34013437099999999</v>
      </c>
      <c r="Q104" s="43">
        <f t="shared" si="21"/>
        <v>-0.34013437099999999</v>
      </c>
      <c r="R104" s="43">
        <f t="shared" si="22"/>
        <v>0.11569139033556564</v>
      </c>
    </row>
    <row r="105" spans="1:18" x14ac:dyDescent="0.3">
      <c r="A105" s="47">
        <v>38087</v>
      </c>
      <c r="B105" s="48">
        <v>0</v>
      </c>
      <c r="C105" s="49">
        <v>0</v>
      </c>
      <c r="D105" s="10">
        <f t="shared" si="14"/>
        <v>-0.38980777739764078</v>
      </c>
      <c r="E105" s="10">
        <f t="shared" si="15"/>
        <v>-0.68571147540983624</v>
      </c>
      <c r="F105" s="10">
        <f t="shared" si="23"/>
        <v>0.15195010331968867</v>
      </c>
      <c r="G105" s="10">
        <f t="shared" si="23"/>
        <v>0.47020022750873447</v>
      </c>
      <c r="H105" s="11">
        <f t="shared" si="3"/>
        <v>0.26729566616556527</v>
      </c>
      <c r="I105" s="12">
        <f t="shared" si="4"/>
        <v>0</v>
      </c>
      <c r="J105" s="28">
        <f t="shared" si="5"/>
        <v>0</v>
      </c>
      <c r="K105" s="30">
        <f t="shared" si="16"/>
        <v>0</v>
      </c>
      <c r="L105" s="5"/>
      <c r="M105" s="30">
        <f t="shared" si="17"/>
        <v>0</v>
      </c>
      <c r="N105" s="42">
        <f t="shared" si="18"/>
        <v>0</v>
      </c>
      <c r="O105" s="43">
        <f t="shared" si="19"/>
        <v>0</v>
      </c>
      <c r="P105" s="43">
        <f t="shared" si="20"/>
        <v>-0.34013437099999999</v>
      </c>
      <c r="Q105" s="43">
        <f t="shared" si="21"/>
        <v>-0.34013437099999999</v>
      </c>
      <c r="R105" s="43">
        <f t="shared" si="22"/>
        <v>0.11569139033556564</v>
      </c>
    </row>
    <row r="106" spans="1:18" x14ac:dyDescent="0.3">
      <c r="A106" s="47">
        <v>38088</v>
      </c>
      <c r="B106" s="48">
        <v>0</v>
      </c>
      <c r="C106" s="49">
        <v>0</v>
      </c>
      <c r="D106" s="10">
        <f t="shared" si="14"/>
        <v>-0.38980777739764078</v>
      </c>
      <c r="E106" s="10">
        <f t="shared" si="15"/>
        <v>-0.68571147540983624</v>
      </c>
      <c r="F106" s="10">
        <f t="shared" si="23"/>
        <v>0.15195010331968867</v>
      </c>
      <c r="G106" s="10">
        <f t="shared" si="23"/>
        <v>0.47020022750873447</v>
      </c>
      <c r="H106" s="11">
        <f t="shared" si="3"/>
        <v>0.26729566616556527</v>
      </c>
      <c r="I106" s="12">
        <f t="shared" si="4"/>
        <v>0</v>
      </c>
      <c r="J106" s="28">
        <f t="shared" si="5"/>
        <v>0</v>
      </c>
      <c r="K106" s="30">
        <f t="shared" si="16"/>
        <v>0</v>
      </c>
      <c r="L106" s="5"/>
      <c r="M106" s="30">
        <f t="shared" si="17"/>
        <v>0</v>
      </c>
      <c r="N106" s="42">
        <f t="shared" si="18"/>
        <v>0</v>
      </c>
      <c r="O106" s="43">
        <f t="shared" si="19"/>
        <v>0</v>
      </c>
      <c r="P106" s="43">
        <f t="shared" si="20"/>
        <v>-0.34013437099999999</v>
      </c>
      <c r="Q106" s="43">
        <f t="shared" si="21"/>
        <v>-0.34013437099999999</v>
      </c>
      <c r="R106" s="43">
        <f t="shared" si="22"/>
        <v>0.11569139033556564</v>
      </c>
    </row>
    <row r="107" spans="1:18" x14ac:dyDescent="0.3">
      <c r="A107" s="47">
        <v>38089</v>
      </c>
      <c r="B107" s="48">
        <v>0</v>
      </c>
      <c r="C107" s="49">
        <v>0</v>
      </c>
      <c r="D107" s="10">
        <f t="shared" si="14"/>
        <v>-0.38980777739764078</v>
      </c>
      <c r="E107" s="10">
        <f t="shared" si="15"/>
        <v>-0.68571147540983624</v>
      </c>
      <c r="F107" s="10">
        <f t="shared" si="23"/>
        <v>0.15195010331968867</v>
      </c>
      <c r="G107" s="10">
        <f t="shared" si="23"/>
        <v>0.47020022750873447</v>
      </c>
      <c r="H107" s="11">
        <f t="shared" si="3"/>
        <v>0.26729566616556527</v>
      </c>
      <c r="I107" s="12">
        <f t="shared" si="4"/>
        <v>0</v>
      </c>
      <c r="J107" s="28">
        <f t="shared" si="5"/>
        <v>0</v>
      </c>
      <c r="K107" s="30">
        <f t="shared" si="16"/>
        <v>0</v>
      </c>
      <c r="L107" s="5"/>
      <c r="M107" s="30">
        <f t="shared" si="17"/>
        <v>0</v>
      </c>
      <c r="N107" s="42">
        <f t="shared" si="18"/>
        <v>0</v>
      </c>
      <c r="O107" s="43">
        <f t="shared" si="19"/>
        <v>0</v>
      </c>
      <c r="P107" s="43">
        <f t="shared" si="20"/>
        <v>-0.34013437099999999</v>
      </c>
      <c r="Q107" s="43">
        <f t="shared" si="21"/>
        <v>-0.34013437099999999</v>
      </c>
      <c r="R107" s="43">
        <f t="shared" si="22"/>
        <v>0.11569139033556564</v>
      </c>
    </row>
    <row r="108" spans="1:18" x14ac:dyDescent="0.3">
      <c r="A108" s="47">
        <v>38090</v>
      </c>
      <c r="B108" s="48">
        <v>0</v>
      </c>
      <c r="C108" s="49">
        <v>0</v>
      </c>
      <c r="D108" s="10">
        <f t="shared" si="14"/>
        <v>-0.38980777739764078</v>
      </c>
      <c r="E108" s="10">
        <f t="shared" si="15"/>
        <v>-0.68571147540983624</v>
      </c>
      <c r="F108" s="10">
        <f t="shared" si="23"/>
        <v>0.15195010331968867</v>
      </c>
      <c r="G108" s="10">
        <f t="shared" si="23"/>
        <v>0.47020022750873447</v>
      </c>
      <c r="H108" s="11">
        <f t="shared" si="3"/>
        <v>0.26729566616556527</v>
      </c>
      <c r="I108" s="12">
        <f t="shared" si="4"/>
        <v>0</v>
      </c>
      <c r="J108" s="28">
        <f t="shared" si="5"/>
        <v>0</v>
      </c>
      <c r="K108" s="30">
        <f t="shared" si="16"/>
        <v>0</v>
      </c>
      <c r="L108" s="5"/>
      <c r="M108" s="30">
        <f t="shared" si="17"/>
        <v>0</v>
      </c>
      <c r="N108" s="42">
        <f t="shared" si="18"/>
        <v>0</v>
      </c>
      <c r="O108" s="43">
        <f t="shared" si="19"/>
        <v>0</v>
      </c>
      <c r="P108" s="43">
        <f t="shared" si="20"/>
        <v>-0.34013437099999999</v>
      </c>
      <c r="Q108" s="43">
        <f t="shared" si="21"/>
        <v>-0.34013437099999999</v>
      </c>
      <c r="R108" s="43">
        <f t="shared" si="22"/>
        <v>0.11569139033556564</v>
      </c>
    </row>
    <row r="109" spans="1:18" x14ac:dyDescent="0.3">
      <c r="A109" s="47">
        <v>38091</v>
      </c>
      <c r="B109" s="48">
        <v>0</v>
      </c>
      <c r="C109" s="49">
        <v>1.0603</v>
      </c>
      <c r="D109" s="10">
        <f t="shared" si="14"/>
        <v>-0.38980777739764078</v>
      </c>
      <c r="E109" s="10">
        <f t="shared" si="15"/>
        <v>0.37458852459016378</v>
      </c>
      <c r="F109" s="10">
        <f t="shared" si="23"/>
        <v>0.15195010331968867</v>
      </c>
      <c r="G109" s="10">
        <f t="shared" si="23"/>
        <v>0.14031656275463575</v>
      </c>
      <c r="H109" s="11">
        <f t="shared" si="3"/>
        <v>-0.14601752020915326</v>
      </c>
      <c r="I109" s="12">
        <f t="shared" si="4"/>
        <v>1.0603</v>
      </c>
      <c r="J109" s="28">
        <f t="shared" si="5"/>
        <v>1.1242360900000001</v>
      </c>
      <c r="K109" s="30">
        <f t="shared" si="16"/>
        <v>1.0603</v>
      </c>
      <c r="L109" s="5"/>
      <c r="M109" s="30">
        <f t="shared" si="17"/>
        <v>-1.0603</v>
      </c>
      <c r="N109" s="42">
        <f t="shared" si="18"/>
        <v>-1.0603</v>
      </c>
      <c r="O109" s="43">
        <f t="shared" si="19"/>
        <v>1.1242360900000001</v>
      </c>
      <c r="P109" s="43">
        <f t="shared" si="20"/>
        <v>-0.34013437099999999</v>
      </c>
      <c r="Q109" s="43">
        <f t="shared" si="21"/>
        <v>-0.34013437099999999</v>
      </c>
      <c r="R109" s="43">
        <f t="shared" si="22"/>
        <v>0.11569139033556564</v>
      </c>
    </row>
    <row r="110" spans="1:18" x14ac:dyDescent="0.3">
      <c r="A110" s="47">
        <v>38092</v>
      </c>
      <c r="B110" s="48">
        <v>0</v>
      </c>
      <c r="C110" s="49">
        <v>0</v>
      </c>
      <c r="D110" s="10">
        <f t="shared" si="14"/>
        <v>-0.38980777739764078</v>
      </c>
      <c r="E110" s="10">
        <f t="shared" si="15"/>
        <v>-0.68571147540983624</v>
      </c>
      <c r="F110" s="10">
        <f t="shared" si="23"/>
        <v>0.15195010331968867</v>
      </c>
      <c r="G110" s="10">
        <f t="shared" si="23"/>
        <v>0.47020022750873447</v>
      </c>
      <c r="H110" s="11">
        <f t="shared" si="3"/>
        <v>0.26729566616556527</v>
      </c>
      <c r="I110" s="12">
        <f t="shared" si="4"/>
        <v>0</v>
      </c>
      <c r="J110" s="28">
        <f t="shared" si="5"/>
        <v>0</v>
      </c>
      <c r="K110" s="30">
        <f t="shared" si="16"/>
        <v>0</v>
      </c>
      <c r="L110" s="5"/>
      <c r="M110" s="30">
        <f t="shared" si="17"/>
        <v>0</v>
      </c>
      <c r="N110" s="42">
        <f t="shared" si="18"/>
        <v>0</v>
      </c>
      <c r="O110" s="43">
        <f t="shared" si="19"/>
        <v>0</v>
      </c>
      <c r="P110" s="43">
        <f t="shared" si="20"/>
        <v>-0.34013437099999999</v>
      </c>
      <c r="Q110" s="43">
        <f t="shared" si="21"/>
        <v>-0.34013437099999999</v>
      </c>
      <c r="R110" s="43">
        <f t="shared" si="22"/>
        <v>0.11569139033556564</v>
      </c>
    </row>
    <row r="111" spans="1:18" x14ac:dyDescent="0.3">
      <c r="A111" s="47">
        <v>38093</v>
      </c>
      <c r="B111" s="48">
        <v>0</v>
      </c>
      <c r="C111" s="49">
        <v>0</v>
      </c>
      <c r="D111" s="10">
        <f t="shared" si="14"/>
        <v>-0.38980777739764078</v>
      </c>
      <c r="E111" s="10">
        <f t="shared" si="15"/>
        <v>-0.68571147540983624</v>
      </c>
      <c r="F111" s="10">
        <f t="shared" si="23"/>
        <v>0.15195010331968867</v>
      </c>
      <c r="G111" s="10">
        <f t="shared" si="23"/>
        <v>0.47020022750873447</v>
      </c>
      <c r="H111" s="11">
        <f t="shared" si="3"/>
        <v>0.26729566616556527</v>
      </c>
      <c r="I111" s="12">
        <f t="shared" si="4"/>
        <v>0</v>
      </c>
      <c r="J111" s="28">
        <f t="shared" si="5"/>
        <v>0</v>
      </c>
      <c r="K111" s="30">
        <f t="shared" si="16"/>
        <v>0</v>
      </c>
      <c r="L111" s="5"/>
      <c r="M111" s="30">
        <f t="shared" si="17"/>
        <v>0</v>
      </c>
      <c r="N111" s="42">
        <f t="shared" si="18"/>
        <v>0</v>
      </c>
      <c r="O111" s="43">
        <f t="shared" si="19"/>
        <v>0</v>
      </c>
      <c r="P111" s="43">
        <f t="shared" si="20"/>
        <v>-0.34013437099999999</v>
      </c>
      <c r="Q111" s="43">
        <f t="shared" si="21"/>
        <v>-0.34013437099999999</v>
      </c>
      <c r="R111" s="43">
        <f t="shared" si="22"/>
        <v>0.11569139033556564</v>
      </c>
    </row>
    <row r="112" spans="1:18" x14ac:dyDescent="0.3">
      <c r="A112" s="47">
        <v>38094</v>
      </c>
      <c r="B112" s="48">
        <v>0</v>
      </c>
      <c r="C112" s="49">
        <v>0</v>
      </c>
      <c r="D112" s="10">
        <f t="shared" si="14"/>
        <v>-0.38980777739764078</v>
      </c>
      <c r="E112" s="10">
        <f t="shared" si="15"/>
        <v>-0.68571147540983624</v>
      </c>
      <c r="F112" s="10">
        <f t="shared" si="23"/>
        <v>0.15195010331968867</v>
      </c>
      <c r="G112" s="10">
        <f t="shared" si="23"/>
        <v>0.47020022750873447</v>
      </c>
      <c r="H112" s="11">
        <f t="shared" si="3"/>
        <v>0.26729566616556527</v>
      </c>
      <c r="I112" s="12">
        <f t="shared" si="4"/>
        <v>0</v>
      </c>
      <c r="J112" s="28">
        <f t="shared" si="5"/>
        <v>0</v>
      </c>
      <c r="K112" s="30">
        <f t="shared" si="16"/>
        <v>0</v>
      </c>
      <c r="L112" s="5"/>
      <c r="M112" s="30">
        <f t="shared" si="17"/>
        <v>0</v>
      </c>
      <c r="N112" s="42">
        <f t="shared" si="18"/>
        <v>0</v>
      </c>
      <c r="O112" s="43">
        <f t="shared" si="19"/>
        <v>0</v>
      </c>
      <c r="P112" s="43">
        <f t="shared" si="20"/>
        <v>-0.34013437099999999</v>
      </c>
      <c r="Q112" s="43">
        <f t="shared" si="21"/>
        <v>-0.34013437099999999</v>
      </c>
      <c r="R112" s="43">
        <f t="shared" si="22"/>
        <v>0.11569139033556564</v>
      </c>
    </row>
    <row r="113" spans="1:18" x14ac:dyDescent="0.3">
      <c r="A113" s="47">
        <v>38095</v>
      </c>
      <c r="B113" s="48">
        <v>0</v>
      </c>
      <c r="C113" s="49">
        <v>1.077</v>
      </c>
      <c r="D113" s="10">
        <f t="shared" si="14"/>
        <v>-0.38980777739764078</v>
      </c>
      <c r="E113" s="10">
        <f t="shared" si="15"/>
        <v>0.39128852459016372</v>
      </c>
      <c r="F113" s="10">
        <f t="shared" si="23"/>
        <v>0.15195010331968867</v>
      </c>
      <c r="G113" s="10">
        <f t="shared" si="23"/>
        <v>0.15310670947594715</v>
      </c>
      <c r="H113" s="11">
        <f t="shared" si="3"/>
        <v>-0.15252731009169382</v>
      </c>
      <c r="I113" s="12">
        <f t="shared" si="4"/>
        <v>1.077</v>
      </c>
      <c r="J113" s="28">
        <f t="shared" si="5"/>
        <v>1.159929</v>
      </c>
      <c r="K113" s="30">
        <f t="shared" si="16"/>
        <v>1.077</v>
      </c>
      <c r="L113" s="5"/>
      <c r="M113" s="30">
        <f t="shared" si="17"/>
        <v>-1.077</v>
      </c>
      <c r="N113" s="42">
        <f t="shared" si="18"/>
        <v>-1.077</v>
      </c>
      <c r="O113" s="43">
        <f t="shared" si="19"/>
        <v>1.159929</v>
      </c>
      <c r="P113" s="43">
        <f t="shared" si="20"/>
        <v>-0.34013437099999999</v>
      </c>
      <c r="Q113" s="43">
        <f t="shared" si="21"/>
        <v>-0.34013437099999999</v>
      </c>
      <c r="R113" s="43">
        <f t="shared" si="22"/>
        <v>0.11569139033556564</v>
      </c>
    </row>
    <row r="114" spans="1:18" x14ac:dyDescent="0.3">
      <c r="A114" s="47">
        <v>38096</v>
      </c>
      <c r="B114" s="48">
        <v>0</v>
      </c>
      <c r="C114" s="49">
        <v>0.35899999999999999</v>
      </c>
      <c r="D114" s="10">
        <f t="shared" si="14"/>
        <v>-0.38980777739764078</v>
      </c>
      <c r="E114" s="10">
        <f t="shared" si="15"/>
        <v>-0.32671147540983625</v>
      </c>
      <c r="F114" s="10">
        <f t="shared" si="23"/>
        <v>0.15195010331968867</v>
      </c>
      <c r="G114" s="10">
        <f t="shared" si="23"/>
        <v>0.10674038816447204</v>
      </c>
      <c r="H114" s="11">
        <f t="shared" si="3"/>
        <v>0.12735467407981224</v>
      </c>
      <c r="I114" s="12">
        <f t="shared" si="4"/>
        <v>0.35899999999999999</v>
      </c>
      <c r="J114" s="28">
        <f t="shared" si="5"/>
        <v>0.128881</v>
      </c>
      <c r="K114" s="30">
        <f t="shared" si="16"/>
        <v>0.35899999999999999</v>
      </c>
      <c r="L114" s="5"/>
      <c r="M114" s="30">
        <f t="shared" si="17"/>
        <v>-0.35899999999999999</v>
      </c>
      <c r="N114" s="42">
        <f t="shared" si="18"/>
        <v>-0.35899999999999999</v>
      </c>
      <c r="O114" s="43">
        <f t="shared" si="19"/>
        <v>0.128881</v>
      </c>
      <c r="P114" s="43">
        <f t="shared" si="20"/>
        <v>-0.34013437099999999</v>
      </c>
      <c r="Q114" s="43">
        <f t="shared" si="21"/>
        <v>-0.34013437099999999</v>
      </c>
      <c r="R114" s="43">
        <f t="shared" si="22"/>
        <v>0.11569139033556564</v>
      </c>
    </row>
    <row r="115" spans="1:18" x14ac:dyDescent="0.3">
      <c r="A115" s="47">
        <v>38097</v>
      </c>
      <c r="B115" s="48">
        <v>0</v>
      </c>
      <c r="C115" s="49">
        <v>0.35899999999999999</v>
      </c>
      <c r="D115" s="10">
        <f t="shared" si="14"/>
        <v>-0.38980777739764078</v>
      </c>
      <c r="E115" s="10">
        <f t="shared" si="15"/>
        <v>-0.32671147540983625</v>
      </c>
      <c r="F115" s="10">
        <f t="shared" si="23"/>
        <v>0.15195010331968867</v>
      </c>
      <c r="G115" s="10">
        <f t="shared" si="23"/>
        <v>0.10674038816447204</v>
      </c>
      <c r="H115" s="11">
        <f t="shared" si="3"/>
        <v>0.12735467407981224</v>
      </c>
      <c r="I115" s="12">
        <f t="shared" si="4"/>
        <v>0.35899999999999999</v>
      </c>
      <c r="J115" s="28">
        <f t="shared" si="5"/>
        <v>0.128881</v>
      </c>
      <c r="K115" s="30">
        <f t="shared" si="16"/>
        <v>0.35899999999999999</v>
      </c>
      <c r="L115" s="5"/>
      <c r="M115" s="30">
        <f t="shared" si="17"/>
        <v>-0.35899999999999999</v>
      </c>
      <c r="N115" s="42">
        <f t="shared" si="18"/>
        <v>-0.35899999999999999</v>
      </c>
      <c r="O115" s="43">
        <f t="shared" si="19"/>
        <v>0.128881</v>
      </c>
      <c r="P115" s="43">
        <f t="shared" si="20"/>
        <v>-0.34013437099999999</v>
      </c>
      <c r="Q115" s="43">
        <f t="shared" si="21"/>
        <v>-0.34013437099999999</v>
      </c>
      <c r="R115" s="43">
        <f t="shared" si="22"/>
        <v>0.11569139033556564</v>
      </c>
    </row>
    <row r="116" spans="1:18" x14ac:dyDescent="0.3">
      <c r="A116" s="47">
        <v>38098</v>
      </c>
      <c r="B116" s="48">
        <v>0.27125126123428345</v>
      </c>
      <c r="C116" s="49">
        <v>0</v>
      </c>
      <c r="D116" s="10">
        <f t="shared" si="14"/>
        <v>-0.11855651616335733</v>
      </c>
      <c r="E116" s="10">
        <f t="shared" si="15"/>
        <v>-0.68571147540983624</v>
      </c>
      <c r="F116" s="10">
        <f t="shared" si="23"/>
        <v>1.4055647524792407E-2</v>
      </c>
      <c r="G116" s="10">
        <f t="shared" si="23"/>
        <v>0.47020022750873447</v>
      </c>
      <c r="H116" s="11">
        <f t="shared" si="3"/>
        <v>8.1295563617825847E-2</v>
      </c>
      <c r="I116" s="12">
        <f t="shared" si="4"/>
        <v>0.27125126123428345</v>
      </c>
      <c r="J116" s="28">
        <f t="shared" si="5"/>
        <v>7.3577246721189482E-2</v>
      </c>
      <c r="K116" s="30">
        <f t="shared" si="16"/>
        <v>-0.27125126123428345</v>
      </c>
      <c r="L116" s="5"/>
      <c r="M116" s="30">
        <f t="shared" si="17"/>
        <v>0.27125126123428345</v>
      </c>
      <c r="N116" s="42">
        <f t="shared" si="18"/>
        <v>0.27125126123428345</v>
      </c>
      <c r="O116" s="43">
        <f t="shared" si="19"/>
        <v>7.3577246721189482E-2</v>
      </c>
      <c r="P116" s="43">
        <f t="shared" si="20"/>
        <v>-6.8883109765716544E-2</v>
      </c>
      <c r="Q116" s="43">
        <f t="shared" si="21"/>
        <v>-6.8883109765716544E-2</v>
      </c>
      <c r="R116" s="43">
        <f t="shared" si="22"/>
        <v>4.7448828109957538E-3</v>
      </c>
    </row>
    <row r="117" spans="1:18" x14ac:dyDescent="0.3">
      <c r="A117" s="47">
        <v>38099</v>
      </c>
      <c r="B117" s="48">
        <v>0</v>
      </c>
      <c r="C117" s="49">
        <v>0</v>
      </c>
      <c r="D117" s="10">
        <f t="shared" si="14"/>
        <v>-0.38980777739764078</v>
      </c>
      <c r="E117" s="10">
        <f t="shared" si="15"/>
        <v>-0.68571147540983624</v>
      </c>
      <c r="F117" s="10">
        <f t="shared" si="23"/>
        <v>0.15195010331968867</v>
      </c>
      <c r="G117" s="10">
        <f t="shared" si="23"/>
        <v>0.47020022750873447</v>
      </c>
      <c r="H117" s="11">
        <f t="shared" si="3"/>
        <v>0.26729566616556527</v>
      </c>
      <c r="I117" s="12">
        <f t="shared" si="4"/>
        <v>0</v>
      </c>
      <c r="J117" s="28">
        <f t="shared" si="5"/>
        <v>0</v>
      </c>
      <c r="K117" s="30">
        <f t="shared" si="16"/>
        <v>0</v>
      </c>
      <c r="L117" s="5"/>
      <c r="M117" s="30">
        <f t="shared" si="17"/>
        <v>0</v>
      </c>
      <c r="N117" s="42">
        <f t="shared" si="18"/>
        <v>0</v>
      </c>
      <c r="O117" s="43">
        <f t="shared" si="19"/>
        <v>0</v>
      </c>
      <c r="P117" s="43">
        <f t="shared" si="20"/>
        <v>-0.34013437099999999</v>
      </c>
      <c r="Q117" s="43">
        <f t="shared" si="21"/>
        <v>-0.34013437099999999</v>
      </c>
      <c r="R117" s="43">
        <f t="shared" si="22"/>
        <v>0.11569139033556564</v>
      </c>
    </row>
    <row r="118" spans="1:18" x14ac:dyDescent="0.3">
      <c r="A118" s="47">
        <v>38100</v>
      </c>
      <c r="B118" s="48">
        <v>0</v>
      </c>
      <c r="C118" s="49">
        <v>0</v>
      </c>
      <c r="D118" s="10">
        <f t="shared" si="14"/>
        <v>-0.38980777739764078</v>
      </c>
      <c r="E118" s="10">
        <f t="shared" si="15"/>
        <v>-0.68571147540983624</v>
      </c>
      <c r="F118" s="10">
        <f t="shared" si="23"/>
        <v>0.15195010331968867</v>
      </c>
      <c r="G118" s="10">
        <f t="shared" si="23"/>
        <v>0.47020022750873447</v>
      </c>
      <c r="H118" s="11">
        <f t="shared" si="3"/>
        <v>0.26729566616556527</v>
      </c>
      <c r="I118" s="12">
        <f t="shared" si="4"/>
        <v>0</v>
      </c>
      <c r="J118" s="28">
        <f t="shared" si="5"/>
        <v>0</v>
      </c>
      <c r="K118" s="30">
        <f t="shared" si="16"/>
        <v>0</v>
      </c>
      <c r="L118" s="5"/>
      <c r="M118" s="30">
        <f t="shared" si="17"/>
        <v>0</v>
      </c>
      <c r="N118" s="42">
        <f t="shared" si="18"/>
        <v>0</v>
      </c>
      <c r="O118" s="43">
        <f t="shared" si="19"/>
        <v>0</v>
      </c>
      <c r="P118" s="43">
        <f t="shared" si="20"/>
        <v>-0.34013437099999999</v>
      </c>
      <c r="Q118" s="43">
        <f t="shared" si="21"/>
        <v>-0.34013437099999999</v>
      </c>
      <c r="R118" s="43">
        <f t="shared" si="22"/>
        <v>0.11569139033556564</v>
      </c>
    </row>
    <row r="119" spans="1:18" x14ac:dyDescent="0.3">
      <c r="A119" s="47">
        <v>38101</v>
      </c>
      <c r="B119" s="48">
        <v>0</v>
      </c>
      <c r="C119" s="49">
        <v>0</v>
      </c>
      <c r="D119" s="10">
        <f t="shared" si="14"/>
        <v>-0.38980777739764078</v>
      </c>
      <c r="E119" s="10">
        <f t="shared" si="15"/>
        <v>-0.68571147540983624</v>
      </c>
      <c r="F119" s="10">
        <f t="shared" si="23"/>
        <v>0.15195010331968867</v>
      </c>
      <c r="G119" s="10">
        <f t="shared" si="23"/>
        <v>0.47020022750873447</v>
      </c>
      <c r="H119" s="11">
        <f t="shared" si="3"/>
        <v>0.26729566616556527</v>
      </c>
      <c r="I119" s="12">
        <f t="shared" si="4"/>
        <v>0</v>
      </c>
      <c r="J119" s="28">
        <f t="shared" si="5"/>
        <v>0</v>
      </c>
      <c r="K119" s="30">
        <f t="shared" si="16"/>
        <v>0</v>
      </c>
      <c r="L119" s="5"/>
      <c r="M119" s="30">
        <f t="shared" si="17"/>
        <v>0</v>
      </c>
      <c r="N119" s="42">
        <f t="shared" si="18"/>
        <v>0</v>
      </c>
      <c r="O119" s="43">
        <f t="shared" si="19"/>
        <v>0</v>
      </c>
      <c r="P119" s="43">
        <f t="shared" si="20"/>
        <v>-0.34013437099999999</v>
      </c>
      <c r="Q119" s="43">
        <f t="shared" si="21"/>
        <v>-0.34013437099999999</v>
      </c>
      <c r="R119" s="43">
        <f t="shared" si="22"/>
        <v>0.11569139033556564</v>
      </c>
    </row>
    <row r="120" spans="1:18" x14ac:dyDescent="0.3">
      <c r="A120" s="47">
        <v>38102</v>
      </c>
      <c r="B120" s="48">
        <v>0</v>
      </c>
      <c r="C120" s="49">
        <v>0</v>
      </c>
      <c r="D120" s="10">
        <f t="shared" si="14"/>
        <v>-0.38980777739764078</v>
      </c>
      <c r="E120" s="10">
        <f t="shared" si="15"/>
        <v>-0.68571147540983624</v>
      </c>
      <c r="F120" s="10">
        <f t="shared" si="23"/>
        <v>0.15195010331968867</v>
      </c>
      <c r="G120" s="10">
        <f t="shared" si="23"/>
        <v>0.47020022750873447</v>
      </c>
      <c r="H120" s="11">
        <f t="shared" si="3"/>
        <v>0.26729566616556527</v>
      </c>
      <c r="I120" s="12">
        <f t="shared" si="4"/>
        <v>0</v>
      </c>
      <c r="J120" s="28">
        <f t="shared" si="5"/>
        <v>0</v>
      </c>
      <c r="K120" s="30">
        <f t="shared" si="16"/>
        <v>0</v>
      </c>
      <c r="L120" s="5"/>
      <c r="M120" s="30">
        <f t="shared" si="17"/>
        <v>0</v>
      </c>
      <c r="N120" s="42">
        <f t="shared" si="18"/>
        <v>0</v>
      </c>
      <c r="O120" s="43">
        <f t="shared" si="19"/>
        <v>0</v>
      </c>
      <c r="P120" s="43">
        <f t="shared" si="20"/>
        <v>-0.34013437099999999</v>
      </c>
      <c r="Q120" s="43">
        <f t="shared" si="21"/>
        <v>-0.34013437099999999</v>
      </c>
      <c r="R120" s="43">
        <f t="shared" si="22"/>
        <v>0.11569139033556564</v>
      </c>
    </row>
    <row r="121" spans="1:18" x14ac:dyDescent="0.3">
      <c r="A121" s="47">
        <v>38103</v>
      </c>
      <c r="B121" s="48">
        <v>0</v>
      </c>
      <c r="C121" s="49">
        <v>0</v>
      </c>
      <c r="D121" s="10">
        <f t="shared" si="14"/>
        <v>-0.38980777739764078</v>
      </c>
      <c r="E121" s="10">
        <f t="shared" si="15"/>
        <v>-0.68571147540983624</v>
      </c>
      <c r="F121" s="10">
        <f t="shared" si="23"/>
        <v>0.15195010331968867</v>
      </c>
      <c r="G121" s="10">
        <f t="shared" si="23"/>
        <v>0.47020022750873447</v>
      </c>
      <c r="H121" s="11">
        <f t="shared" si="3"/>
        <v>0.26729566616556527</v>
      </c>
      <c r="I121" s="12">
        <f t="shared" si="4"/>
        <v>0</v>
      </c>
      <c r="J121" s="28">
        <f t="shared" si="5"/>
        <v>0</v>
      </c>
      <c r="K121" s="30">
        <f t="shared" si="16"/>
        <v>0</v>
      </c>
      <c r="L121" s="5"/>
      <c r="M121" s="30">
        <f t="shared" si="17"/>
        <v>0</v>
      </c>
      <c r="N121" s="42">
        <f t="shared" si="18"/>
        <v>0</v>
      </c>
      <c r="O121" s="43">
        <f t="shared" si="19"/>
        <v>0</v>
      </c>
      <c r="P121" s="43">
        <f t="shared" si="20"/>
        <v>-0.34013437099999999</v>
      </c>
      <c r="Q121" s="43">
        <f t="shared" si="21"/>
        <v>-0.34013437099999999</v>
      </c>
      <c r="R121" s="43">
        <f t="shared" si="22"/>
        <v>0.11569139033556564</v>
      </c>
    </row>
    <row r="122" spans="1:18" x14ac:dyDescent="0.3">
      <c r="A122" s="47">
        <v>38104</v>
      </c>
      <c r="B122" s="48">
        <v>0</v>
      </c>
      <c r="C122" s="49">
        <v>0</v>
      </c>
      <c r="D122" s="10">
        <f t="shared" si="14"/>
        <v>-0.38980777739764078</v>
      </c>
      <c r="E122" s="10">
        <f t="shared" si="15"/>
        <v>-0.68571147540983624</v>
      </c>
      <c r="F122" s="10">
        <f t="shared" si="23"/>
        <v>0.15195010331968867</v>
      </c>
      <c r="G122" s="10">
        <f t="shared" si="23"/>
        <v>0.47020022750873447</v>
      </c>
      <c r="H122" s="11">
        <f t="shared" si="3"/>
        <v>0.26729566616556527</v>
      </c>
      <c r="I122" s="12">
        <f t="shared" si="4"/>
        <v>0</v>
      </c>
      <c r="J122" s="28">
        <f t="shared" si="5"/>
        <v>0</v>
      </c>
      <c r="K122" s="30">
        <f t="shared" si="16"/>
        <v>0</v>
      </c>
      <c r="L122" s="5"/>
      <c r="M122" s="30">
        <f t="shared" si="17"/>
        <v>0</v>
      </c>
      <c r="N122" s="42">
        <f t="shared" si="18"/>
        <v>0</v>
      </c>
      <c r="O122" s="43">
        <f t="shared" si="19"/>
        <v>0</v>
      </c>
      <c r="P122" s="43">
        <f t="shared" si="20"/>
        <v>-0.34013437099999999</v>
      </c>
      <c r="Q122" s="43">
        <f t="shared" si="21"/>
        <v>-0.34013437099999999</v>
      </c>
      <c r="R122" s="43">
        <f t="shared" si="22"/>
        <v>0.11569139033556564</v>
      </c>
    </row>
    <row r="123" spans="1:18" x14ac:dyDescent="0.3">
      <c r="A123" s="47">
        <v>38105</v>
      </c>
      <c r="B123" s="48">
        <v>0</v>
      </c>
      <c r="C123" s="49">
        <v>0</v>
      </c>
      <c r="D123" s="10">
        <f t="shared" si="14"/>
        <v>-0.38980777739764078</v>
      </c>
      <c r="E123" s="10">
        <f t="shared" si="15"/>
        <v>-0.68571147540983624</v>
      </c>
      <c r="F123" s="10">
        <f t="shared" si="23"/>
        <v>0.15195010331968867</v>
      </c>
      <c r="G123" s="10">
        <f t="shared" si="23"/>
        <v>0.47020022750873447</v>
      </c>
      <c r="H123" s="11">
        <f t="shared" si="3"/>
        <v>0.26729566616556527</v>
      </c>
      <c r="I123" s="12">
        <f t="shared" si="4"/>
        <v>0</v>
      </c>
      <c r="J123" s="28">
        <f t="shared" si="5"/>
        <v>0</v>
      </c>
      <c r="K123" s="30">
        <f t="shared" si="16"/>
        <v>0</v>
      </c>
      <c r="L123" s="5"/>
      <c r="M123" s="30">
        <f t="shared" si="17"/>
        <v>0</v>
      </c>
      <c r="N123" s="42">
        <f t="shared" si="18"/>
        <v>0</v>
      </c>
      <c r="O123" s="43">
        <f t="shared" si="19"/>
        <v>0</v>
      </c>
      <c r="P123" s="43">
        <f t="shared" si="20"/>
        <v>-0.34013437099999999</v>
      </c>
      <c r="Q123" s="43">
        <f t="shared" si="21"/>
        <v>-0.34013437099999999</v>
      </c>
      <c r="R123" s="43">
        <f t="shared" si="22"/>
        <v>0.11569139033556564</v>
      </c>
    </row>
    <row r="124" spans="1:18" x14ac:dyDescent="0.3">
      <c r="A124" s="47">
        <v>38106</v>
      </c>
      <c r="B124" s="48">
        <v>0</v>
      </c>
      <c r="C124" s="49">
        <v>0</v>
      </c>
      <c r="D124" s="10">
        <f t="shared" si="14"/>
        <v>-0.38980777739764078</v>
      </c>
      <c r="E124" s="10">
        <f t="shared" si="15"/>
        <v>-0.68571147540983624</v>
      </c>
      <c r="F124" s="10">
        <f t="shared" si="23"/>
        <v>0.15195010331968867</v>
      </c>
      <c r="G124" s="10">
        <f t="shared" si="23"/>
        <v>0.47020022750873447</v>
      </c>
      <c r="H124" s="11">
        <f t="shared" si="3"/>
        <v>0.26729566616556527</v>
      </c>
      <c r="I124" s="12">
        <f t="shared" si="4"/>
        <v>0</v>
      </c>
      <c r="J124" s="28">
        <f t="shared" si="5"/>
        <v>0</v>
      </c>
      <c r="K124" s="30">
        <f t="shared" si="16"/>
        <v>0</v>
      </c>
      <c r="L124" s="5"/>
      <c r="M124" s="30">
        <f t="shared" si="17"/>
        <v>0</v>
      </c>
      <c r="N124" s="42">
        <f t="shared" si="18"/>
        <v>0</v>
      </c>
      <c r="O124" s="43">
        <f t="shared" si="19"/>
        <v>0</v>
      </c>
      <c r="P124" s="43">
        <f t="shared" si="20"/>
        <v>-0.34013437099999999</v>
      </c>
      <c r="Q124" s="43">
        <f t="shared" si="21"/>
        <v>-0.34013437099999999</v>
      </c>
      <c r="R124" s="43">
        <f t="shared" si="22"/>
        <v>0.11569139033556564</v>
      </c>
    </row>
    <row r="125" spans="1:18" x14ac:dyDescent="0.3">
      <c r="A125" s="47">
        <v>38107</v>
      </c>
      <c r="B125" s="48">
        <v>0</v>
      </c>
      <c r="C125" s="49">
        <v>0</v>
      </c>
      <c r="D125" s="10">
        <f t="shared" si="14"/>
        <v>-0.38980777739764078</v>
      </c>
      <c r="E125" s="10">
        <f t="shared" si="15"/>
        <v>-0.68571147540983624</v>
      </c>
      <c r="F125" s="10">
        <f t="shared" si="23"/>
        <v>0.15195010331968867</v>
      </c>
      <c r="G125" s="10">
        <f t="shared" si="23"/>
        <v>0.47020022750873447</v>
      </c>
      <c r="H125" s="11">
        <f t="shared" si="3"/>
        <v>0.26729566616556527</v>
      </c>
      <c r="I125" s="12">
        <f t="shared" si="4"/>
        <v>0</v>
      </c>
      <c r="J125" s="28">
        <f t="shared" si="5"/>
        <v>0</v>
      </c>
      <c r="K125" s="30">
        <f t="shared" si="16"/>
        <v>0</v>
      </c>
      <c r="L125" s="5"/>
      <c r="M125" s="30">
        <f t="shared" si="17"/>
        <v>0</v>
      </c>
      <c r="N125" s="42">
        <f t="shared" si="18"/>
        <v>0</v>
      </c>
      <c r="O125" s="43">
        <f t="shared" si="19"/>
        <v>0</v>
      </c>
      <c r="P125" s="43">
        <f t="shared" si="20"/>
        <v>-0.34013437099999999</v>
      </c>
      <c r="Q125" s="43">
        <f t="shared" si="21"/>
        <v>-0.34013437099999999</v>
      </c>
      <c r="R125" s="43">
        <f t="shared" si="22"/>
        <v>0.11569139033556564</v>
      </c>
    </row>
    <row r="126" spans="1:18" x14ac:dyDescent="0.3">
      <c r="A126" s="47">
        <v>38108</v>
      </c>
      <c r="B126" s="48">
        <v>6.5293349325656891E-2</v>
      </c>
      <c r="C126" s="49">
        <v>0</v>
      </c>
      <c r="D126" s="10">
        <f t="shared" si="14"/>
        <v>-0.32451442807198388</v>
      </c>
      <c r="E126" s="10">
        <f t="shared" si="15"/>
        <v>-0.68571147540983624</v>
      </c>
      <c r="F126" s="10">
        <f t="shared" si="23"/>
        <v>0.10530961402688681</v>
      </c>
      <c r="G126" s="10">
        <f t="shared" si="23"/>
        <v>0.47020022750873447</v>
      </c>
      <c r="H126" s="11">
        <f t="shared" si="3"/>
        <v>0.22252326726501925</v>
      </c>
      <c r="I126" s="12">
        <f t="shared" si="4"/>
        <v>6.5293349325656891E-2</v>
      </c>
      <c r="J126" s="28">
        <f t="shared" si="5"/>
        <v>4.2632214661622592E-3</v>
      </c>
      <c r="K126" s="30">
        <f t="shared" si="16"/>
        <v>-6.5293349325656891E-2</v>
      </c>
      <c r="L126" s="5"/>
      <c r="M126" s="30">
        <f t="shared" si="17"/>
        <v>6.5293349325656891E-2</v>
      </c>
      <c r="N126" s="42">
        <f t="shared" si="18"/>
        <v>6.5293349325656891E-2</v>
      </c>
      <c r="O126" s="43">
        <f t="shared" si="19"/>
        <v>4.2632214661622592E-3</v>
      </c>
      <c r="P126" s="43">
        <f t="shared" si="20"/>
        <v>-0.2748410216743431</v>
      </c>
      <c r="Q126" s="43">
        <f t="shared" si="21"/>
        <v>-0.2748410216743431</v>
      </c>
      <c r="R126" s="43">
        <f t="shared" si="22"/>
        <v>7.553758719499673E-2</v>
      </c>
    </row>
    <row r="127" spans="1:18" x14ac:dyDescent="0.3">
      <c r="A127" s="47">
        <v>38109</v>
      </c>
      <c r="B127" s="48">
        <v>0.11188478767871857</v>
      </c>
      <c r="C127" s="49">
        <v>0</v>
      </c>
      <c r="D127" s="10">
        <f t="shared" si="14"/>
        <v>-0.27792298971892221</v>
      </c>
      <c r="E127" s="10">
        <f t="shared" si="15"/>
        <v>-0.68571147540983624</v>
      </c>
      <c r="F127" s="10">
        <f t="shared" si="23"/>
        <v>7.7241188214304146E-2</v>
      </c>
      <c r="G127" s="10">
        <f t="shared" si="23"/>
        <v>0.47020022750873447</v>
      </c>
      <c r="H127" s="11">
        <f t="shared" si="3"/>
        <v>0.1905749833304749</v>
      </c>
      <c r="I127" s="12">
        <f t="shared" si="4"/>
        <v>0.11188478767871857</v>
      </c>
      <c r="J127" s="28">
        <f t="shared" si="5"/>
        <v>1.2518205713911934E-2</v>
      </c>
      <c r="K127" s="30">
        <f t="shared" si="16"/>
        <v>-0.11188478767871857</v>
      </c>
      <c r="L127" s="5"/>
      <c r="M127" s="30">
        <f t="shared" si="17"/>
        <v>0.11188478767871857</v>
      </c>
      <c r="N127" s="42">
        <f t="shared" si="18"/>
        <v>0.11188478767871857</v>
      </c>
      <c r="O127" s="43">
        <f t="shared" si="19"/>
        <v>1.2518205713911934E-2</v>
      </c>
      <c r="P127" s="43">
        <f t="shared" si="20"/>
        <v>-0.22824958332128142</v>
      </c>
      <c r="Q127" s="43">
        <f t="shared" si="21"/>
        <v>-0.22824958332128142</v>
      </c>
      <c r="R127" s="43">
        <f t="shared" si="22"/>
        <v>5.2097872286338588E-2</v>
      </c>
    </row>
    <row r="128" spans="1:18" x14ac:dyDescent="0.3">
      <c r="A128" s="47">
        <v>38110</v>
      </c>
      <c r="B128" s="48">
        <v>0</v>
      </c>
      <c r="C128" s="49">
        <v>0</v>
      </c>
      <c r="D128" s="10">
        <f t="shared" si="14"/>
        <v>-0.38980777739764078</v>
      </c>
      <c r="E128" s="10">
        <f t="shared" si="15"/>
        <v>-0.68571147540983624</v>
      </c>
      <c r="F128" s="10">
        <f t="shared" si="23"/>
        <v>0.15195010331968867</v>
      </c>
      <c r="G128" s="10">
        <f t="shared" si="23"/>
        <v>0.47020022750873447</v>
      </c>
      <c r="H128" s="11">
        <f t="shared" si="3"/>
        <v>0.26729566616556527</v>
      </c>
      <c r="I128" s="12">
        <f t="shared" si="4"/>
        <v>0</v>
      </c>
      <c r="J128" s="28">
        <f t="shared" si="5"/>
        <v>0</v>
      </c>
      <c r="K128" s="30">
        <f t="shared" si="16"/>
        <v>0</v>
      </c>
      <c r="L128" s="5"/>
      <c r="M128" s="30">
        <f t="shared" si="17"/>
        <v>0</v>
      </c>
      <c r="N128" s="42">
        <f t="shared" si="18"/>
        <v>0</v>
      </c>
      <c r="O128" s="43">
        <f t="shared" si="19"/>
        <v>0</v>
      </c>
      <c r="P128" s="43">
        <f t="shared" si="20"/>
        <v>-0.34013437099999999</v>
      </c>
      <c r="Q128" s="43">
        <f t="shared" si="21"/>
        <v>-0.34013437099999999</v>
      </c>
      <c r="R128" s="43">
        <f t="shared" si="22"/>
        <v>0.11569139033556564</v>
      </c>
    </row>
    <row r="129" spans="1:18" x14ac:dyDescent="0.3">
      <c r="A129" s="47">
        <v>38111</v>
      </c>
      <c r="B129" s="48">
        <v>0</v>
      </c>
      <c r="C129" s="49">
        <v>0</v>
      </c>
      <c r="D129" s="10">
        <f t="shared" si="14"/>
        <v>-0.38980777739764078</v>
      </c>
      <c r="E129" s="10">
        <f t="shared" si="15"/>
        <v>-0.68571147540983624</v>
      </c>
      <c r="F129" s="10">
        <f t="shared" si="23"/>
        <v>0.15195010331968867</v>
      </c>
      <c r="G129" s="10">
        <f t="shared" si="23"/>
        <v>0.47020022750873447</v>
      </c>
      <c r="H129" s="11">
        <f t="shared" si="3"/>
        <v>0.26729566616556527</v>
      </c>
      <c r="I129" s="12">
        <f t="shared" si="4"/>
        <v>0</v>
      </c>
      <c r="J129" s="28">
        <f t="shared" si="5"/>
        <v>0</v>
      </c>
      <c r="K129" s="30">
        <f t="shared" si="16"/>
        <v>0</v>
      </c>
      <c r="L129" s="5"/>
      <c r="M129" s="30">
        <f t="shared" si="17"/>
        <v>0</v>
      </c>
      <c r="N129" s="42">
        <f t="shared" si="18"/>
        <v>0</v>
      </c>
      <c r="O129" s="43">
        <f t="shared" si="19"/>
        <v>0</v>
      </c>
      <c r="P129" s="43">
        <f t="shared" si="20"/>
        <v>-0.34013437099999999</v>
      </c>
      <c r="Q129" s="43">
        <f t="shared" si="21"/>
        <v>-0.34013437099999999</v>
      </c>
      <c r="R129" s="43">
        <f t="shared" si="22"/>
        <v>0.11569139033556564</v>
      </c>
    </row>
    <row r="130" spans="1:18" x14ac:dyDescent="0.3">
      <c r="A130" s="47">
        <v>38112</v>
      </c>
      <c r="B130" s="48">
        <v>0</v>
      </c>
      <c r="C130" s="49">
        <v>0</v>
      </c>
      <c r="D130" s="10">
        <f t="shared" si="14"/>
        <v>-0.38980777739764078</v>
      </c>
      <c r="E130" s="10">
        <f t="shared" si="15"/>
        <v>-0.68571147540983624</v>
      </c>
      <c r="F130" s="10">
        <f t="shared" si="23"/>
        <v>0.15195010331968867</v>
      </c>
      <c r="G130" s="10">
        <f t="shared" si="23"/>
        <v>0.47020022750873447</v>
      </c>
      <c r="H130" s="11">
        <f t="shared" si="3"/>
        <v>0.26729566616556527</v>
      </c>
      <c r="I130" s="12">
        <f t="shared" si="4"/>
        <v>0</v>
      </c>
      <c r="J130" s="28">
        <f t="shared" si="5"/>
        <v>0</v>
      </c>
      <c r="K130" s="30">
        <f t="shared" si="16"/>
        <v>0</v>
      </c>
      <c r="L130" s="5"/>
      <c r="M130" s="30">
        <f t="shared" si="17"/>
        <v>0</v>
      </c>
      <c r="N130" s="42">
        <f t="shared" si="18"/>
        <v>0</v>
      </c>
      <c r="O130" s="43">
        <f t="shared" si="19"/>
        <v>0</v>
      </c>
      <c r="P130" s="43">
        <f t="shared" si="20"/>
        <v>-0.34013437099999999</v>
      </c>
      <c r="Q130" s="43">
        <f t="shared" si="21"/>
        <v>-0.34013437099999999</v>
      </c>
      <c r="R130" s="43">
        <f t="shared" si="22"/>
        <v>0.11569139033556564</v>
      </c>
    </row>
    <row r="131" spans="1:18" x14ac:dyDescent="0.3">
      <c r="A131" s="47">
        <v>38113</v>
      </c>
      <c r="B131" s="48">
        <v>0</v>
      </c>
      <c r="C131" s="49">
        <v>0.29449999999999998</v>
      </c>
      <c r="D131" s="10">
        <f t="shared" si="14"/>
        <v>-0.38980777739764078</v>
      </c>
      <c r="E131" s="10">
        <f t="shared" si="15"/>
        <v>-0.39121147540983625</v>
      </c>
      <c r="F131" s="10">
        <f t="shared" si="23"/>
        <v>0.15195010331968867</v>
      </c>
      <c r="G131" s="10">
        <f t="shared" si="23"/>
        <v>0.15304641849234091</v>
      </c>
      <c r="H131" s="11">
        <f t="shared" si="3"/>
        <v>0.15249727572196006</v>
      </c>
      <c r="I131" s="12">
        <f t="shared" si="4"/>
        <v>0.29449999999999998</v>
      </c>
      <c r="J131" s="28">
        <f t="shared" si="5"/>
        <v>8.6730249999999995E-2</v>
      </c>
      <c r="K131" s="30">
        <f t="shared" si="16"/>
        <v>0.29449999999999998</v>
      </c>
      <c r="L131" s="5"/>
      <c r="M131" s="30">
        <f t="shared" si="17"/>
        <v>-0.29449999999999998</v>
      </c>
      <c r="N131" s="42">
        <f t="shared" si="18"/>
        <v>-0.29449999999999998</v>
      </c>
      <c r="O131" s="43">
        <f t="shared" si="19"/>
        <v>8.6730249999999995E-2</v>
      </c>
      <c r="P131" s="43">
        <f t="shared" si="20"/>
        <v>-0.34013437099999999</v>
      </c>
      <c r="Q131" s="43">
        <f t="shared" si="21"/>
        <v>-0.34013437099999999</v>
      </c>
      <c r="R131" s="43">
        <f t="shared" si="22"/>
        <v>0.11569139033556564</v>
      </c>
    </row>
    <row r="132" spans="1:18" x14ac:dyDescent="0.3">
      <c r="A132" s="47">
        <v>38114</v>
      </c>
      <c r="B132" s="48">
        <v>0</v>
      </c>
      <c r="C132" s="49">
        <v>0</v>
      </c>
      <c r="D132" s="10">
        <f t="shared" si="14"/>
        <v>-0.38980777739764078</v>
      </c>
      <c r="E132" s="10">
        <f t="shared" si="15"/>
        <v>-0.68571147540983624</v>
      </c>
      <c r="F132" s="10">
        <f t="shared" si="23"/>
        <v>0.15195010331968867</v>
      </c>
      <c r="G132" s="10">
        <f t="shared" si="23"/>
        <v>0.47020022750873447</v>
      </c>
      <c r="H132" s="11">
        <f t="shared" si="3"/>
        <v>0.26729566616556527</v>
      </c>
      <c r="I132" s="12">
        <f t="shared" si="4"/>
        <v>0</v>
      </c>
      <c r="J132" s="28">
        <f t="shared" si="5"/>
        <v>0</v>
      </c>
      <c r="K132" s="30">
        <f t="shared" si="16"/>
        <v>0</v>
      </c>
      <c r="L132" s="5"/>
      <c r="M132" s="30">
        <f t="shared" si="17"/>
        <v>0</v>
      </c>
      <c r="N132" s="42">
        <f t="shared" si="18"/>
        <v>0</v>
      </c>
      <c r="O132" s="43">
        <f t="shared" si="19"/>
        <v>0</v>
      </c>
      <c r="P132" s="43">
        <f t="shared" si="20"/>
        <v>-0.34013437099999999</v>
      </c>
      <c r="Q132" s="43">
        <f t="shared" si="21"/>
        <v>-0.34013437099999999</v>
      </c>
      <c r="R132" s="43">
        <f t="shared" si="22"/>
        <v>0.11569139033556564</v>
      </c>
    </row>
    <row r="133" spans="1:18" x14ac:dyDescent="0.3">
      <c r="A133" s="47">
        <v>38115</v>
      </c>
      <c r="B133" s="48">
        <v>0</v>
      </c>
      <c r="C133" s="49">
        <v>0</v>
      </c>
      <c r="D133" s="10">
        <f t="shared" ref="D133:D196" si="24">B133-$C$375</f>
        <v>-0.38980777739764078</v>
      </c>
      <c r="E133" s="10">
        <f t="shared" ref="E133:E196" si="25">C133-$D$375</f>
        <v>-0.68571147540983624</v>
      </c>
      <c r="F133" s="10">
        <f t="shared" si="23"/>
        <v>0.15195010331968867</v>
      </c>
      <c r="G133" s="10">
        <f t="shared" si="23"/>
        <v>0.47020022750873447</v>
      </c>
      <c r="H133" s="11">
        <f t="shared" si="3"/>
        <v>0.26729566616556527</v>
      </c>
      <c r="I133" s="12">
        <f t="shared" si="4"/>
        <v>0</v>
      </c>
      <c r="J133" s="28">
        <f t="shared" si="5"/>
        <v>0</v>
      </c>
      <c r="K133" s="30">
        <f t="shared" si="16"/>
        <v>0</v>
      </c>
      <c r="L133" s="5"/>
      <c r="M133" s="30">
        <f t="shared" si="17"/>
        <v>0</v>
      </c>
      <c r="N133" s="42">
        <f t="shared" si="18"/>
        <v>0</v>
      </c>
      <c r="O133" s="43">
        <f t="shared" si="19"/>
        <v>0</v>
      </c>
      <c r="P133" s="43">
        <f t="shared" si="20"/>
        <v>-0.34013437099999999</v>
      </c>
      <c r="Q133" s="43">
        <f t="shared" si="21"/>
        <v>-0.34013437099999999</v>
      </c>
      <c r="R133" s="43">
        <f t="shared" si="22"/>
        <v>0.11569139033556564</v>
      </c>
    </row>
    <row r="134" spans="1:18" x14ac:dyDescent="0.3">
      <c r="A134" s="47">
        <v>38116</v>
      </c>
      <c r="B134" s="48">
        <v>0</v>
      </c>
      <c r="C134" s="49">
        <v>0</v>
      </c>
      <c r="D134" s="10">
        <f t="shared" si="24"/>
        <v>-0.38980777739764078</v>
      </c>
      <c r="E134" s="10">
        <f t="shared" si="25"/>
        <v>-0.68571147540983624</v>
      </c>
      <c r="F134" s="10">
        <f t="shared" si="23"/>
        <v>0.15195010331968867</v>
      </c>
      <c r="G134" s="10">
        <f t="shared" si="23"/>
        <v>0.47020022750873447</v>
      </c>
      <c r="H134" s="11">
        <f t="shared" si="3"/>
        <v>0.26729566616556527</v>
      </c>
      <c r="I134" s="12">
        <f t="shared" si="4"/>
        <v>0</v>
      </c>
      <c r="J134" s="28">
        <f t="shared" si="5"/>
        <v>0</v>
      </c>
      <c r="K134" s="30">
        <f t="shared" ref="K134:K197" si="26">C134-B134</f>
        <v>0</v>
      </c>
      <c r="L134" s="5"/>
      <c r="M134" s="30">
        <f t="shared" ref="M134:M197" si="27">B134-C134</f>
        <v>0</v>
      </c>
      <c r="N134" s="42">
        <f t="shared" ref="N134:N197" si="28">B134-C134</f>
        <v>0</v>
      </c>
      <c r="O134" s="43">
        <f t="shared" ref="O134:O197" si="29">M134*N134</f>
        <v>0</v>
      </c>
      <c r="P134" s="43">
        <f t="shared" ref="P134:P197" si="30">B134-0.340134371</f>
        <v>-0.34013437099999999</v>
      </c>
      <c r="Q134" s="43">
        <f t="shared" ref="Q134:Q197" si="31">B134-0.340134371</f>
        <v>-0.34013437099999999</v>
      </c>
      <c r="R134" s="43">
        <f t="shared" ref="R134:R197" si="32">P134*Q134</f>
        <v>0.11569139033556564</v>
      </c>
    </row>
    <row r="135" spans="1:18" x14ac:dyDescent="0.3">
      <c r="A135" s="47">
        <v>38117</v>
      </c>
      <c r="B135" s="48">
        <v>0</v>
      </c>
      <c r="C135" s="49">
        <v>0</v>
      </c>
      <c r="D135" s="10">
        <f t="shared" si="24"/>
        <v>-0.38980777739764078</v>
      </c>
      <c r="E135" s="10">
        <f t="shared" si="25"/>
        <v>-0.68571147540983624</v>
      </c>
      <c r="F135" s="10">
        <f t="shared" si="23"/>
        <v>0.15195010331968867</v>
      </c>
      <c r="G135" s="10">
        <f t="shared" si="23"/>
        <v>0.47020022750873447</v>
      </c>
      <c r="H135" s="11">
        <f t="shared" si="3"/>
        <v>0.26729566616556527</v>
      </c>
      <c r="I135" s="12">
        <f t="shared" si="4"/>
        <v>0</v>
      </c>
      <c r="J135" s="28">
        <f t="shared" si="5"/>
        <v>0</v>
      </c>
      <c r="K135" s="30">
        <f t="shared" si="26"/>
        <v>0</v>
      </c>
      <c r="L135" s="5"/>
      <c r="M135" s="30">
        <f t="shared" si="27"/>
        <v>0</v>
      </c>
      <c r="N135" s="42">
        <f t="shared" si="28"/>
        <v>0</v>
      </c>
      <c r="O135" s="43">
        <f t="shared" si="29"/>
        <v>0</v>
      </c>
      <c r="P135" s="43">
        <f t="shared" si="30"/>
        <v>-0.34013437099999999</v>
      </c>
      <c r="Q135" s="43">
        <f t="shared" si="31"/>
        <v>-0.34013437099999999</v>
      </c>
      <c r="R135" s="43">
        <f t="shared" si="32"/>
        <v>0.11569139033556564</v>
      </c>
    </row>
    <row r="136" spans="1:18" x14ac:dyDescent="0.3">
      <c r="A136" s="47">
        <v>38118</v>
      </c>
      <c r="B136" s="48">
        <v>0</v>
      </c>
      <c r="C136" s="49">
        <v>0</v>
      </c>
      <c r="D136" s="10">
        <f t="shared" si="24"/>
        <v>-0.38980777739764078</v>
      </c>
      <c r="E136" s="10">
        <f t="shared" si="25"/>
        <v>-0.68571147540983624</v>
      </c>
      <c r="F136" s="10">
        <f t="shared" si="23"/>
        <v>0.15195010331968867</v>
      </c>
      <c r="G136" s="10">
        <f t="shared" si="23"/>
        <v>0.47020022750873447</v>
      </c>
      <c r="H136" s="11">
        <f t="shared" si="3"/>
        <v>0.26729566616556527</v>
      </c>
      <c r="I136" s="12">
        <f t="shared" si="4"/>
        <v>0</v>
      </c>
      <c r="J136" s="28">
        <f t="shared" si="5"/>
        <v>0</v>
      </c>
      <c r="K136" s="30">
        <f t="shared" si="26"/>
        <v>0</v>
      </c>
      <c r="L136" s="5"/>
      <c r="M136" s="30">
        <f t="shared" si="27"/>
        <v>0</v>
      </c>
      <c r="N136" s="42">
        <f t="shared" si="28"/>
        <v>0</v>
      </c>
      <c r="O136" s="43">
        <f t="shared" si="29"/>
        <v>0</v>
      </c>
      <c r="P136" s="43">
        <f t="shared" si="30"/>
        <v>-0.34013437099999999</v>
      </c>
      <c r="Q136" s="43">
        <f t="shared" si="31"/>
        <v>-0.34013437099999999</v>
      </c>
      <c r="R136" s="43">
        <f t="shared" si="32"/>
        <v>0.11569139033556564</v>
      </c>
    </row>
    <row r="137" spans="1:18" x14ac:dyDescent="0.3">
      <c r="A137" s="47">
        <v>38119</v>
      </c>
      <c r="B137" s="48">
        <v>0</v>
      </c>
      <c r="C137" s="49">
        <v>0</v>
      </c>
      <c r="D137" s="10">
        <f t="shared" si="24"/>
        <v>-0.38980777739764078</v>
      </c>
      <c r="E137" s="10">
        <f t="shared" si="25"/>
        <v>-0.68571147540983624</v>
      </c>
      <c r="F137" s="10">
        <f t="shared" si="23"/>
        <v>0.15195010331968867</v>
      </c>
      <c r="G137" s="10">
        <f t="shared" si="23"/>
        <v>0.47020022750873447</v>
      </c>
      <c r="H137" s="11">
        <f t="shared" si="3"/>
        <v>0.26729566616556527</v>
      </c>
      <c r="I137" s="12">
        <f t="shared" si="4"/>
        <v>0</v>
      </c>
      <c r="J137" s="28">
        <f t="shared" si="5"/>
        <v>0</v>
      </c>
      <c r="K137" s="30">
        <f t="shared" si="26"/>
        <v>0</v>
      </c>
      <c r="L137" s="5"/>
      <c r="M137" s="30">
        <f t="shared" si="27"/>
        <v>0</v>
      </c>
      <c r="N137" s="42">
        <f t="shared" si="28"/>
        <v>0</v>
      </c>
      <c r="O137" s="43">
        <f t="shared" si="29"/>
        <v>0</v>
      </c>
      <c r="P137" s="43">
        <f t="shared" si="30"/>
        <v>-0.34013437099999999</v>
      </c>
      <c r="Q137" s="43">
        <f t="shared" si="31"/>
        <v>-0.34013437099999999</v>
      </c>
      <c r="R137" s="43">
        <f t="shared" si="32"/>
        <v>0.11569139033556564</v>
      </c>
    </row>
    <row r="138" spans="1:18" x14ac:dyDescent="0.3">
      <c r="A138" s="47">
        <v>38120</v>
      </c>
      <c r="B138" s="48">
        <v>0</v>
      </c>
      <c r="C138" s="49">
        <v>0</v>
      </c>
      <c r="D138" s="10">
        <f t="shared" si="24"/>
        <v>-0.38980777739764078</v>
      </c>
      <c r="E138" s="10">
        <f t="shared" si="25"/>
        <v>-0.68571147540983624</v>
      </c>
      <c r="F138" s="10">
        <f t="shared" si="23"/>
        <v>0.15195010331968867</v>
      </c>
      <c r="G138" s="10">
        <f t="shared" si="23"/>
        <v>0.47020022750873447</v>
      </c>
      <c r="H138" s="11">
        <f t="shared" si="3"/>
        <v>0.26729566616556527</v>
      </c>
      <c r="I138" s="12">
        <f t="shared" si="4"/>
        <v>0</v>
      </c>
      <c r="J138" s="28">
        <f t="shared" si="5"/>
        <v>0</v>
      </c>
      <c r="K138" s="30">
        <f t="shared" si="26"/>
        <v>0</v>
      </c>
      <c r="L138" s="5"/>
      <c r="M138" s="30">
        <f t="shared" si="27"/>
        <v>0</v>
      </c>
      <c r="N138" s="42">
        <f t="shared" si="28"/>
        <v>0</v>
      </c>
      <c r="O138" s="43">
        <f t="shared" si="29"/>
        <v>0</v>
      </c>
      <c r="P138" s="43">
        <f t="shared" si="30"/>
        <v>-0.34013437099999999</v>
      </c>
      <c r="Q138" s="43">
        <f t="shared" si="31"/>
        <v>-0.34013437099999999</v>
      </c>
      <c r="R138" s="43">
        <f t="shared" si="32"/>
        <v>0.11569139033556564</v>
      </c>
    </row>
    <row r="139" spans="1:18" x14ac:dyDescent="0.3">
      <c r="A139" s="47">
        <v>38121</v>
      </c>
      <c r="B139" s="48">
        <v>0</v>
      </c>
      <c r="C139" s="49">
        <v>0</v>
      </c>
      <c r="D139" s="10">
        <f t="shared" si="24"/>
        <v>-0.38980777739764078</v>
      </c>
      <c r="E139" s="10">
        <f t="shared" si="25"/>
        <v>-0.68571147540983624</v>
      </c>
      <c r="F139" s="10">
        <f t="shared" si="23"/>
        <v>0.15195010331968867</v>
      </c>
      <c r="G139" s="10">
        <f t="shared" si="23"/>
        <v>0.47020022750873447</v>
      </c>
      <c r="H139" s="11">
        <f t="shared" si="3"/>
        <v>0.26729566616556527</v>
      </c>
      <c r="I139" s="12">
        <f t="shared" si="4"/>
        <v>0</v>
      </c>
      <c r="J139" s="28">
        <f t="shared" si="5"/>
        <v>0</v>
      </c>
      <c r="K139" s="30">
        <f t="shared" si="26"/>
        <v>0</v>
      </c>
      <c r="L139" s="5"/>
      <c r="M139" s="30">
        <f t="shared" si="27"/>
        <v>0</v>
      </c>
      <c r="N139" s="42">
        <f t="shared" si="28"/>
        <v>0</v>
      </c>
      <c r="O139" s="43">
        <f t="shared" si="29"/>
        <v>0</v>
      </c>
      <c r="P139" s="43">
        <f t="shared" si="30"/>
        <v>-0.34013437099999999</v>
      </c>
      <c r="Q139" s="43">
        <f t="shared" si="31"/>
        <v>-0.34013437099999999</v>
      </c>
      <c r="R139" s="43">
        <f t="shared" si="32"/>
        <v>0.11569139033556564</v>
      </c>
    </row>
    <row r="140" spans="1:18" x14ac:dyDescent="0.3">
      <c r="A140" s="47">
        <v>38122</v>
      </c>
      <c r="B140" s="48">
        <v>0</v>
      </c>
      <c r="C140" s="49">
        <v>0.24410000000000001</v>
      </c>
      <c r="D140" s="10">
        <f t="shared" si="24"/>
        <v>-0.38980777739764078</v>
      </c>
      <c r="E140" s="10">
        <f t="shared" si="25"/>
        <v>-0.44161147540983625</v>
      </c>
      <c r="F140" s="10">
        <f t="shared" si="23"/>
        <v>0.15195010331968867</v>
      </c>
      <c r="G140" s="10">
        <f t="shared" si="23"/>
        <v>0.1950206952136524</v>
      </c>
      <c r="H140" s="11">
        <f t="shared" si="3"/>
        <v>0.17214358770280117</v>
      </c>
      <c r="I140" s="12">
        <f t="shared" si="4"/>
        <v>0.24410000000000001</v>
      </c>
      <c r="J140" s="28">
        <f t="shared" si="5"/>
        <v>5.9584810000000009E-2</v>
      </c>
      <c r="K140" s="30">
        <f t="shared" si="26"/>
        <v>0.24410000000000001</v>
      </c>
      <c r="L140" s="5"/>
      <c r="M140" s="30">
        <f t="shared" si="27"/>
        <v>-0.24410000000000001</v>
      </c>
      <c r="N140" s="42">
        <f t="shared" si="28"/>
        <v>-0.24410000000000001</v>
      </c>
      <c r="O140" s="43">
        <f t="shared" si="29"/>
        <v>5.9584810000000009E-2</v>
      </c>
      <c r="P140" s="43">
        <f t="shared" si="30"/>
        <v>-0.34013437099999999</v>
      </c>
      <c r="Q140" s="43">
        <f t="shared" si="31"/>
        <v>-0.34013437099999999</v>
      </c>
      <c r="R140" s="43">
        <f t="shared" si="32"/>
        <v>0.11569139033556564</v>
      </c>
    </row>
    <row r="141" spans="1:18" x14ac:dyDescent="0.3">
      <c r="A141" s="47">
        <v>38123</v>
      </c>
      <c r="B141" s="48">
        <v>0</v>
      </c>
      <c r="C141" s="49">
        <v>0</v>
      </c>
      <c r="D141" s="10">
        <f t="shared" si="24"/>
        <v>-0.38980777739764078</v>
      </c>
      <c r="E141" s="10">
        <f t="shared" si="25"/>
        <v>-0.68571147540983624</v>
      </c>
      <c r="F141" s="10">
        <f t="shared" si="23"/>
        <v>0.15195010331968867</v>
      </c>
      <c r="G141" s="10">
        <f t="shared" si="23"/>
        <v>0.47020022750873447</v>
      </c>
      <c r="H141" s="11">
        <f t="shared" si="3"/>
        <v>0.26729566616556527</v>
      </c>
      <c r="I141" s="12">
        <f t="shared" si="4"/>
        <v>0</v>
      </c>
      <c r="J141" s="28">
        <f t="shared" si="5"/>
        <v>0</v>
      </c>
      <c r="K141" s="30">
        <f t="shared" si="26"/>
        <v>0</v>
      </c>
      <c r="L141" s="5"/>
      <c r="M141" s="30">
        <f t="shared" si="27"/>
        <v>0</v>
      </c>
      <c r="N141" s="42">
        <f t="shared" si="28"/>
        <v>0</v>
      </c>
      <c r="O141" s="43">
        <f t="shared" si="29"/>
        <v>0</v>
      </c>
      <c r="P141" s="43">
        <f t="shared" si="30"/>
        <v>-0.34013437099999999</v>
      </c>
      <c r="Q141" s="43">
        <f t="shared" si="31"/>
        <v>-0.34013437099999999</v>
      </c>
      <c r="R141" s="43">
        <f t="shared" si="32"/>
        <v>0.11569139033556564</v>
      </c>
    </row>
    <row r="142" spans="1:18" x14ac:dyDescent="0.3">
      <c r="A142" s="47">
        <v>38124</v>
      </c>
      <c r="B142" s="48">
        <v>0</v>
      </c>
      <c r="C142" s="49">
        <v>0.13980000000000001</v>
      </c>
      <c r="D142" s="10">
        <f t="shared" si="24"/>
        <v>-0.38980777739764078</v>
      </c>
      <c r="E142" s="10">
        <f t="shared" si="25"/>
        <v>-0.5459114754098362</v>
      </c>
      <c r="F142" s="10">
        <f t="shared" si="23"/>
        <v>0.15195010331968867</v>
      </c>
      <c r="G142" s="10">
        <f t="shared" si="23"/>
        <v>0.29801933898414418</v>
      </c>
      <c r="H142" s="11">
        <f t="shared" si="3"/>
        <v>0.21280053888537506</v>
      </c>
      <c r="I142" s="12">
        <f t="shared" si="4"/>
        <v>0.13980000000000001</v>
      </c>
      <c r="J142" s="28">
        <f t="shared" si="5"/>
        <v>1.9544040000000002E-2</v>
      </c>
      <c r="K142" s="30">
        <f t="shared" si="26"/>
        <v>0.13980000000000001</v>
      </c>
      <c r="L142" s="5"/>
      <c r="M142" s="30">
        <f t="shared" si="27"/>
        <v>-0.13980000000000001</v>
      </c>
      <c r="N142" s="42">
        <f t="shared" si="28"/>
        <v>-0.13980000000000001</v>
      </c>
      <c r="O142" s="43">
        <f t="shared" si="29"/>
        <v>1.9544040000000002E-2</v>
      </c>
      <c r="P142" s="43">
        <f t="shared" si="30"/>
        <v>-0.34013437099999999</v>
      </c>
      <c r="Q142" s="43">
        <f t="shared" si="31"/>
        <v>-0.34013437099999999</v>
      </c>
      <c r="R142" s="43">
        <f t="shared" si="32"/>
        <v>0.11569139033556564</v>
      </c>
    </row>
    <row r="143" spans="1:18" x14ac:dyDescent="0.3">
      <c r="A143" s="47">
        <v>38125</v>
      </c>
      <c r="B143" s="48">
        <v>0.23632176220417023</v>
      </c>
      <c r="C143" s="49">
        <v>0.27950000000000003</v>
      </c>
      <c r="D143" s="10">
        <f t="shared" si="24"/>
        <v>-0.15348601519347055</v>
      </c>
      <c r="E143" s="10">
        <f t="shared" si="25"/>
        <v>-0.40621147540983621</v>
      </c>
      <c r="F143" s="10">
        <f t="shared" si="23"/>
        <v>2.3557956859970273E-2</v>
      </c>
      <c r="G143" s="10">
        <f t="shared" si="23"/>
        <v>0.16500776275463597</v>
      </c>
      <c r="H143" s="11">
        <f t="shared" si="3"/>
        <v>6.234778068651621E-2</v>
      </c>
      <c r="I143" s="12">
        <f t="shared" si="4"/>
        <v>4.3178237795829799E-2</v>
      </c>
      <c r="J143" s="28">
        <f t="shared" si="5"/>
        <v>1.8643602191532251E-3</v>
      </c>
      <c r="K143" s="30">
        <f t="shared" si="26"/>
        <v>4.3178237795829799E-2</v>
      </c>
      <c r="L143" s="5"/>
      <c r="M143" s="30">
        <f t="shared" si="27"/>
        <v>-4.3178237795829799E-2</v>
      </c>
      <c r="N143" s="42">
        <f t="shared" si="28"/>
        <v>-4.3178237795829799E-2</v>
      </c>
      <c r="O143" s="43">
        <f t="shared" si="29"/>
        <v>1.8643602191532251E-3</v>
      </c>
      <c r="P143" s="43">
        <f t="shared" si="30"/>
        <v>-0.10381260879582976</v>
      </c>
      <c r="Q143" s="43">
        <f t="shared" si="31"/>
        <v>-0.10381260879582976</v>
      </c>
      <c r="R143" s="43">
        <f t="shared" si="32"/>
        <v>1.0777057744995992E-2</v>
      </c>
    </row>
    <row r="144" spans="1:18" x14ac:dyDescent="0.3">
      <c r="A144" s="47">
        <v>38126</v>
      </c>
      <c r="B144" s="48">
        <v>1.0617351531982422</v>
      </c>
      <c r="C144" s="49">
        <v>0</v>
      </c>
      <c r="D144" s="10">
        <f t="shared" si="24"/>
        <v>0.67192737580060147</v>
      </c>
      <c r="E144" s="10">
        <f t="shared" si="25"/>
        <v>-0.68571147540983624</v>
      </c>
      <c r="F144" s="10">
        <f t="shared" si="23"/>
        <v>0.4514863983502827</v>
      </c>
      <c r="G144" s="10">
        <f t="shared" si="23"/>
        <v>0.47020022750873447</v>
      </c>
      <c r="H144" s="11">
        <f t="shared" si="3"/>
        <v>-0.46074831222848994</v>
      </c>
      <c r="I144" s="12">
        <f t="shared" si="4"/>
        <v>1.0617351531982422</v>
      </c>
      <c r="J144" s="28">
        <f t="shared" si="5"/>
        <v>1.1272815355368948</v>
      </c>
      <c r="K144" s="30">
        <f t="shared" si="26"/>
        <v>-1.0617351531982422</v>
      </c>
      <c r="L144" s="5"/>
      <c r="M144" s="30">
        <f t="shared" si="27"/>
        <v>1.0617351531982422</v>
      </c>
      <c r="N144" s="42">
        <f t="shared" si="28"/>
        <v>1.0617351531982422</v>
      </c>
      <c r="O144" s="43">
        <f t="shared" si="29"/>
        <v>1.1272815355368948</v>
      </c>
      <c r="P144" s="43">
        <f t="shared" si="30"/>
        <v>0.7216007821982422</v>
      </c>
      <c r="Q144" s="43">
        <f t="shared" si="31"/>
        <v>0.7216007821982422</v>
      </c>
      <c r="R144" s="43">
        <f t="shared" si="32"/>
        <v>0.520707688869115</v>
      </c>
    </row>
    <row r="145" spans="1:18" x14ac:dyDescent="0.3">
      <c r="A145" s="47">
        <v>38127</v>
      </c>
      <c r="B145" s="48">
        <v>0.33342942595481873</v>
      </c>
      <c r="C145" s="49">
        <v>0</v>
      </c>
      <c r="D145" s="10">
        <f t="shared" si="24"/>
        <v>-5.637835144282205E-2</v>
      </c>
      <c r="E145" s="10">
        <f t="shared" si="25"/>
        <v>-0.68571147540983624</v>
      </c>
      <c r="F145" s="10">
        <f t="shared" si="23"/>
        <v>3.178518511410355E-3</v>
      </c>
      <c r="G145" s="10">
        <f t="shared" si="23"/>
        <v>0.47020022750873447</v>
      </c>
      <c r="H145" s="11">
        <f t="shared" si="3"/>
        <v>3.8659282549031775E-2</v>
      </c>
      <c r="I145" s="12">
        <f t="shared" si="4"/>
        <v>0.33342942595481873</v>
      </c>
      <c r="J145" s="28">
        <f t="shared" si="5"/>
        <v>0.11117518209255994</v>
      </c>
      <c r="K145" s="30">
        <f t="shared" si="26"/>
        <v>-0.33342942595481873</v>
      </c>
      <c r="L145" s="5"/>
      <c r="M145" s="30">
        <f t="shared" si="27"/>
        <v>0.33342942595481873</v>
      </c>
      <c r="N145" s="42">
        <f t="shared" si="28"/>
        <v>0.33342942595481873</v>
      </c>
      <c r="O145" s="43">
        <f t="shared" si="29"/>
        <v>0.11117518209255994</v>
      </c>
      <c r="P145" s="43">
        <f t="shared" si="30"/>
        <v>-6.7049450451812653E-3</v>
      </c>
      <c r="Q145" s="43">
        <f t="shared" si="31"/>
        <v>-6.7049450451812653E-3</v>
      </c>
      <c r="R145" s="43">
        <f t="shared" si="32"/>
        <v>4.4956288058900803E-5</v>
      </c>
    </row>
    <row r="146" spans="1:18" x14ac:dyDescent="0.3">
      <c r="A146" s="47">
        <v>38128</v>
      </c>
      <c r="B146" s="48">
        <v>0</v>
      </c>
      <c r="C146" s="49">
        <v>0</v>
      </c>
      <c r="D146" s="10">
        <f t="shared" si="24"/>
        <v>-0.38980777739764078</v>
      </c>
      <c r="E146" s="10">
        <f t="shared" si="25"/>
        <v>-0.68571147540983624</v>
      </c>
      <c r="F146" s="10">
        <f t="shared" si="23"/>
        <v>0.15195010331968867</v>
      </c>
      <c r="G146" s="10">
        <f t="shared" si="23"/>
        <v>0.47020022750873447</v>
      </c>
      <c r="H146" s="11">
        <f t="shared" si="3"/>
        <v>0.26729566616556527</v>
      </c>
      <c r="I146" s="12">
        <f t="shared" si="4"/>
        <v>0</v>
      </c>
      <c r="J146" s="28">
        <f t="shared" si="5"/>
        <v>0</v>
      </c>
      <c r="K146" s="30">
        <f t="shared" si="26"/>
        <v>0</v>
      </c>
      <c r="L146" s="5"/>
      <c r="M146" s="30">
        <f t="shared" si="27"/>
        <v>0</v>
      </c>
      <c r="N146" s="42">
        <f t="shared" si="28"/>
        <v>0</v>
      </c>
      <c r="O146" s="43">
        <f t="shared" si="29"/>
        <v>0</v>
      </c>
      <c r="P146" s="43">
        <f t="shared" si="30"/>
        <v>-0.34013437099999999</v>
      </c>
      <c r="Q146" s="43">
        <f t="shared" si="31"/>
        <v>-0.34013437099999999</v>
      </c>
      <c r="R146" s="43">
        <f t="shared" si="32"/>
        <v>0.11569139033556564</v>
      </c>
    </row>
    <row r="147" spans="1:18" x14ac:dyDescent="0.3">
      <c r="A147" s="47">
        <v>38129</v>
      </c>
      <c r="B147" s="48">
        <v>0</v>
      </c>
      <c r="C147" s="49">
        <v>0</v>
      </c>
      <c r="D147" s="10">
        <f t="shared" si="24"/>
        <v>-0.38980777739764078</v>
      </c>
      <c r="E147" s="10">
        <f t="shared" si="25"/>
        <v>-0.68571147540983624</v>
      </c>
      <c r="F147" s="10">
        <f t="shared" si="23"/>
        <v>0.15195010331968867</v>
      </c>
      <c r="G147" s="10">
        <f t="shared" si="23"/>
        <v>0.47020022750873447</v>
      </c>
      <c r="H147" s="11">
        <f t="shared" si="3"/>
        <v>0.26729566616556527</v>
      </c>
      <c r="I147" s="12">
        <f t="shared" si="4"/>
        <v>0</v>
      </c>
      <c r="J147" s="28">
        <f t="shared" si="5"/>
        <v>0</v>
      </c>
      <c r="K147" s="30">
        <f t="shared" si="26"/>
        <v>0</v>
      </c>
      <c r="L147" s="5"/>
      <c r="M147" s="30">
        <f t="shared" si="27"/>
        <v>0</v>
      </c>
      <c r="N147" s="42">
        <f t="shared" si="28"/>
        <v>0</v>
      </c>
      <c r="O147" s="43">
        <f t="shared" si="29"/>
        <v>0</v>
      </c>
      <c r="P147" s="43">
        <f t="shared" si="30"/>
        <v>-0.34013437099999999</v>
      </c>
      <c r="Q147" s="43">
        <f t="shared" si="31"/>
        <v>-0.34013437099999999</v>
      </c>
      <c r="R147" s="43">
        <f t="shared" si="32"/>
        <v>0.11569139033556564</v>
      </c>
    </row>
    <row r="148" spans="1:18" x14ac:dyDescent="0.3">
      <c r="A148" s="47">
        <v>38130</v>
      </c>
      <c r="B148" s="48">
        <v>0</v>
      </c>
      <c r="C148" s="49">
        <v>0</v>
      </c>
      <c r="D148" s="10">
        <f t="shared" si="24"/>
        <v>-0.38980777739764078</v>
      </c>
      <c r="E148" s="10">
        <f t="shared" si="25"/>
        <v>-0.68571147540983624</v>
      </c>
      <c r="F148" s="10">
        <f t="shared" si="23"/>
        <v>0.15195010331968867</v>
      </c>
      <c r="G148" s="10">
        <f t="shared" si="23"/>
        <v>0.47020022750873447</v>
      </c>
      <c r="H148" s="11">
        <f t="shared" si="3"/>
        <v>0.26729566616556527</v>
      </c>
      <c r="I148" s="12">
        <f t="shared" si="4"/>
        <v>0</v>
      </c>
      <c r="J148" s="28">
        <f t="shared" si="5"/>
        <v>0</v>
      </c>
      <c r="K148" s="30">
        <f t="shared" si="26"/>
        <v>0</v>
      </c>
      <c r="L148" s="5"/>
      <c r="M148" s="30">
        <f t="shared" si="27"/>
        <v>0</v>
      </c>
      <c r="N148" s="42">
        <f t="shared" si="28"/>
        <v>0</v>
      </c>
      <c r="O148" s="43">
        <f t="shared" si="29"/>
        <v>0</v>
      </c>
      <c r="P148" s="43">
        <f t="shared" si="30"/>
        <v>-0.34013437099999999</v>
      </c>
      <c r="Q148" s="43">
        <f t="shared" si="31"/>
        <v>-0.34013437099999999</v>
      </c>
      <c r="R148" s="43">
        <f t="shared" si="32"/>
        <v>0.11569139033556564</v>
      </c>
    </row>
    <row r="149" spans="1:18" x14ac:dyDescent="0.3">
      <c r="A149" s="47">
        <v>38131</v>
      </c>
      <c r="B149" s="48">
        <v>0</v>
      </c>
      <c r="C149" s="49">
        <v>0</v>
      </c>
      <c r="D149" s="10">
        <f t="shared" si="24"/>
        <v>-0.38980777739764078</v>
      </c>
      <c r="E149" s="10">
        <f t="shared" si="25"/>
        <v>-0.68571147540983624</v>
      </c>
      <c r="F149" s="10">
        <f t="shared" ref="F149:G212" si="33">D149^2</f>
        <v>0.15195010331968867</v>
      </c>
      <c r="G149" s="10">
        <f t="shared" si="33"/>
        <v>0.47020022750873447</v>
      </c>
      <c r="H149" s="11">
        <f t="shared" si="3"/>
        <v>0.26729566616556527</v>
      </c>
      <c r="I149" s="12">
        <f t="shared" si="4"/>
        <v>0</v>
      </c>
      <c r="J149" s="28">
        <f t="shared" si="5"/>
        <v>0</v>
      </c>
      <c r="K149" s="30">
        <f t="shared" si="26"/>
        <v>0</v>
      </c>
      <c r="L149" s="5"/>
      <c r="M149" s="30">
        <f t="shared" si="27"/>
        <v>0</v>
      </c>
      <c r="N149" s="42">
        <f t="shared" si="28"/>
        <v>0</v>
      </c>
      <c r="O149" s="43">
        <f t="shared" si="29"/>
        <v>0</v>
      </c>
      <c r="P149" s="43">
        <f t="shared" si="30"/>
        <v>-0.34013437099999999</v>
      </c>
      <c r="Q149" s="43">
        <f t="shared" si="31"/>
        <v>-0.34013437099999999</v>
      </c>
      <c r="R149" s="43">
        <f t="shared" si="32"/>
        <v>0.11569139033556564</v>
      </c>
    </row>
    <row r="150" spans="1:18" x14ac:dyDescent="0.3">
      <c r="A150" s="47">
        <v>38132</v>
      </c>
      <c r="B150" s="48">
        <v>0</v>
      </c>
      <c r="C150" s="49">
        <v>0</v>
      </c>
      <c r="D150" s="10">
        <f t="shared" si="24"/>
        <v>-0.38980777739764078</v>
      </c>
      <c r="E150" s="10">
        <f t="shared" si="25"/>
        <v>-0.68571147540983624</v>
      </c>
      <c r="F150" s="10">
        <f t="shared" si="33"/>
        <v>0.15195010331968867</v>
      </c>
      <c r="G150" s="10">
        <f t="shared" si="33"/>
        <v>0.47020022750873447</v>
      </c>
      <c r="H150" s="11">
        <f t="shared" si="3"/>
        <v>0.26729566616556527</v>
      </c>
      <c r="I150" s="12">
        <f t="shared" si="4"/>
        <v>0</v>
      </c>
      <c r="J150" s="28">
        <f t="shared" si="5"/>
        <v>0</v>
      </c>
      <c r="K150" s="30">
        <f t="shared" si="26"/>
        <v>0</v>
      </c>
      <c r="L150" s="5"/>
      <c r="M150" s="30">
        <f t="shared" si="27"/>
        <v>0</v>
      </c>
      <c r="N150" s="42">
        <f t="shared" si="28"/>
        <v>0</v>
      </c>
      <c r="O150" s="43">
        <f t="shared" si="29"/>
        <v>0</v>
      </c>
      <c r="P150" s="43">
        <f t="shared" si="30"/>
        <v>-0.34013437099999999</v>
      </c>
      <c r="Q150" s="43">
        <f t="shared" si="31"/>
        <v>-0.34013437099999999</v>
      </c>
      <c r="R150" s="43">
        <f t="shared" si="32"/>
        <v>0.11569139033556564</v>
      </c>
    </row>
    <row r="151" spans="1:18" x14ac:dyDescent="0.3">
      <c r="A151" s="47">
        <v>38133</v>
      </c>
      <c r="B151" s="48">
        <v>0</v>
      </c>
      <c r="C151" s="49">
        <v>0</v>
      </c>
      <c r="D151" s="10">
        <f t="shared" si="24"/>
        <v>-0.38980777739764078</v>
      </c>
      <c r="E151" s="10">
        <f t="shared" si="25"/>
        <v>-0.68571147540983624</v>
      </c>
      <c r="F151" s="10">
        <f t="shared" si="33"/>
        <v>0.15195010331968867</v>
      </c>
      <c r="G151" s="10">
        <f t="shared" si="33"/>
        <v>0.47020022750873447</v>
      </c>
      <c r="H151" s="11">
        <f t="shared" si="3"/>
        <v>0.26729566616556527</v>
      </c>
      <c r="I151" s="12">
        <f t="shared" si="4"/>
        <v>0</v>
      </c>
      <c r="J151" s="28">
        <f t="shared" si="5"/>
        <v>0</v>
      </c>
      <c r="K151" s="30">
        <f t="shared" si="26"/>
        <v>0</v>
      </c>
      <c r="L151" s="5"/>
      <c r="M151" s="30">
        <f t="shared" si="27"/>
        <v>0</v>
      </c>
      <c r="N151" s="42">
        <f t="shared" si="28"/>
        <v>0</v>
      </c>
      <c r="O151" s="43">
        <f t="shared" si="29"/>
        <v>0</v>
      </c>
      <c r="P151" s="43">
        <f t="shared" si="30"/>
        <v>-0.34013437099999999</v>
      </c>
      <c r="Q151" s="43">
        <f t="shared" si="31"/>
        <v>-0.34013437099999999</v>
      </c>
      <c r="R151" s="43">
        <f t="shared" si="32"/>
        <v>0.11569139033556564</v>
      </c>
    </row>
    <row r="152" spans="1:18" x14ac:dyDescent="0.3">
      <c r="A152" s="47">
        <v>38134</v>
      </c>
      <c r="B152" s="48">
        <v>0</v>
      </c>
      <c r="C152" s="49">
        <v>0</v>
      </c>
      <c r="D152" s="10">
        <f t="shared" si="24"/>
        <v>-0.38980777739764078</v>
      </c>
      <c r="E152" s="10">
        <f t="shared" si="25"/>
        <v>-0.68571147540983624</v>
      </c>
      <c r="F152" s="10">
        <f t="shared" si="33"/>
        <v>0.15195010331968867</v>
      </c>
      <c r="G152" s="10">
        <f t="shared" si="33"/>
        <v>0.47020022750873447</v>
      </c>
      <c r="H152" s="11">
        <f t="shared" si="3"/>
        <v>0.26729566616556527</v>
      </c>
      <c r="I152" s="12">
        <f t="shared" si="4"/>
        <v>0</v>
      </c>
      <c r="J152" s="28">
        <f t="shared" si="5"/>
        <v>0</v>
      </c>
      <c r="K152" s="30">
        <f t="shared" si="26"/>
        <v>0</v>
      </c>
      <c r="L152" s="5"/>
      <c r="M152" s="30">
        <f t="shared" si="27"/>
        <v>0</v>
      </c>
      <c r="N152" s="42">
        <f t="shared" si="28"/>
        <v>0</v>
      </c>
      <c r="O152" s="43">
        <f t="shared" si="29"/>
        <v>0</v>
      </c>
      <c r="P152" s="43">
        <f t="shared" si="30"/>
        <v>-0.34013437099999999</v>
      </c>
      <c r="Q152" s="43">
        <f t="shared" si="31"/>
        <v>-0.34013437099999999</v>
      </c>
      <c r="R152" s="43">
        <f t="shared" si="32"/>
        <v>0.11569139033556564</v>
      </c>
    </row>
    <row r="153" spans="1:18" x14ac:dyDescent="0.3">
      <c r="A153" s="47">
        <v>38135</v>
      </c>
      <c r="B153" s="48">
        <v>0</v>
      </c>
      <c r="C153" s="49">
        <v>0</v>
      </c>
      <c r="D153" s="10">
        <f t="shared" si="24"/>
        <v>-0.38980777739764078</v>
      </c>
      <c r="E153" s="10">
        <f t="shared" si="25"/>
        <v>-0.68571147540983624</v>
      </c>
      <c r="F153" s="10">
        <f t="shared" si="33"/>
        <v>0.15195010331968867</v>
      </c>
      <c r="G153" s="10">
        <f t="shared" si="33"/>
        <v>0.47020022750873447</v>
      </c>
      <c r="H153" s="11">
        <f t="shared" si="3"/>
        <v>0.26729566616556527</v>
      </c>
      <c r="I153" s="12">
        <f t="shared" si="4"/>
        <v>0</v>
      </c>
      <c r="J153" s="28">
        <f t="shared" si="5"/>
        <v>0</v>
      </c>
      <c r="K153" s="30">
        <f t="shared" si="26"/>
        <v>0</v>
      </c>
      <c r="L153" s="5"/>
      <c r="M153" s="30">
        <f t="shared" si="27"/>
        <v>0</v>
      </c>
      <c r="N153" s="42">
        <f t="shared" si="28"/>
        <v>0</v>
      </c>
      <c r="O153" s="43">
        <f t="shared" si="29"/>
        <v>0</v>
      </c>
      <c r="P153" s="43">
        <f t="shared" si="30"/>
        <v>-0.34013437099999999</v>
      </c>
      <c r="Q153" s="43">
        <f t="shared" si="31"/>
        <v>-0.34013437099999999</v>
      </c>
      <c r="R153" s="43">
        <f t="shared" si="32"/>
        <v>0.11569139033556564</v>
      </c>
    </row>
    <row r="154" spans="1:18" x14ac:dyDescent="0.3">
      <c r="A154" s="47">
        <v>38136</v>
      </c>
      <c r="B154" s="48">
        <v>0</v>
      </c>
      <c r="C154" s="49">
        <v>0</v>
      </c>
      <c r="D154" s="10">
        <f t="shared" si="24"/>
        <v>-0.38980777739764078</v>
      </c>
      <c r="E154" s="10">
        <f t="shared" si="25"/>
        <v>-0.68571147540983624</v>
      </c>
      <c r="F154" s="10">
        <f t="shared" si="33"/>
        <v>0.15195010331968867</v>
      </c>
      <c r="G154" s="10">
        <f t="shared" si="33"/>
        <v>0.47020022750873447</v>
      </c>
      <c r="H154" s="11">
        <f t="shared" si="3"/>
        <v>0.26729566616556527</v>
      </c>
      <c r="I154" s="12">
        <f t="shared" si="4"/>
        <v>0</v>
      </c>
      <c r="J154" s="28">
        <f t="shared" si="5"/>
        <v>0</v>
      </c>
      <c r="K154" s="30">
        <f t="shared" si="26"/>
        <v>0</v>
      </c>
      <c r="L154" s="5"/>
      <c r="M154" s="30">
        <f t="shared" si="27"/>
        <v>0</v>
      </c>
      <c r="N154" s="42">
        <f t="shared" si="28"/>
        <v>0</v>
      </c>
      <c r="O154" s="43">
        <f t="shared" si="29"/>
        <v>0</v>
      </c>
      <c r="P154" s="43">
        <f t="shared" si="30"/>
        <v>-0.34013437099999999</v>
      </c>
      <c r="Q154" s="43">
        <f t="shared" si="31"/>
        <v>-0.34013437099999999</v>
      </c>
      <c r="R154" s="43">
        <f t="shared" si="32"/>
        <v>0.11569139033556564</v>
      </c>
    </row>
    <row r="155" spans="1:18" x14ac:dyDescent="0.3">
      <c r="A155" s="47">
        <v>38137</v>
      </c>
      <c r="B155" s="48">
        <v>0</v>
      </c>
      <c r="C155" s="49">
        <v>0</v>
      </c>
      <c r="D155" s="10">
        <f t="shared" si="24"/>
        <v>-0.38980777739764078</v>
      </c>
      <c r="E155" s="10">
        <f t="shared" si="25"/>
        <v>-0.68571147540983624</v>
      </c>
      <c r="F155" s="10">
        <f t="shared" si="33"/>
        <v>0.15195010331968867</v>
      </c>
      <c r="G155" s="10">
        <f t="shared" si="33"/>
        <v>0.47020022750873447</v>
      </c>
      <c r="H155" s="11">
        <f t="shared" si="3"/>
        <v>0.26729566616556527</v>
      </c>
      <c r="I155" s="12">
        <f t="shared" si="4"/>
        <v>0</v>
      </c>
      <c r="J155" s="28">
        <f t="shared" si="5"/>
        <v>0</v>
      </c>
      <c r="K155" s="30">
        <f t="shared" si="26"/>
        <v>0</v>
      </c>
      <c r="L155" s="5"/>
      <c r="M155" s="30">
        <f t="shared" si="27"/>
        <v>0</v>
      </c>
      <c r="N155" s="42">
        <f t="shared" si="28"/>
        <v>0</v>
      </c>
      <c r="O155" s="43">
        <f t="shared" si="29"/>
        <v>0</v>
      </c>
      <c r="P155" s="43">
        <f t="shared" si="30"/>
        <v>-0.34013437099999999</v>
      </c>
      <c r="Q155" s="43">
        <f t="shared" si="31"/>
        <v>-0.34013437099999999</v>
      </c>
      <c r="R155" s="43">
        <f t="shared" si="32"/>
        <v>0.11569139033556564</v>
      </c>
    </row>
    <row r="156" spans="1:18" x14ac:dyDescent="0.3">
      <c r="A156" s="47">
        <v>38138</v>
      </c>
      <c r="B156" s="48">
        <v>0</v>
      </c>
      <c r="C156" s="49">
        <v>0</v>
      </c>
      <c r="D156" s="10">
        <f t="shared" si="24"/>
        <v>-0.38980777739764078</v>
      </c>
      <c r="E156" s="10">
        <f t="shared" si="25"/>
        <v>-0.68571147540983624</v>
      </c>
      <c r="F156" s="10">
        <f t="shared" si="33"/>
        <v>0.15195010331968867</v>
      </c>
      <c r="G156" s="10">
        <f t="shared" si="33"/>
        <v>0.47020022750873447</v>
      </c>
      <c r="H156" s="11">
        <f t="shared" si="3"/>
        <v>0.26729566616556527</v>
      </c>
      <c r="I156" s="12">
        <f t="shared" si="4"/>
        <v>0</v>
      </c>
      <c r="J156" s="28">
        <f t="shared" si="5"/>
        <v>0</v>
      </c>
      <c r="K156" s="30">
        <f t="shared" si="26"/>
        <v>0</v>
      </c>
      <c r="L156" s="5"/>
      <c r="M156" s="30">
        <f t="shared" si="27"/>
        <v>0</v>
      </c>
      <c r="N156" s="42">
        <f t="shared" si="28"/>
        <v>0</v>
      </c>
      <c r="O156" s="43">
        <f t="shared" si="29"/>
        <v>0</v>
      </c>
      <c r="P156" s="43">
        <f t="shared" si="30"/>
        <v>-0.34013437099999999</v>
      </c>
      <c r="Q156" s="43">
        <f t="shared" si="31"/>
        <v>-0.34013437099999999</v>
      </c>
      <c r="R156" s="43">
        <f t="shared" si="32"/>
        <v>0.11569139033556564</v>
      </c>
    </row>
    <row r="157" spans="1:18" x14ac:dyDescent="0.3">
      <c r="A157" s="47">
        <v>38139</v>
      </c>
      <c r="B157" s="48">
        <v>0</v>
      </c>
      <c r="C157" s="49">
        <v>0</v>
      </c>
      <c r="D157" s="10">
        <f t="shared" si="24"/>
        <v>-0.38980777739764078</v>
      </c>
      <c r="E157" s="10">
        <f t="shared" si="25"/>
        <v>-0.68571147540983624</v>
      </c>
      <c r="F157" s="10">
        <f t="shared" si="33"/>
        <v>0.15195010331968867</v>
      </c>
      <c r="G157" s="10">
        <f t="shared" si="33"/>
        <v>0.47020022750873447</v>
      </c>
      <c r="H157" s="11">
        <f t="shared" si="3"/>
        <v>0.26729566616556527</v>
      </c>
      <c r="I157" s="12">
        <f t="shared" si="4"/>
        <v>0</v>
      </c>
      <c r="J157" s="28">
        <f t="shared" si="5"/>
        <v>0</v>
      </c>
      <c r="K157" s="30">
        <f t="shared" si="26"/>
        <v>0</v>
      </c>
      <c r="L157" s="5"/>
      <c r="M157" s="30">
        <f t="shared" si="27"/>
        <v>0</v>
      </c>
      <c r="N157" s="42">
        <f t="shared" si="28"/>
        <v>0</v>
      </c>
      <c r="O157" s="43">
        <f t="shared" si="29"/>
        <v>0</v>
      </c>
      <c r="P157" s="43">
        <f t="shared" si="30"/>
        <v>-0.34013437099999999</v>
      </c>
      <c r="Q157" s="43">
        <f t="shared" si="31"/>
        <v>-0.34013437099999999</v>
      </c>
      <c r="R157" s="43">
        <f t="shared" si="32"/>
        <v>0.11569139033556564</v>
      </c>
    </row>
    <row r="158" spans="1:18" x14ac:dyDescent="0.3">
      <c r="A158" s="47">
        <v>38140</v>
      </c>
      <c r="B158" s="48">
        <v>0</v>
      </c>
      <c r="C158" s="49">
        <v>0</v>
      </c>
      <c r="D158" s="10">
        <f t="shared" si="24"/>
        <v>-0.38980777739764078</v>
      </c>
      <c r="E158" s="10">
        <f t="shared" si="25"/>
        <v>-0.68571147540983624</v>
      </c>
      <c r="F158" s="10">
        <f t="shared" si="33"/>
        <v>0.15195010331968867</v>
      </c>
      <c r="G158" s="10">
        <f t="shared" si="33"/>
        <v>0.47020022750873447</v>
      </c>
      <c r="H158" s="11">
        <f t="shared" si="3"/>
        <v>0.26729566616556527</v>
      </c>
      <c r="I158" s="12">
        <f t="shared" si="4"/>
        <v>0</v>
      </c>
      <c r="J158" s="28">
        <f t="shared" si="5"/>
        <v>0</v>
      </c>
      <c r="K158" s="30">
        <f t="shared" si="26"/>
        <v>0</v>
      </c>
      <c r="L158" s="5"/>
      <c r="M158" s="30">
        <f t="shared" si="27"/>
        <v>0</v>
      </c>
      <c r="N158" s="42">
        <f t="shared" si="28"/>
        <v>0</v>
      </c>
      <c r="O158" s="43">
        <f t="shared" si="29"/>
        <v>0</v>
      </c>
      <c r="P158" s="43">
        <f t="shared" si="30"/>
        <v>-0.34013437099999999</v>
      </c>
      <c r="Q158" s="43">
        <f t="shared" si="31"/>
        <v>-0.34013437099999999</v>
      </c>
      <c r="R158" s="43">
        <f t="shared" si="32"/>
        <v>0.11569139033556564</v>
      </c>
    </row>
    <row r="159" spans="1:18" x14ac:dyDescent="0.3">
      <c r="A159" s="47">
        <v>38141</v>
      </c>
      <c r="B159" s="48">
        <v>0</v>
      </c>
      <c r="C159" s="49">
        <v>0</v>
      </c>
      <c r="D159" s="10">
        <f t="shared" si="24"/>
        <v>-0.38980777739764078</v>
      </c>
      <c r="E159" s="10">
        <f t="shared" si="25"/>
        <v>-0.68571147540983624</v>
      </c>
      <c r="F159" s="10">
        <f t="shared" si="33"/>
        <v>0.15195010331968867</v>
      </c>
      <c r="G159" s="10">
        <f t="shared" si="33"/>
        <v>0.47020022750873447</v>
      </c>
      <c r="H159" s="11">
        <f t="shared" si="3"/>
        <v>0.26729566616556527</v>
      </c>
      <c r="I159" s="12">
        <f t="shared" si="4"/>
        <v>0</v>
      </c>
      <c r="J159" s="28">
        <f t="shared" si="5"/>
        <v>0</v>
      </c>
      <c r="K159" s="30">
        <f t="shared" si="26"/>
        <v>0</v>
      </c>
      <c r="L159" s="5"/>
      <c r="M159" s="30">
        <f t="shared" si="27"/>
        <v>0</v>
      </c>
      <c r="N159" s="42">
        <f t="shared" si="28"/>
        <v>0</v>
      </c>
      <c r="O159" s="43">
        <f t="shared" si="29"/>
        <v>0</v>
      </c>
      <c r="P159" s="43">
        <f t="shared" si="30"/>
        <v>-0.34013437099999999</v>
      </c>
      <c r="Q159" s="43">
        <f t="shared" si="31"/>
        <v>-0.34013437099999999</v>
      </c>
      <c r="R159" s="43">
        <f t="shared" si="32"/>
        <v>0.11569139033556564</v>
      </c>
    </row>
    <row r="160" spans="1:18" x14ac:dyDescent="0.3">
      <c r="A160" s="47">
        <v>38142</v>
      </c>
      <c r="B160" s="48">
        <v>0</v>
      </c>
      <c r="C160" s="49">
        <v>0</v>
      </c>
      <c r="D160" s="10">
        <f t="shared" si="24"/>
        <v>-0.38980777739764078</v>
      </c>
      <c r="E160" s="10">
        <f t="shared" si="25"/>
        <v>-0.68571147540983624</v>
      </c>
      <c r="F160" s="10">
        <f t="shared" si="33"/>
        <v>0.15195010331968867</v>
      </c>
      <c r="G160" s="10">
        <f t="shared" si="33"/>
        <v>0.47020022750873447</v>
      </c>
      <c r="H160" s="11">
        <f t="shared" si="3"/>
        <v>0.26729566616556527</v>
      </c>
      <c r="I160" s="12">
        <f t="shared" si="4"/>
        <v>0</v>
      </c>
      <c r="J160" s="28">
        <f t="shared" si="5"/>
        <v>0</v>
      </c>
      <c r="K160" s="30">
        <f t="shared" si="26"/>
        <v>0</v>
      </c>
      <c r="L160" s="5"/>
      <c r="M160" s="30">
        <f t="shared" si="27"/>
        <v>0</v>
      </c>
      <c r="N160" s="42">
        <f t="shared" si="28"/>
        <v>0</v>
      </c>
      <c r="O160" s="43">
        <f t="shared" si="29"/>
        <v>0</v>
      </c>
      <c r="P160" s="43">
        <f t="shared" si="30"/>
        <v>-0.34013437099999999</v>
      </c>
      <c r="Q160" s="43">
        <f t="shared" si="31"/>
        <v>-0.34013437099999999</v>
      </c>
      <c r="R160" s="43">
        <f t="shared" si="32"/>
        <v>0.11569139033556564</v>
      </c>
    </row>
    <row r="161" spans="1:18" x14ac:dyDescent="0.3">
      <c r="A161" s="47">
        <v>38143</v>
      </c>
      <c r="B161" s="48">
        <v>0</v>
      </c>
      <c r="C161" s="49">
        <v>0</v>
      </c>
      <c r="D161" s="10">
        <f t="shared" si="24"/>
        <v>-0.38980777739764078</v>
      </c>
      <c r="E161" s="10">
        <f t="shared" si="25"/>
        <v>-0.68571147540983624</v>
      </c>
      <c r="F161" s="10">
        <f t="shared" si="33"/>
        <v>0.15195010331968867</v>
      </c>
      <c r="G161" s="10">
        <f t="shared" si="33"/>
        <v>0.47020022750873447</v>
      </c>
      <c r="H161" s="11">
        <f t="shared" si="3"/>
        <v>0.26729566616556527</v>
      </c>
      <c r="I161" s="12">
        <f t="shared" si="4"/>
        <v>0</v>
      </c>
      <c r="J161" s="28">
        <f t="shared" si="5"/>
        <v>0</v>
      </c>
      <c r="K161" s="30">
        <f t="shared" si="26"/>
        <v>0</v>
      </c>
      <c r="L161" s="5"/>
      <c r="M161" s="30">
        <f t="shared" si="27"/>
        <v>0</v>
      </c>
      <c r="N161" s="42">
        <f t="shared" si="28"/>
        <v>0</v>
      </c>
      <c r="O161" s="43">
        <f t="shared" si="29"/>
        <v>0</v>
      </c>
      <c r="P161" s="43">
        <f t="shared" si="30"/>
        <v>-0.34013437099999999</v>
      </c>
      <c r="Q161" s="43">
        <f t="shared" si="31"/>
        <v>-0.34013437099999999</v>
      </c>
      <c r="R161" s="43">
        <f t="shared" si="32"/>
        <v>0.11569139033556564</v>
      </c>
    </row>
    <row r="162" spans="1:18" x14ac:dyDescent="0.3">
      <c r="A162" s="47">
        <v>38144</v>
      </c>
      <c r="B162" s="48">
        <v>0</v>
      </c>
      <c r="C162" s="49">
        <v>0</v>
      </c>
      <c r="D162" s="10">
        <f t="shared" si="24"/>
        <v>-0.38980777739764078</v>
      </c>
      <c r="E162" s="10">
        <f t="shared" si="25"/>
        <v>-0.68571147540983624</v>
      </c>
      <c r="F162" s="10">
        <f t="shared" si="33"/>
        <v>0.15195010331968867</v>
      </c>
      <c r="G162" s="10">
        <f t="shared" si="33"/>
        <v>0.47020022750873447</v>
      </c>
      <c r="H162" s="11">
        <f t="shared" si="3"/>
        <v>0.26729566616556527</v>
      </c>
      <c r="I162" s="12">
        <f t="shared" si="4"/>
        <v>0</v>
      </c>
      <c r="J162" s="28">
        <f t="shared" si="5"/>
        <v>0</v>
      </c>
      <c r="K162" s="30">
        <f t="shared" si="26"/>
        <v>0</v>
      </c>
      <c r="L162" s="5"/>
      <c r="M162" s="30">
        <f t="shared" si="27"/>
        <v>0</v>
      </c>
      <c r="N162" s="42">
        <f t="shared" si="28"/>
        <v>0</v>
      </c>
      <c r="O162" s="43">
        <f t="shared" si="29"/>
        <v>0</v>
      </c>
      <c r="P162" s="43">
        <f t="shared" si="30"/>
        <v>-0.34013437099999999</v>
      </c>
      <c r="Q162" s="43">
        <f t="shared" si="31"/>
        <v>-0.34013437099999999</v>
      </c>
      <c r="R162" s="43">
        <f t="shared" si="32"/>
        <v>0.11569139033556564</v>
      </c>
    </row>
    <row r="163" spans="1:18" x14ac:dyDescent="0.3">
      <c r="A163" s="47">
        <v>38145</v>
      </c>
      <c r="B163" s="48">
        <v>0</v>
      </c>
      <c r="C163" s="49">
        <v>0</v>
      </c>
      <c r="D163" s="10">
        <f t="shared" si="24"/>
        <v>-0.38980777739764078</v>
      </c>
      <c r="E163" s="10">
        <f t="shared" si="25"/>
        <v>-0.68571147540983624</v>
      </c>
      <c r="F163" s="10">
        <f t="shared" si="33"/>
        <v>0.15195010331968867</v>
      </c>
      <c r="G163" s="10">
        <f t="shared" si="33"/>
        <v>0.47020022750873447</v>
      </c>
      <c r="H163" s="11">
        <f t="shared" si="3"/>
        <v>0.26729566616556527</v>
      </c>
      <c r="I163" s="12">
        <f t="shared" si="4"/>
        <v>0</v>
      </c>
      <c r="J163" s="28">
        <f t="shared" si="5"/>
        <v>0</v>
      </c>
      <c r="K163" s="30">
        <f t="shared" si="26"/>
        <v>0</v>
      </c>
      <c r="L163" s="5"/>
      <c r="M163" s="30">
        <f t="shared" si="27"/>
        <v>0</v>
      </c>
      <c r="N163" s="42">
        <f t="shared" si="28"/>
        <v>0</v>
      </c>
      <c r="O163" s="43">
        <f t="shared" si="29"/>
        <v>0</v>
      </c>
      <c r="P163" s="43">
        <f t="shared" si="30"/>
        <v>-0.34013437099999999</v>
      </c>
      <c r="Q163" s="43">
        <f t="shared" si="31"/>
        <v>-0.34013437099999999</v>
      </c>
      <c r="R163" s="43">
        <f t="shared" si="32"/>
        <v>0.11569139033556564</v>
      </c>
    </row>
    <row r="164" spans="1:18" x14ac:dyDescent="0.3">
      <c r="A164" s="47">
        <v>38146</v>
      </c>
      <c r="B164" s="48">
        <v>0</v>
      </c>
      <c r="C164" s="49">
        <v>0</v>
      </c>
      <c r="D164" s="10">
        <f t="shared" si="24"/>
        <v>-0.38980777739764078</v>
      </c>
      <c r="E164" s="10">
        <f t="shared" si="25"/>
        <v>-0.68571147540983624</v>
      </c>
      <c r="F164" s="10">
        <f t="shared" si="33"/>
        <v>0.15195010331968867</v>
      </c>
      <c r="G164" s="10">
        <f t="shared" si="33"/>
        <v>0.47020022750873447</v>
      </c>
      <c r="H164" s="11">
        <f t="shared" si="3"/>
        <v>0.26729566616556527</v>
      </c>
      <c r="I164" s="12">
        <f t="shared" si="4"/>
        <v>0</v>
      </c>
      <c r="J164" s="28">
        <f t="shared" si="5"/>
        <v>0</v>
      </c>
      <c r="K164" s="30">
        <f t="shared" si="26"/>
        <v>0</v>
      </c>
      <c r="L164" s="5"/>
      <c r="M164" s="30">
        <f t="shared" si="27"/>
        <v>0</v>
      </c>
      <c r="N164" s="42">
        <f t="shared" si="28"/>
        <v>0</v>
      </c>
      <c r="O164" s="43">
        <f t="shared" si="29"/>
        <v>0</v>
      </c>
      <c r="P164" s="43">
        <f t="shared" si="30"/>
        <v>-0.34013437099999999</v>
      </c>
      <c r="Q164" s="43">
        <f t="shared" si="31"/>
        <v>-0.34013437099999999</v>
      </c>
      <c r="R164" s="43">
        <f t="shared" si="32"/>
        <v>0.11569139033556564</v>
      </c>
    </row>
    <row r="165" spans="1:18" x14ac:dyDescent="0.3">
      <c r="A165" s="47">
        <v>38147</v>
      </c>
      <c r="B165" s="48">
        <v>0</v>
      </c>
      <c r="C165" s="49">
        <v>0</v>
      </c>
      <c r="D165" s="10">
        <f t="shared" si="24"/>
        <v>-0.38980777739764078</v>
      </c>
      <c r="E165" s="10">
        <f t="shared" si="25"/>
        <v>-0.68571147540983624</v>
      </c>
      <c r="F165" s="10">
        <f t="shared" si="33"/>
        <v>0.15195010331968867</v>
      </c>
      <c r="G165" s="10">
        <f t="shared" si="33"/>
        <v>0.47020022750873447</v>
      </c>
      <c r="H165" s="11">
        <f t="shared" si="3"/>
        <v>0.26729566616556527</v>
      </c>
      <c r="I165" s="12">
        <f t="shared" si="4"/>
        <v>0</v>
      </c>
      <c r="J165" s="28">
        <f t="shared" si="5"/>
        <v>0</v>
      </c>
      <c r="K165" s="30">
        <f t="shared" si="26"/>
        <v>0</v>
      </c>
      <c r="L165" s="5"/>
      <c r="M165" s="30">
        <f t="shared" si="27"/>
        <v>0</v>
      </c>
      <c r="N165" s="42">
        <f t="shared" si="28"/>
        <v>0</v>
      </c>
      <c r="O165" s="43">
        <f t="shared" si="29"/>
        <v>0</v>
      </c>
      <c r="P165" s="43">
        <f t="shared" si="30"/>
        <v>-0.34013437099999999</v>
      </c>
      <c r="Q165" s="43">
        <f t="shared" si="31"/>
        <v>-0.34013437099999999</v>
      </c>
      <c r="R165" s="43">
        <f t="shared" si="32"/>
        <v>0.11569139033556564</v>
      </c>
    </row>
    <row r="166" spans="1:18" x14ac:dyDescent="0.3">
      <c r="A166" s="47">
        <v>38148</v>
      </c>
      <c r="B166" s="48">
        <v>0</v>
      </c>
      <c r="C166" s="49">
        <v>0</v>
      </c>
      <c r="D166" s="10">
        <f t="shared" si="24"/>
        <v>-0.38980777739764078</v>
      </c>
      <c r="E166" s="10">
        <f t="shared" si="25"/>
        <v>-0.68571147540983624</v>
      </c>
      <c r="F166" s="10">
        <f t="shared" si="33"/>
        <v>0.15195010331968867</v>
      </c>
      <c r="G166" s="10">
        <f t="shared" si="33"/>
        <v>0.47020022750873447</v>
      </c>
      <c r="H166" s="11">
        <f t="shared" si="3"/>
        <v>0.26729566616556527</v>
      </c>
      <c r="I166" s="12">
        <f t="shared" si="4"/>
        <v>0</v>
      </c>
      <c r="J166" s="28">
        <f t="shared" si="5"/>
        <v>0</v>
      </c>
      <c r="K166" s="30">
        <f t="shared" si="26"/>
        <v>0</v>
      </c>
      <c r="L166" s="5"/>
      <c r="M166" s="30">
        <f t="shared" si="27"/>
        <v>0</v>
      </c>
      <c r="N166" s="42">
        <f t="shared" si="28"/>
        <v>0</v>
      </c>
      <c r="O166" s="43">
        <f t="shared" si="29"/>
        <v>0</v>
      </c>
      <c r="P166" s="43">
        <f t="shared" si="30"/>
        <v>-0.34013437099999999</v>
      </c>
      <c r="Q166" s="43">
        <f t="shared" si="31"/>
        <v>-0.34013437099999999</v>
      </c>
      <c r="R166" s="43">
        <f t="shared" si="32"/>
        <v>0.11569139033556564</v>
      </c>
    </row>
    <row r="167" spans="1:18" x14ac:dyDescent="0.3">
      <c r="A167" s="47">
        <v>38149</v>
      </c>
      <c r="B167" s="48">
        <v>0</v>
      </c>
      <c r="C167" s="49">
        <v>0</v>
      </c>
      <c r="D167" s="10">
        <f t="shared" si="24"/>
        <v>-0.38980777739764078</v>
      </c>
      <c r="E167" s="10">
        <f t="shared" si="25"/>
        <v>-0.68571147540983624</v>
      </c>
      <c r="F167" s="10">
        <f t="shared" si="33"/>
        <v>0.15195010331968867</v>
      </c>
      <c r="G167" s="10">
        <f t="shared" si="33"/>
        <v>0.47020022750873447</v>
      </c>
      <c r="H167" s="11">
        <f t="shared" si="3"/>
        <v>0.26729566616556527</v>
      </c>
      <c r="I167" s="12">
        <f t="shared" si="4"/>
        <v>0</v>
      </c>
      <c r="J167" s="28">
        <f t="shared" si="5"/>
        <v>0</v>
      </c>
      <c r="K167" s="30">
        <f t="shared" si="26"/>
        <v>0</v>
      </c>
      <c r="L167" s="5"/>
      <c r="M167" s="30">
        <f t="shared" si="27"/>
        <v>0</v>
      </c>
      <c r="N167" s="42">
        <f t="shared" si="28"/>
        <v>0</v>
      </c>
      <c r="O167" s="43">
        <f t="shared" si="29"/>
        <v>0</v>
      </c>
      <c r="P167" s="43">
        <f t="shared" si="30"/>
        <v>-0.34013437099999999</v>
      </c>
      <c r="Q167" s="43">
        <f t="shared" si="31"/>
        <v>-0.34013437099999999</v>
      </c>
      <c r="R167" s="43">
        <f t="shared" si="32"/>
        <v>0.11569139033556564</v>
      </c>
    </row>
    <row r="168" spans="1:18" x14ac:dyDescent="0.3">
      <c r="A168" s="47">
        <v>38150</v>
      </c>
      <c r="B168" s="48">
        <v>0</v>
      </c>
      <c r="C168" s="49">
        <v>0</v>
      </c>
      <c r="D168" s="10">
        <f t="shared" si="24"/>
        <v>-0.38980777739764078</v>
      </c>
      <c r="E168" s="10">
        <f t="shared" si="25"/>
        <v>-0.68571147540983624</v>
      </c>
      <c r="F168" s="10">
        <f t="shared" si="33"/>
        <v>0.15195010331968867</v>
      </c>
      <c r="G168" s="10">
        <f t="shared" si="33"/>
        <v>0.47020022750873447</v>
      </c>
      <c r="H168" s="11">
        <f t="shared" si="3"/>
        <v>0.26729566616556527</v>
      </c>
      <c r="I168" s="12">
        <f t="shared" si="4"/>
        <v>0</v>
      </c>
      <c r="J168" s="28">
        <f t="shared" si="5"/>
        <v>0</v>
      </c>
      <c r="K168" s="30">
        <f t="shared" si="26"/>
        <v>0</v>
      </c>
      <c r="L168" s="5"/>
      <c r="M168" s="30">
        <f t="shared" si="27"/>
        <v>0</v>
      </c>
      <c r="N168" s="42">
        <f t="shared" si="28"/>
        <v>0</v>
      </c>
      <c r="O168" s="43">
        <f t="shared" si="29"/>
        <v>0</v>
      </c>
      <c r="P168" s="43">
        <f t="shared" si="30"/>
        <v>-0.34013437099999999</v>
      </c>
      <c r="Q168" s="43">
        <f t="shared" si="31"/>
        <v>-0.34013437099999999</v>
      </c>
      <c r="R168" s="43">
        <f t="shared" si="32"/>
        <v>0.11569139033556564</v>
      </c>
    </row>
    <row r="169" spans="1:18" x14ac:dyDescent="0.3">
      <c r="A169" s="47">
        <v>38151</v>
      </c>
      <c r="B169" s="48">
        <v>0</v>
      </c>
      <c r="C169" s="49">
        <v>0</v>
      </c>
      <c r="D169" s="10">
        <f t="shared" si="24"/>
        <v>-0.38980777739764078</v>
      </c>
      <c r="E169" s="10">
        <f t="shared" si="25"/>
        <v>-0.68571147540983624</v>
      </c>
      <c r="F169" s="10">
        <f t="shared" si="33"/>
        <v>0.15195010331968867</v>
      </c>
      <c r="G169" s="10">
        <f t="shared" si="33"/>
        <v>0.47020022750873447</v>
      </c>
      <c r="H169" s="11">
        <f t="shared" si="3"/>
        <v>0.26729566616556527</v>
      </c>
      <c r="I169" s="12">
        <f t="shared" si="4"/>
        <v>0</v>
      </c>
      <c r="J169" s="28">
        <f t="shared" si="5"/>
        <v>0</v>
      </c>
      <c r="K169" s="30">
        <f t="shared" si="26"/>
        <v>0</v>
      </c>
      <c r="L169" s="5"/>
      <c r="M169" s="30">
        <f t="shared" si="27"/>
        <v>0</v>
      </c>
      <c r="N169" s="42">
        <f t="shared" si="28"/>
        <v>0</v>
      </c>
      <c r="O169" s="43">
        <f t="shared" si="29"/>
        <v>0</v>
      </c>
      <c r="P169" s="43">
        <f t="shared" si="30"/>
        <v>-0.34013437099999999</v>
      </c>
      <c r="Q169" s="43">
        <f t="shared" si="31"/>
        <v>-0.34013437099999999</v>
      </c>
      <c r="R169" s="43">
        <f t="shared" si="32"/>
        <v>0.11569139033556564</v>
      </c>
    </row>
    <row r="170" spans="1:18" x14ac:dyDescent="0.3">
      <c r="A170" s="47">
        <v>38152</v>
      </c>
      <c r="B170" s="48">
        <v>0</v>
      </c>
      <c r="C170" s="49">
        <v>0</v>
      </c>
      <c r="D170" s="10">
        <f t="shared" si="24"/>
        <v>-0.38980777739764078</v>
      </c>
      <c r="E170" s="10">
        <f t="shared" si="25"/>
        <v>-0.68571147540983624</v>
      </c>
      <c r="F170" s="10">
        <f t="shared" si="33"/>
        <v>0.15195010331968867</v>
      </c>
      <c r="G170" s="10">
        <f t="shared" si="33"/>
        <v>0.47020022750873447</v>
      </c>
      <c r="H170" s="11">
        <f t="shared" si="3"/>
        <v>0.26729566616556527</v>
      </c>
      <c r="I170" s="12">
        <f t="shared" si="4"/>
        <v>0</v>
      </c>
      <c r="J170" s="28">
        <f t="shared" si="5"/>
        <v>0</v>
      </c>
      <c r="K170" s="30">
        <f t="shared" si="26"/>
        <v>0</v>
      </c>
      <c r="L170" s="5"/>
      <c r="M170" s="30">
        <f t="shared" si="27"/>
        <v>0</v>
      </c>
      <c r="N170" s="42">
        <f t="shared" si="28"/>
        <v>0</v>
      </c>
      <c r="O170" s="43">
        <f t="shared" si="29"/>
        <v>0</v>
      </c>
      <c r="P170" s="43">
        <f t="shared" si="30"/>
        <v>-0.34013437099999999</v>
      </c>
      <c r="Q170" s="43">
        <f t="shared" si="31"/>
        <v>-0.34013437099999999</v>
      </c>
      <c r="R170" s="43">
        <f t="shared" si="32"/>
        <v>0.11569139033556564</v>
      </c>
    </row>
    <row r="171" spans="1:18" x14ac:dyDescent="0.3">
      <c r="A171" s="47">
        <v>38153</v>
      </c>
      <c r="B171" s="48">
        <v>0</v>
      </c>
      <c r="C171" s="49">
        <v>0</v>
      </c>
      <c r="D171" s="10">
        <f t="shared" si="24"/>
        <v>-0.38980777739764078</v>
      </c>
      <c r="E171" s="10">
        <f t="shared" si="25"/>
        <v>-0.68571147540983624</v>
      </c>
      <c r="F171" s="10">
        <f t="shared" si="33"/>
        <v>0.15195010331968867</v>
      </c>
      <c r="G171" s="10">
        <f t="shared" si="33"/>
        <v>0.47020022750873447</v>
      </c>
      <c r="H171" s="11">
        <f t="shared" si="3"/>
        <v>0.26729566616556527</v>
      </c>
      <c r="I171" s="12">
        <f t="shared" si="4"/>
        <v>0</v>
      </c>
      <c r="J171" s="28">
        <f t="shared" si="5"/>
        <v>0</v>
      </c>
      <c r="K171" s="30">
        <f t="shared" si="26"/>
        <v>0</v>
      </c>
      <c r="L171" s="5"/>
      <c r="M171" s="30">
        <f t="shared" si="27"/>
        <v>0</v>
      </c>
      <c r="N171" s="42">
        <f t="shared" si="28"/>
        <v>0</v>
      </c>
      <c r="O171" s="43">
        <f t="shared" si="29"/>
        <v>0</v>
      </c>
      <c r="P171" s="43">
        <f t="shared" si="30"/>
        <v>-0.34013437099999999</v>
      </c>
      <c r="Q171" s="43">
        <f t="shared" si="31"/>
        <v>-0.34013437099999999</v>
      </c>
      <c r="R171" s="43">
        <f t="shared" si="32"/>
        <v>0.11569139033556564</v>
      </c>
    </row>
    <row r="172" spans="1:18" x14ac:dyDescent="0.3">
      <c r="A172" s="47">
        <v>38154</v>
      </c>
      <c r="B172" s="48">
        <v>0</v>
      </c>
      <c r="C172" s="49">
        <v>0</v>
      </c>
      <c r="D172" s="10">
        <f t="shared" si="24"/>
        <v>-0.38980777739764078</v>
      </c>
      <c r="E172" s="10">
        <f t="shared" si="25"/>
        <v>-0.68571147540983624</v>
      </c>
      <c r="F172" s="10">
        <f t="shared" si="33"/>
        <v>0.15195010331968867</v>
      </c>
      <c r="G172" s="10">
        <f t="shared" si="33"/>
        <v>0.47020022750873447</v>
      </c>
      <c r="H172" s="11">
        <f t="shared" si="3"/>
        <v>0.26729566616556527</v>
      </c>
      <c r="I172" s="12">
        <f t="shared" si="4"/>
        <v>0</v>
      </c>
      <c r="J172" s="28">
        <f t="shared" si="5"/>
        <v>0</v>
      </c>
      <c r="K172" s="30">
        <f t="shared" si="26"/>
        <v>0</v>
      </c>
      <c r="L172" s="5"/>
      <c r="M172" s="30">
        <f t="shared" si="27"/>
        <v>0</v>
      </c>
      <c r="N172" s="42">
        <f t="shared" si="28"/>
        <v>0</v>
      </c>
      <c r="O172" s="43">
        <f t="shared" si="29"/>
        <v>0</v>
      </c>
      <c r="P172" s="43">
        <f t="shared" si="30"/>
        <v>-0.34013437099999999</v>
      </c>
      <c r="Q172" s="43">
        <f t="shared" si="31"/>
        <v>-0.34013437099999999</v>
      </c>
      <c r="R172" s="43">
        <f t="shared" si="32"/>
        <v>0.11569139033556564</v>
      </c>
    </row>
    <row r="173" spans="1:18" x14ac:dyDescent="0.3">
      <c r="A173" s="47">
        <v>38155</v>
      </c>
      <c r="B173" s="48">
        <v>0</v>
      </c>
      <c r="C173" s="49">
        <v>0</v>
      </c>
      <c r="D173" s="10">
        <f t="shared" si="24"/>
        <v>-0.38980777739764078</v>
      </c>
      <c r="E173" s="10">
        <f t="shared" si="25"/>
        <v>-0.68571147540983624</v>
      </c>
      <c r="F173" s="10">
        <f t="shared" si="33"/>
        <v>0.15195010331968867</v>
      </c>
      <c r="G173" s="10">
        <f t="shared" si="33"/>
        <v>0.47020022750873447</v>
      </c>
      <c r="H173" s="11">
        <f t="shared" si="3"/>
        <v>0.26729566616556527</v>
      </c>
      <c r="I173" s="12">
        <f t="shared" si="4"/>
        <v>0</v>
      </c>
      <c r="J173" s="28">
        <f t="shared" si="5"/>
        <v>0</v>
      </c>
      <c r="K173" s="30">
        <f t="shared" si="26"/>
        <v>0</v>
      </c>
      <c r="L173" s="5"/>
      <c r="M173" s="30">
        <f t="shared" si="27"/>
        <v>0</v>
      </c>
      <c r="N173" s="42">
        <f t="shared" si="28"/>
        <v>0</v>
      </c>
      <c r="O173" s="43">
        <f t="shared" si="29"/>
        <v>0</v>
      </c>
      <c r="P173" s="43">
        <f t="shared" si="30"/>
        <v>-0.34013437099999999</v>
      </c>
      <c r="Q173" s="43">
        <f t="shared" si="31"/>
        <v>-0.34013437099999999</v>
      </c>
      <c r="R173" s="43">
        <f t="shared" si="32"/>
        <v>0.11569139033556564</v>
      </c>
    </row>
    <row r="174" spans="1:18" x14ac:dyDescent="0.3">
      <c r="A174" s="47">
        <v>38156</v>
      </c>
      <c r="B174" s="48">
        <v>0</v>
      </c>
      <c r="C174" s="49">
        <v>0</v>
      </c>
      <c r="D174" s="10">
        <f t="shared" si="24"/>
        <v>-0.38980777739764078</v>
      </c>
      <c r="E174" s="10">
        <f t="shared" si="25"/>
        <v>-0.68571147540983624</v>
      </c>
      <c r="F174" s="10">
        <f t="shared" si="33"/>
        <v>0.15195010331968867</v>
      </c>
      <c r="G174" s="10">
        <f t="shared" si="33"/>
        <v>0.47020022750873447</v>
      </c>
      <c r="H174" s="11">
        <f t="shared" si="3"/>
        <v>0.26729566616556527</v>
      </c>
      <c r="I174" s="12">
        <f t="shared" si="4"/>
        <v>0</v>
      </c>
      <c r="J174" s="28">
        <f t="shared" si="5"/>
        <v>0</v>
      </c>
      <c r="K174" s="30">
        <f t="shared" si="26"/>
        <v>0</v>
      </c>
      <c r="L174" s="5"/>
      <c r="M174" s="30">
        <f t="shared" si="27"/>
        <v>0</v>
      </c>
      <c r="N174" s="42">
        <f t="shared" si="28"/>
        <v>0</v>
      </c>
      <c r="O174" s="43">
        <f t="shared" si="29"/>
        <v>0</v>
      </c>
      <c r="P174" s="43">
        <f t="shared" si="30"/>
        <v>-0.34013437099999999</v>
      </c>
      <c r="Q174" s="43">
        <f t="shared" si="31"/>
        <v>-0.34013437099999999</v>
      </c>
      <c r="R174" s="43">
        <f t="shared" si="32"/>
        <v>0.11569139033556564</v>
      </c>
    </row>
    <row r="175" spans="1:18" x14ac:dyDescent="0.3">
      <c r="A175" s="47">
        <v>38157</v>
      </c>
      <c r="B175" s="48">
        <v>0</v>
      </c>
      <c r="C175" s="49">
        <v>0</v>
      </c>
      <c r="D175" s="10">
        <f t="shared" si="24"/>
        <v>-0.38980777739764078</v>
      </c>
      <c r="E175" s="10">
        <f t="shared" si="25"/>
        <v>-0.68571147540983624</v>
      </c>
      <c r="F175" s="10">
        <f t="shared" si="33"/>
        <v>0.15195010331968867</v>
      </c>
      <c r="G175" s="10">
        <f t="shared" si="33"/>
        <v>0.47020022750873447</v>
      </c>
      <c r="H175" s="11">
        <f t="shared" si="3"/>
        <v>0.26729566616556527</v>
      </c>
      <c r="I175" s="12">
        <f t="shared" si="4"/>
        <v>0</v>
      </c>
      <c r="J175" s="28">
        <f t="shared" si="5"/>
        <v>0</v>
      </c>
      <c r="K175" s="30">
        <f t="shared" si="26"/>
        <v>0</v>
      </c>
      <c r="L175" s="5"/>
      <c r="M175" s="30">
        <f t="shared" si="27"/>
        <v>0</v>
      </c>
      <c r="N175" s="42">
        <f t="shared" si="28"/>
        <v>0</v>
      </c>
      <c r="O175" s="43">
        <f t="shared" si="29"/>
        <v>0</v>
      </c>
      <c r="P175" s="43">
        <f t="shared" si="30"/>
        <v>-0.34013437099999999</v>
      </c>
      <c r="Q175" s="43">
        <f t="shared" si="31"/>
        <v>-0.34013437099999999</v>
      </c>
      <c r="R175" s="43">
        <f t="shared" si="32"/>
        <v>0.11569139033556564</v>
      </c>
    </row>
    <row r="176" spans="1:18" x14ac:dyDescent="0.3">
      <c r="A176" s="47">
        <v>38158</v>
      </c>
      <c r="B176" s="48">
        <v>0</v>
      </c>
      <c r="C176" s="49">
        <v>0</v>
      </c>
      <c r="D176" s="10">
        <f t="shared" si="24"/>
        <v>-0.38980777739764078</v>
      </c>
      <c r="E176" s="10">
        <f t="shared" si="25"/>
        <v>-0.68571147540983624</v>
      </c>
      <c r="F176" s="10">
        <f t="shared" si="33"/>
        <v>0.15195010331968867</v>
      </c>
      <c r="G176" s="10">
        <f t="shared" si="33"/>
        <v>0.47020022750873447</v>
      </c>
      <c r="H176" s="11">
        <f t="shared" si="3"/>
        <v>0.26729566616556527</v>
      </c>
      <c r="I176" s="12">
        <f t="shared" si="4"/>
        <v>0</v>
      </c>
      <c r="J176" s="28">
        <f t="shared" si="5"/>
        <v>0</v>
      </c>
      <c r="K176" s="30">
        <f t="shared" si="26"/>
        <v>0</v>
      </c>
      <c r="L176" s="5"/>
      <c r="M176" s="30">
        <f t="shared" si="27"/>
        <v>0</v>
      </c>
      <c r="N176" s="42">
        <f t="shared" si="28"/>
        <v>0</v>
      </c>
      <c r="O176" s="43">
        <f t="shared" si="29"/>
        <v>0</v>
      </c>
      <c r="P176" s="43">
        <f t="shared" si="30"/>
        <v>-0.34013437099999999</v>
      </c>
      <c r="Q176" s="43">
        <f t="shared" si="31"/>
        <v>-0.34013437099999999</v>
      </c>
      <c r="R176" s="43">
        <f t="shared" si="32"/>
        <v>0.11569139033556564</v>
      </c>
    </row>
    <row r="177" spans="1:18" x14ac:dyDescent="0.3">
      <c r="A177" s="47">
        <v>38159</v>
      </c>
      <c r="B177" s="48">
        <v>0</v>
      </c>
      <c r="C177" s="49">
        <v>0</v>
      </c>
      <c r="D177" s="10">
        <f t="shared" si="24"/>
        <v>-0.38980777739764078</v>
      </c>
      <c r="E177" s="10">
        <f t="shared" si="25"/>
        <v>-0.68571147540983624</v>
      </c>
      <c r="F177" s="10">
        <f t="shared" si="33"/>
        <v>0.15195010331968867</v>
      </c>
      <c r="G177" s="10">
        <f t="shared" si="33"/>
        <v>0.47020022750873447</v>
      </c>
      <c r="H177" s="11">
        <f t="shared" si="3"/>
        <v>0.26729566616556527</v>
      </c>
      <c r="I177" s="12">
        <f t="shared" si="4"/>
        <v>0</v>
      </c>
      <c r="J177" s="28">
        <f t="shared" si="5"/>
        <v>0</v>
      </c>
      <c r="K177" s="30">
        <f t="shared" si="26"/>
        <v>0</v>
      </c>
      <c r="L177" s="5"/>
      <c r="M177" s="30">
        <f t="shared" si="27"/>
        <v>0</v>
      </c>
      <c r="N177" s="42">
        <f t="shared" si="28"/>
        <v>0</v>
      </c>
      <c r="O177" s="43">
        <f t="shared" si="29"/>
        <v>0</v>
      </c>
      <c r="P177" s="43">
        <f t="shared" si="30"/>
        <v>-0.34013437099999999</v>
      </c>
      <c r="Q177" s="43">
        <f t="shared" si="31"/>
        <v>-0.34013437099999999</v>
      </c>
      <c r="R177" s="43">
        <f t="shared" si="32"/>
        <v>0.11569139033556564</v>
      </c>
    </row>
    <row r="178" spans="1:18" x14ac:dyDescent="0.3">
      <c r="A178" s="47">
        <v>38160</v>
      </c>
      <c r="B178" s="48">
        <v>0</v>
      </c>
      <c r="C178" s="49">
        <v>0</v>
      </c>
      <c r="D178" s="10">
        <f t="shared" si="24"/>
        <v>-0.38980777739764078</v>
      </c>
      <c r="E178" s="10">
        <f t="shared" si="25"/>
        <v>-0.68571147540983624</v>
      </c>
      <c r="F178" s="10">
        <f t="shared" si="33"/>
        <v>0.15195010331968867</v>
      </c>
      <c r="G178" s="10">
        <f t="shared" si="33"/>
        <v>0.47020022750873447</v>
      </c>
      <c r="H178" s="11">
        <f t="shared" si="3"/>
        <v>0.26729566616556527</v>
      </c>
      <c r="I178" s="12">
        <f t="shared" si="4"/>
        <v>0</v>
      </c>
      <c r="J178" s="28">
        <f t="shared" si="5"/>
        <v>0</v>
      </c>
      <c r="K178" s="30">
        <f t="shared" si="26"/>
        <v>0</v>
      </c>
      <c r="L178" s="5"/>
      <c r="M178" s="30">
        <f t="shared" si="27"/>
        <v>0</v>
      </c>
      <c r="N178" s="42">
        <f t="shared" si="28"/>
        <v>0</v>
      </c>
      <c r="O178" s="43">
        <f t="shared" si="29"/>
        <v>0</v>
      </c>
      <c r="P178" s="43">
        <f t="shared" si="30"/>
        <v>-0.34013437099999999</v>
      </c>
      <c r="Q178" s="43">
        <f t="shared" si="31"/>
        <v>-0.34013437099999999</v>
      </c>
      <c r="R178" s="43">
        <f t="shared" si="32"/>
        <v>0.11569139033556564</v>
      </c>
    </row>
    <row r="179" spans="1:18" x14ac:dyDescent="0.3">
      <c r="A179" s="47">
        <v>38161</v>
      </c>
      <c r="B179" s="48">
        <v>0</v>
      </c>
      <c r="C179" s="49">
        <v>0</v>
      </c>
      <c r="D179" s="10">
        <f t="shared" si="24"/>
        <v>-0.38980777739764078</v>
      </c>
      <c r="E179" s="10">
        <f t="shared" si="25"/>
        <v>-0.68571147540983624</v>
      </c>
      <c r="F179" s="10">
        <f t="shared" si="33"/>
        <v>0.15195010331968867</v>
      </c>
      <c r="G179" s="10">
        <f t="shared" si="33"/>
        <v>0.47020022750873447</v>
      </c>
      <c r="H179" s="11">
        <f t="shared" si="3"/>
        <v>0.26729566616556527</v>
      </c>
      <c r="I179" s="12">
        <f t="shared" si="4"/>
        <v>0</v>
      </c>
      <c r="J179" s="28">
        <f t="shared" si="5"/>
        <v>0</v>
      </c>
      <c r="K179" s="30">
        <f t="shared" si="26"/>
        <v>0</v>
      </c>
      <c r="L179" s="5"/>
      <c r="M179" s="30">
        <f t="shared" si="27"/>
        <v>0</v>
      </c>
      <c r="N179" s="42">
        <f t="shared" si="28"/>
        <v>0</v>
      </c>
      <c r="O179" s="43">
        <f t="shared" si="29"/>
        <v>0</v>
      </c>
      <c r="P179" s="43">
        <f t="shared" si="30"/>
        <v>-0.34013437099999999</v>
      </c>
      <c r="Q179" s="43">
        <f t="shared" si="31"/>
        <v>-0.34013437099999999</v>
      </c>
      <c r="R179" s="43">
        <f t="shared" si="32"/>
        <v>0.11569139033556564</v>
      </c>
    </row>
    <row r="180" spans="1:18" x14ac:dyDescent="0.3">
      <c r="A180" s="47">
        <v>38162</v>
      </c>
      <c r="B180" s="48">
        <v>0</v>
      </c>
      <c r="C180" s="49">
        <v>0</v>
      </c>
      <c r="D180" s="10">
        <f t="shared" si="24"/>
        <v>-0.38980777739764078</v>
      </c>
      <c r="E180" s="10">
        <f t="shared" si="25"/>
        <v>-0.68571147540983624</v>
      </c>
      <c r="F180" s="10">
        <f t="shared" si="33"/>
        <v>0.15195010331968867</v>
      </c>
      <c r="G180" s="10">
        <f t="shared" si="33"/>
        <v>0.47020022750873447</v>
      </c>
      <c r="H180" s="11">
        <f t="shared" si="3"/>
        <v>0.26729566616556527</v>
      </c>
      <c r="I180" s="12">
        <f t="shared" si="4"/>
        <v>0</v>
      </c>
      <c r="J180" s="28">
        <f t="shared" si="5"/>
        <v>0</v>
      </c>
      <c r="K180" s="30">
        <f t="shared" si="26"/>
        <v>0</v>
      </c>
      <c r="L180" s="5"/>
      <c r="M180" s="30">
        <f t="shared" si="27"/>
        <v>0</v>
      </c>
      <c r="N180" s="42">
        <f t="shared" si="28"/>
        <v>0</v>
      </c>
      <c r="O180" s="43">
        <f t="shared" si="29"/>
        <v>0</v>
      </c>
      <c r="P180" s="43">
        <f t="shared" si="30"/>
        <v>-0.34013437099999999</v>
      </c>
      <c r="Q180" s="43">
        <f t="shared" si="31"/>
        <v>-0.34013437099999999</v>
      </c>
      <c r="R180" s="43">
        <f t="shared" si="32"/>
        <v>0.11569139033556564</v>
      </c>
    </row>
    <row r="181" spans="1:18" x14ac:dyDescent="0.3">
      <c r="A181" s="47">
        <v>38163</v>
      </c>
      <c r="B181" s="48">
        <v>0</v>
      </c>
      <c r="C181" s="49">
        <v>0</v>
      </c>
      <c r="D181" s="10">
        <f t="shared" si="24"/>
        <v>-0.38980777739764078</v>
      </c>
      <c r="E181" s="10">
        <f t="shared" si="25"/>
        <v>-0.68571147540983624</v>
      </c>
      <c r="F181" s="10">
        <f t="shared" si="33"/>
        <v>0.15195010331968867</v>
      </c>
      <c r="G181" s="10">
        <f t="shared" si="33"/>
        <v>0.47020022750873447</v>
      </c>
      <c r="H181" s="11">
        <f t="shared" si="3"/>
        <v>0.26729566616556527</v>
      </c>
      <c r="I181" s="12">
        <f t="shared" si="4"/>
        <v>0</v>
      </c>
      <c r="J181" s="28">
        <f t="shared" si="5"/>
        <v>0</v>
      </c>
      <c r="K181" s="30">
        <f t="shared" si="26"/>
        <v>0</v>
      </c>
      <c r="L181" s="5"/>
      <c r="M181" s="30">
        <f t="shared" si="27"/>
        <v>0</v>
      </c>
      <c r="N181" s="42">
        <f t="shared" si="28"/>
        <v>0</v>
      </c>
      <c r="O181" s="43">
        <f t="shared" si="29"/>
        <v>0</v>
      </c>
      <c r="P181" s="43">
        <f t="shared" si="30"/>
        <v>-0.34013437099999999</v>
      </c>
      <c r="Q181" s="43">
        <f t="shared" si="31"/>
        <v>-0.34013437099999999</v>
      </c>
      <c r="R181" s="43">
        <f t="shared" si="32"/>
        <v>0.11569139033556564</v>
      </c>
    </row>
    <row r="182" spans="1:18" x14ac:dyDescent="0.3">
      <c r="A182" s="47">
        <v>38164</v>
      </c>
      <c r="B182" s="48">
        <v>0</v>
      </c>
      <c r="C182" s="49">
        <v>0</v>
      </c>
      <c r="D182" s="10">
        <f t="shared" si="24"/>
        <v>-0.38980777739764078</v>
      </c>
      <c r="E182" s="10">
        <f t="shared" si="25"/>
        <v>-0.68571147540983624</v>
      </c>
      <c r="F182" s="10">
        <f t="shared" si="33"/>
        <v>0.15195010331968867</v>
      </c>
      <c r="G182" s="10">
        <f t="shared" si="33"/>
        <v>0.47020022750873447</v>
      </c>
      <c r="H182" s="11">
        <f t="shared" si="3"/>
        <v>0.26729566616556527</v>
      </c>
      <c r="I182" s="12">
        <f t="shared" si="4"/>
        <v>0</v>
      </c>
      <c r="J182" s="28">
        <f t="shared" si="5"/>
        <v>0</v>
      </c>
      <c r="K182" s="30">
        <f t="shared" si="26"/>
        <v>0</v>
      </c>
      <c r="L182" s="5"/>
      <c r="M182" s="30">
        <f t="shared" si="27"/>
        <v>0</v>
      </c>
      <c r="N182" s="42">
        <f t="shared" si="28"/>
        <v>0</v>
      </c>
      <c r="O182" s="43">
        <f t="shared" si="29"/>
        <v>0</v>
      </c>
      <c r="P182" s="43">
        <f t="shared" si="30"/>
        <v>-0.34013437099999999</v>
      </c>
      <c r="Q182" s="43">
        <f t="shared" si="31"/>
        <v>-0.34013437099999999</v>
      </c>
      <c r="R182" s="43">
        <f t="shared" si="32"/>
        <v>0.11569139033556564</v>
      </c>
    </row>
    <row r="183" spans="1:18" x14ac:dyDescent="0.3">
      <c r="A183" s="47">
        <v>38165</v>
      </c>
      <c r="B183" s="48">
        <v>0</v>
      </c>
      <c r="C183" s="49">
        <v>0</v>
      </c>
      <c r="D183" s="10">
        <f t="shared" si="24"/>
        <v>-0.38980777739764078</v>
      </c>
      <c r="E183" s="10">
        <f t="shared" si="25"/>
        <v>-0.68571147540983624</v>
      </c>
      <c r="F183" s="10">
        <f t="shared" si="33"/>
        <v>0.15195010331968867</v>
      </c>
      <c r="G183" s="10">
        <f t="shared" si="33"/>
        <v>0.47020022750873447</v>
      </c>
      <c r="H183" s="11">
        <f t="shared" si="3"/>
        <v>0.26729566616556527</v>
      </c>
      <c r="I183" s="12">
        <f t="shared" si="4"/>
        <v>0</v>
      </c>
      <c r="J183" s="28">
        <f t="shared" si="5"/>
        <v>0</v>
      </c>
      <c r="K183" s="30">
        <f t="shared" si="26"/>
        <v>0</v>
      </c>
      <c r="L183" s="5"/>
      <c r="M183" s="30">
        <f t="shared" si="27"/>
        <v>0</v>
      </c>
      <c r="N183" s="42">
        <f t="shared" si="28"/>
        <v>0</v>
      </c>
      <c r="O183" s="43">
        <f t="shared" si="29"/>
        <v>0</v>
      </c>
      <c r="P183" s="43">
        <f t="shared" si="30"/>
        <v>-0.34013437099999999</v>
      </c>
      <c r="Q183" s="43">
        <f t="shared" si="31"/>
        <v>-0.34013437099999999</v>
      </c>
      <c r="R183" s="43">
        <f t="shared" si="32"/>
        <v>0.11569139033556564</v>
      </c>
    </row>
    <row r="184" spans="1:18" x14ac:dyDescent="0.3">
      <c r="A184" s="47">
        <v>38166</v>
      </c>
      <c r="B184" s="48">
        <v>0</v>
      </c>
      <c r="C184" s="49">
        <v>0</v>
      </c>
      <c r="D184" s="10">
        <f t="shared" si="24"/>
        <v>-0.38980777739764078</v>
      </c>
      <c r="E184" s="10">
        <f t="shared" si="25"/>
        <v>-0.68571147540983624</v>
      </c>
      <c r="F184" s="10">
        <f t="shared" si="33"/>
        <v>0.15195010331968867</v>
      </c>
      <c r="G184" s="10">
        <f t="shared" si="33"/>
        <v>0.47020022750873447</v>
      </c>
      <c r="H184" s="11">
        <f t="shared" si="3"/>
        <v>0.26729566616556527</v>
      </c>
      <c r="I184" s="12">
        <f t="shared" si="4"/>
        <v>0</v>
      </c>
      <c r="J184" s="28">
        <f t="shared" si="5"/>
        <v>0</v>
      </c>
      <c r="K184" s="30">
        <f t="shared" si="26"/>
        <v>0</v>
      </c>
      <c r="L184" s="5"/>
      <c r="M184" s="30">
        <f t="shared" si="27"/>
        <v>0</v>
      </c>
      <c r="N184" s="42">
        <f t="shared" si="28"/>
        <v>0</v>
      </c>
      <c r="O184" s="43">
        <f t="shared" si="29"/>
        <v>0</v>
      </c>
      <c r="P184" s="43">
        <f t="shared" si="30"/>
        <v>-0.34013437099999999</v>
      </c>
      <c r="Q184" s="43">
        <f t="shared" si="31"/>
        <v>-0.34013437099999999</v>
      </c>
      <c r="R184" s="43">
        <f t="shared" si="32"/>
        <v>0.11569139033556564</v>
      </c>
    </row>
    <row r="185" spans="1:18" x14ac:dyDescent="0.3">
      <c r="A185" s="47">
        <v>38167</v>
      </c>
      <c r="B185" s="48">
        <v>0</v>
      </c>
      <c r="C185" s="49">
        <v>0</v>
      </c>
      <c r="D185" s="10">
        <f t="shared" si="24"/>
        <v>-0.38980777739764078</v>
      </c>
      <c r="E185" s="10">
        <f t="shared" si="25"/>
        <v>-0.68571147540983624</v>
      </c>
      <c r="F185" s="10">
        <f t="shared" si="33"/>
        <v>0.15195010331968867</v>
      </c>
      <c r="G185" s="10">
        <f t="shared" si="33"/>
        <v>0.47020022750873447</v>
      </c>
      <c r="H185" s="11">
        <f t="shared" si="3"/>
        <v>0.26729566616556527</v>
      </c>
      <c r="I185" s="12">
        <f t="shared" si="4"/>
        <v>0</v>
      </c>
      <c r="J185" s="28">
        <f t="shared" si="5"/>
        <v>0</v>
      </c>
      <c r="K185" s="30">
        <f t="shared" si="26"/>
        <v>0</v>
      </c>
      <c r="L185" s="5"/>
      <c r="M185" s="30">
        <f t="shared" si="27"/>
        <v>0</v>
      </c>
      <c r="N185" s="42">
        <f t="shared" si="28"/>
        <v>0</v>
      </c>
      <c r="O185" s="43">
        <f t="shared" si="29"/>
        <v>0</v>
      </c>
      <c r="P185" s="43">
        <f t="shared" si="30"/>
        <v>-0.34013437099999999</v>
      </c>
      <c r="Q185" s="43">
        <f t="shared" si="31"/>
        <v>-0.34013437099999999</v>
      </c>
      <c r="R185" s="43">
        <f t="shared" si="32"/>
        <v>0.11569139033556564</v>
      </c>
    </row>
    <row r="186" spans="1:18" x14ac:dyDescent="0.3">
      <c r="A186" s="47">
        <v>38168</v>
      </c>
      <c r="B186" s="48">
        <v>0</v>
      </c>
      <c r="C186" s="49">
        <v>0</v>
      </c>
      <c r="D186" s="10">
        <f t="shared" si="24"/>
        <v>-0.38980777739764078</v>
      </c>
      <c r="E186" s="10">
        <f t="shared" si="25"/>
        <v>-0.68571147540983624</v>
      </c>
      <c r="F186" s="10">
        <f t="shared" si="33"/>
        <v>0.15195010331968867</v>
      </c>
      <c r="G186" s="10">
        <f t="shared" si="33"/>
        <v>0.47020022750873447</v>
      </c>
      <c r="H186" s="11">
        <f t="shared" si="3"/>
        <v>0.26729566616556527</v>
      </c>
      <c r="I186" s="12">
        <f t="shared" si="4"/>
        <v>0</v>
      </c>
      <c r="J186" s="28">
        <f t="shared" si="5"/>
        <v>0</v>
      </c>
      <c r="K186" s="30">
        <f t="shared" si="26"/>
        <v>0</v>
      </c>
      <c r="L186" s="5"/>
      <c r="M186" s="30">
        <f t="shared" si="27"/>
        <v>0</v>
      </c>
      <c r="N186" s="42">
        <f t="shared" si="28"/>
        <v>0</v>
      </c>
      <c r="O186" s="43">
        <f t="shared" si="29"/>
        <v>0</v>
      </c>
      <c r="P186" s="43">
        <f t="shared" si="30"/>
        <v>-0.34013437099999999</v>
      </c>
      <c r="Q186" s="43">
        <f t="shared" si="31"/>
        <v>-0.34013437099999999</v>
      </c>
      <c r="R186" s="43">
        <f t="shared" si="32"/>
        <v>0.11569139033556564</v>
      </c>
    </row>
    <row r="187" spans="1:18" x14ac:dyDescent="0.3">
      <c r="A187" s="47">
        <v>38169</v>
      </c>
      <c r="B187" s="48">
        <v>0</v>
      </c>
      <c r="C187" s="49">
        <v>0</v>
      </c>
      <c r="D187" s="10">
        <f t="shared" si="24"/>
        <v>-0.38980777739764078</v>
      </c>
      <c r="E187" s="10">
        <f t="shared" si="25"/>
        <v>-0.68571147540983624</v>
      </c>
      <c r="F187" s="10">
        <f t="shared" si="33"/>
        <v>0.15195010331968867</v>
      </c>
      <c r="G187" s="10">
        <f t="shared" si="33"/>
        <v>0.47020022750873447</v>
      </c>
      <c r="H187" s="11">
        <f t="shared" si="3"/>
        <v>0.26729566616556527</v>
      </c>
      <c r="I187" s="12">
        <f t="shared" si="4"/>
        <v>0</v>
      </c>
      <c r="J187" s="28">
        <f t="shared" si="5"/>
        <v>0</v>
      </c>
      <c r="K187" s="30">
        <f t="shared" si="26"/>
        <v>0</v>
      </c>
      <c r="L187" s="5"/>
      <c r="M187" s="30">
        <f t="shared" si="27"/>
        <v>0</v>
      </c>
      <c r="N187" s="42">
        <f t="shared" si="28"/>
        <v>0</v>
      </c>
      <c r="O187" s="43">
        <f t="shared" si="29"/>
        <v>0</v>
      </c>
      <c r="P187" s="43">
        <f t="shared" si="30"/>
        <v>-0.34013437099999999</v>
      </c>
      <c r="Q187" s="43">
        <f t="shared" si="31"/>
        <v>-0.34013437099999999</v>
      </c>
      <c r="R187" s="43">
        <f t="shared" si="32"/>
        <v>0.11569139033556564</v>
      </c>
    </row>
    <row r="188" spans="1:18" x14ac:dyDescent="0.3">
      <c r="A188" s="47">
        <v>38170</v>
      </c>
      <c r="B188" s="48">
        <v>0</v>
      </c>
      <c r="C188" s="49">
        <v>0</v>
      </c>
      <c r="D188" s="10">
        <f t="shared" si="24"/>
        <v>-0.38980777739764078</v>
      </c>
      <c r="E188" s="10">
        <f t="shared" si="25"/>
        <v>-0.68571147540983624</v>
      </c>
      <c r="F188" s="10">
        <f t="shared" si="33"/>
        <v>0.15195010331968867</v>
      </c>
      <c r="G188" s="10">
        <f t="shared" si="33"/>
        <v>0.47020022750873447</v>
      </c>
      <c r="H188" s="11">
        <f t="shared" si="3"/>
        <v>0.26729566616556527</v>
      </c>
      <c r="I188" s="12">
        <f t="shared" si="4"/>
        <v>0</v>
      </c>
      <c r="J188" s="28">
        <f t="shared" si="5"/>
        <v>0</v>
      </c>
      <c r="K188" s="30">
        <f t="shared" si="26"/>
        <v>0</v>
      </c>
      <c r="L188" s="5"/>
      <c r="M188" s="30">
        <f t="shared" si="27"/>
        <v>0</v>
      </c>
      <c r="N188" s="42">
        <f t="shared" si="28"/>
        <v>0</v>
      </c>
      <c r="O188" s="43">
        <f t="shared" si="29"/>
        <v>0</v>
      </c>
      <c r="P188" s="43">
        <f t="shared" si="30"/>
        <v>-0.34013437099999999</v>
      </c>
      <c r="Q188" s="43">
        <f t="shared" si="31"/>
        <v>-0.34013437099999999</v>
      </c>
      <c r="R188" s="43">
        <f t="shared" si="32"/>
        <v>0.11569139033556564</v>
      </c>
    </row>
    <row r="189" spans="1:18" x14ac:dyDescent="0.3">
      <c r="A189" s="47">
        <v>38171</v>
      </c>
      <c r="B189" s="48">
        <v>0</v>
      </c>
      <c r="C189" s="49">
        <v>0</v>
      </c>
      <c r="D189" s="10">
        <f t="shared" si="24"/>
        <v>-0.38980777739764078</v>
      </c>
      <c r="E189" s="10">
        <f t="shared" si="25"/>
        <v>-0.68571147540983624</v>
      </c>
      <c r="F189" s="10">
        <f t="shared" si="33"/>
        <v>0.15195010331968867</v>
      </c>
      <c r="G189" s="10">
        <f t="shared" si="33"/>
        <v>0.47020022750873447</v>
      </c>
      <c r="H189" s="11">
        <f t="shared" si="3"/>
        <v>0.26729566616556527</v>
      </c>
      <c r="I189" s="12">
        <f t="shared" si="4"/>
        <v>0</v>
      </c>
      <c r="J189" s="28">
        <f t="shared" si="5"/>
        <v>0</v>
      </c>
      <c r="K189" s="30">
        <f t="shared" si="26"/>
        <v>0</v>
      </c>
      <c r="L189" s="5"/>
      <c r="M189" s="30">
        <f t="shared" si="27"/>
        <v>0</v>
      </c>
      <c r="N189" s="42">
        <f t="shared" si="28"/>
        <v>0</v>
      </c>
      <c r="O189" s="43">
        <f t="shared" si="29"/>
        <v>0</v>
      </c>
      <c r="P189" s="43">
        <f t="shared" si="30"/>
        <v>-0.34013437099999999</v>
      </c>
      <c r="Q189" s="43">
        <f t="shared" si="31"/>
        <v>-0.34013437099999999</v>
      </c>
      <c r="R189" s="43">
        <f t="shared" si="32"/>
        <v>0.11569139033556564</v>
      </c>
    </row>
    <row r="190" spans="1:18" x14ac:dyDescent="0.3">
      <c r="A190" s="47">
        <v>38172</v>
      </c>
      <c r="B190" s="48">
        <v>0</v>
      </c>
      <c r="C190" s="49">
        <v>0</v>
      </c>
      <c r="D190" s="10">
        <f t="shared" si="24"/>
        <v>-0.38980777739764078</v>
      </c>
      <c r="E190" s="10">
        <f t="shared" si="25"/>
        <v>-0.68571147540983624</v>
      </c>
      <c r="F190" s="10">
        <f t="shared" si="33"/>
        <v>0.15195010331968867</v>
      </c>
      <c r="G190" s="10">
        <f t="shared" si="33"/>
        <v>0.47020022750873447</v>
      </c>
      <c r="H190" s="11">
        <f t="shared" si="3"/>
        <v>0.26729566616556527</v>
      </c>
      <c r="I190" s="12">
        <f t="shared" si="4"/>
        <v>0</v>
      </c>
      <c r="J190" s="28">
        <f t="shared" si="5"/>
        <v>0</v>
      </c>
      <c r="K190" s="30">
        <f t="shared" si="26"/>
        <v>0</v>
      </c>
      <c r="L190" s="5"/>
      <c r="M190" s="30">
        <f t="shared" si="27"/>
        <v>0</v>
      </c>
      <c r="N190" s="42">
        <f t="shared" si="28"/>
        <v>0</v>
      </c>
      <c r="O190" s="43">
        <f t="shared" si="29"/>
        <v>0</v>
      </c>
      <c r="P190" s="43">
        <f t="shared" si="30"/>
        <v>-0.34013437099999999</v>
      </c>
      <c r="Q190" s="43">
        <f t="shared" si="31"/>
        <v>-0.34013437099999999</v>
      </c>
      <c r="R190" s="43">
        <f t="shared" si="32"/>
        <v>0.11569139033556564</v>
      </c>
    </row>
    <row r="191" spans="1:18" x14ac:dyDescent="0.3">
      <c r="A191" s="47">
        <v>38173</v>
      </c>
      <c r="B191" s="48">
        <v>0</v>
      </c>
      <c r="C191" s="49">
        <v>0</v>
      </c>
      <c r="D191" s="10">
        <f t="shared" si="24"/>
        <v>-0.38980777739764078</v>
      </c>
      <c r="E191" s="10">
        <f t="shared" si="25"/>
        <v>-0.68571147540983624</v>
      </c>
      <c r="F191" s="10">
        <f t="shared" si="33"/>
        <v>0.15195010331968867</v>
      </c>
      <c r="G191" s="10">
        <f t="shared" si="33"/>
        <v>0.47020022750873447</v>
      </c>
      <c r="H191" s="11">
        <f t="shared" si="3"/>
        <v>0.26729566616556527</v>
      </c>
      <c r="I191" s="12">
        <f t="shared" si="4"/>
        <v>0</v>
      </c>
      <c r="J191" s="28">
        <f t="shared" si="5"/>
        <v>0</v>
      </c>
      <c r="K191" s="30">
        <f t="shared" si="26"/>
        <v>0</v>
      </c>
      <c r="L191" s="5"/>
      <c r="M191" s="30">
        <f t="shared" si="27"/>
        <v>0</v>
      </c>
      <c r="N191" s="42">
        <f t="shared" si="28"/>
        <v>0</v>
      </c>
      <c r="O191" s="43">
        <f t="shared" si="29"/>
        <v>0</v>
      </c>
      <c r="P191" s="43">
        <f t="shared" si="30"/>
        <v>-0.34013437099999999</v>
      </c>
      <c r="Q191" s="43">
        <f t="shared" si="31"/>
        <v>-0.34013437099999999</v>
      </c>
      <c r="R191" s="43">
        <f t="shared" si="32"/>
        <v>0.11569139033556564</v>
      </c>
    </row>
    <row r="192" spans="1:18" x14ac:dyDescent="0.3">
      <c r="A192" s="47">
        <v>38174</v>
      </c>
      <c r="B192" s="48">
        <v>0</v>
      </c>
      <c r="C192" s="49">
        <v>0</v>
      </c>
      <c r="D192" s="10">
        <f t="shared" si="24"/>
        <v>-0.38980777739764078</v>
      </c>
      <c r="E192" s="10">
        <f t="shared" si="25"/>
        <v>-0.68571147540983624</v>
      </c>
      <c r="F192" s="10">
        <f t="shared" si="33"/>
        <v>0.15195010331968867</v>
      </c>
      <c r="G192" s="10">
        <f t="shared" si="33"/>
        <v>0.47020022750873447</v>
      </c>
      <c r="H192" s="11">
        <f t="shared" si="3"/>
        <v>0.26729566616556527</v>
      </c>
      <c r="I192" s="12">
        <f t="shared" si="4"/>
        <v>0</v>
      </c>
      <c r="J192" s="28">
        <f t="shared" si="5"/>
        <v>0</v>
      </c>
      <c r="K192" s="30">
        <f t="shared" si="26"/>
        <v>0</v>
      </c>
      <c r="L192" s="5"/>
      <c r="M192" s="30">
        <f t="shared" si="27"/>
        <v>0</v>
      </c>
      <c r="N192" s="42">
        <f t="shared" si="28"/>
        <v>0</v>
      </c>
      <c r="O192" s="43">
        <f t="shared" si="29"/>
        <v>0</v>
      </c>
      <c r="P192" s="43">
        <f t="shared" si="30"/>
        <v>-0.34013437099999999</v>
      </c>
      <c r="Q192" s="43">
        <f t="shared" si="31"/>
        <v>-0.34013437099999999</v>
      </c>
      <c r="R192" s="43">
        <f t="shared" si="32"/>
        <v>0.11569139033556564</v>
      </c>
    </row>
    <row r="193" spans="1:18" x14ac:dyDescent="0.3">
      <c r="A193" s="47">
        <v>38175</v>
      </c>
      <c r="B193" s="48">
        <v>0</v>
      </c>
      <c r="C193" s="49">
        <v>0</v>
      </c>
      <c r="D193" s="10">
        <f t="shared" si="24"/>
        <v>-0.38980777739764078</v>
      </c>
      <c r="E193" s="10">
        <f t="shared" si="25"/>
        <v>-0.68571147540983624</v>
      </c>
      <c r="F193" s="10">
        <f t="shared" si="33"/>
        <v>0.15195010331968867</v>
      </c>
      <c r="G193" s="10">
        <f t="shared" si="33"/>
        <v>0.47020022750873447</v>
      </c>
      <c r="H193" s="11">
        <f t="shared" si="3"/>
        <v>0.26729566616556527</v>
      </c>
      <c r="I193" s="12">
        <f t="shared" si="4"/>
        <v>0</v>
      </c>
      <c r="J193" s="28">
        <f t="shared" si="5"/>
        <v>0</v>
      </c>
      <c r="K193" s="30">
        <f t="shared" si="26"/>
        <v>0</v>
      </c>
      <c r="L193" s="5"/>
      <c r="M193" s="30">
        <f t="shared" si="27"/>
        <v>0</v>
      </c>
      <c r="N193" s="42">
        <f t="shared" si="28"/>
        <v>0</v>
      </c>
      <c r="O193" s="43">
        <f t="shared" si="29"/>
        <v>0</v>
      </c>
      <c r="P193" s="43">
        <f t="shared" si="30"/>
        <v>-0.34013437099999999</v>
      </c>
      <c r="Q193" s="43">
        <f t="shared" si="31"/>
        <v>-0.34013437099999999</v>
      </c>
      <c r="R193" s="43">
        <f t="shared" si="32"/>
        <v>0.11569139033556564</v>
      </c>
    </row>
    <row r="194" spans="1:18" x14ac:dyDescent="0.3">
      <c r="A194" s="47">
        <v>38176</v>
      </c>
      <c r="B194" s="48">
        <v>0</v>
      </c>
      <c r="C194" s="49">
        <v>0</v>
      </c>
      <c r="D194" s="10">
        <f t="shared" si="24"/>
        <v>-0.38980777739764078</v>
      </c>
      <c r="E194" s="10">
        <f t="shared" si="25"/>
        <v>-0.68571147540983624</v>
      </c>
      <c r="F194" s="10">
        <f t="shared" si="33"/>
        <v>0.15195010331968867</v>
      </c>
      <c r="G194" s="10">
        <f t="shared" si="33"/>
        <v>0.47020022750873447</v>
      </c>
      <c r="H194" s="11">
        <f t="shared" si="3"/>
        <v>0.26729566616556527</v>
      </c>
      <c r="I194" s="12">
        <f t="shared" si="4"/>
        <v>0</v>
      </c>
      <c r="J194" s="28">
        <f t="shared" si="5"/>
        <v>0</v>
      </c>
      <c r="K194" s="30">
        <f t="shared" si="26"/>
        <v>0</v>
      </c>
      <c r="L194" s="5"/>
      <c r="M194" s="30">
        <f t="shared" si="27"/>
        <v>0</v>
      </c>
      <c r="N194" s="42">
        <f t="shared" si="28"/>
        <v>0</v>
      </c>
      <c r="O194" s="43">
        <f t="shared" si="29"/>
        <v>0</v>
      </c>
      <c r="P194" s="43">
        <f t="shared" si="30"/>
        <v>-0.34013437099999999</v>
      </c>
      <c r="Q194" s="43">
        <f t="shared" si="31"/>
        <v>-0.34013437099999999</v>
      </c>
      <c r="R194" s="43">
        <f t="shared" si="32"/>
        <v>0.11569139033556564</v>
      </c>
    </row>
    <row r="195" spans="1:18" x14ac:dyDescent="0.3">
      <c r="A195" s="47">
        <v>38177</v>
      </c>
      <c r="B195" s="48">
        <v>0</v>
      </c>
      <c r="C195" s="49">
        <v>0</v>
      </c>
      <c r="D195" s="10">
        <f t="shared" si="24"/>
        <v>-0.38980777739764078</v>
      </c>
      <c r="E195" s="10">
        <f t="shared" si="25"/>
        <v>-0.68571147540983624</v>
      </c>
      <c r="F195" s="10">
        <f t="shared" si="33"/>
        <v>0.15195010331968867</v>
      </c>
      <c r="G195" s="10">
        <f t="shared" si="33"/>
        <v>0.47020022750873447</v>
      </c>
      <c r="H195" s="11">
        <f t="shared" si="3"/>
        <v>0.26729566616556527</v>
      </c>
      <c r="I195" s="12">
        <f t="shared" si="4"/>
        <v>0</v>
      </c>
      <c r="J195" s="28">
        <f t="shared" si="5"/>
        <v>0</v>
      </c>
      <c r="K195" s="30">
        <f t="shared" si="26"/>
        <v>0</v>
      </c>
      <c r="L195" s="5"/>
      <c r="M195" s="30">
        <f t="shared" si="27"/>
        <v>0</v>
      </c>
      <c r="N195" s="42">
        <f t="shared" si="28"/>
        <v>0</v>
      </c>
      <c r="O195" s="43">
        <f t="shared" si="29"/>
        <v>0</v>
      </c>
      <c r="P195" s="43">
        <f t="shared" si="30"/>
        <v>-0.34013437099999999</v>
      </c>
      <c r="Q195" s="43">
        <f t="shared" si="31"/>
        <v>-0.34013437099999999</v>
      </c>
      <c r="R195" s="43">
        <f t="shared" si="32"/>
        <v>0.11569139033556564</v>
      </c>
    </row>
    <row r="196" spans="1:18" x14ac:dyDescent="0.3">
      <c r="A196" s="47">
        <v>38178</v>
      </c>
      <c r="B196" s="48">
        <v>0</v>
      </c>
      <c r="C196" s="49">
        <v>0</v>
      </c>
      <c r="D196" s="10">
        <f t="shared" si="24"/>
        <v>-0.38980777739764078</v>
      </c>
      <c r="E196" s="10">
        <f t="shared" si="25"/>
        <v>-0.68571147540983624</v>
      </c>
      <c r="F196" s="10">
        <f t="shared" si="33"/>
        <v>0.15195010331968867</v>
      </c>
      <c r="G196" s="10">
        <f t="shared" si="33"/>
        <v>0.47020022750873447</v>
      </c>
      <c r="H196" s="11">
        <f t="shared" si="3"/>
        <v>0.26729566616556527</v>
      </c>
      <c r="I196" s="12">
        <f t="shared" si="4"/>
        <v>0</v>
      </c>
      <c r="J196" s="28">
        <f t="shared" si="5"/>
        <v>0</v>
      </c>
      <c r="K196" s="30">
        <f t="shared" si="26"/>
        <v>0</v>
      </c>
      <c r="L196" s="5"/>
      <c r="M196" s="30">
        <f t="shared" si="27"/>
        <v>0</v>
      </c>
      <c r="N196" s="42">
        <f t="shared" si="28"/>
        <v>0</v>
      </c>
      <c r="O196" s="43">
        <f t="shared" si="29"/>
        <v>0</v>
      </c>
      <c r="P196" s="43">
        <f t="shared" si="30"/>
        <v>-0.34013437099999999</v>
      </c>
      <c r="Q196" s="43">
        <f t="shared" si="31"/>
        <v>-0.34013437099999999</v>
      </c>
      <c r="R196" s="43">
        <f t="shared" si="32"/>
        <v>0.11569139033556564</v>
      </c>
    </row>
    <row r="197" spans="1:18" x14ac:dyDescent="0.3">
      <c r="A197" s="47">
        <v>38179</v>
      </c>
      <c r="B197" s="48">
        <v>0</v>
      </c>
      <c r="C197" s="49">
        <v>0</v>
      </c>
      <c r="D197" s="10">
        <f t="shared" ref="D197:D260" si="34">B197-$C$375</f>
        <v>-0.38980777739764078</v>
      </c>
      <c r="E197" s="10">
        <f t="shared" ref="E197:E260" si="35">C197-$D$375</f>
        <v>-0.68571147540983624</v>
      </c>
      <c r="F197" s="10">
        <f t="shared" si="33"/>
        <v>0.15195010331968867</v>
      </c>
      <c r="G197" s="10">
        <f t="shared" si="33"/>
        <v>0.47020022750873447</v>
      </c>
      <c r="H197" s="11">
        <f t="shared" si="3"/>
        <v>0.26729566616556527</v>
      </c>
      <c r="I197" s="12">
        <f t="shared" si="4"/>
        <v>0</v>
      </c>
      <c r="J197" s="28">
        <f t="shared" si="5"/>
        <v>0</v>
      </c>
      <c r="K197" s="30">
        <f t="shared" si="26"/>
        <v>0</v>
      </c>
      <c r="L197" s="5"/>
      <c r="M197" s="30">
        <f t="shared" si="27"/>
        <v>0</v>
      </c>
      <c r="N197" s="42">
        <f t="shared" si="28"/>
        <v>0</v>
      </c>
      <c r="O197" s="43">
        <f t="shared" si="29"/>
        <v>0</v>
      </c>
      <c r="P197" s="43">
        <f t="shared" si="30"/>
        <v>-0.34013437099999999</v>
      </c>
      <c r="Q197" s="43">
        <f t="shared" si="31"/>
        <v>-0.34013437099999999</v>
      </c>
      <c r="R197" s="43">
        <f t="shared" si="32"/>
        <v>0.11569139033556564</v>
      </c>
    </row>
    <row r="198" spans="1:18" x14ac:dyDescent="0.3">
      <c r="A198" s="47">
        <v>38180</v>
      </c>
      <c r="B198" s="48">
        <v>0</v>
      </c>
      <c r="C198" s="49">
        <v>0</v>
      </c>
      <c r="D198" s="10">
        <f t="shared" si="34"/>
        <v>-0.38980777739764078</v>
      </c>
      <c r="E198" s="10">
        <f t="shared" si="35"/>
        <v>-0.68571147540983624</v>
      </c>
      <c r="F198" s="10">
        <f t="shared" si="33"/>
        <v>0.15195010331968867</v>
      </c>
      <c r="G198" s="10">
        <f t="shared" si="33"/>
        <v>0.47020022750873447</v>
      </c>
      <c r="H198" s="11">
        <f t="shared" si="3"/>
        <v>0.26729566616556527</v>
      </c>
      <c r="I198" s="12">
        <f t="shared" si="4"/>
        <v>0</v>
      </c>
      <c r="J198" s="28">
        <f t="shared" si="5"/>
        <v>0</v>
      </c>
      <c r="K198" s="30">
        <f t="shared" ref="K198:K261" si="36">C198-B198</f>
        <v>0</v>
      </c>
      <c r="L198" s="5"/>
      <c r="M198" s="30">
        <f t="shared" ref="M198:M261" si="37">B198-C198</f>
        <v>0</v>
      </c>
      <c r="N198" s="42">
        <f t="shared" ref="N198:N261" si="38">B198-C198</f>
        <v>0</v>
      </c>
      <c r="O198" s="43">
        <f t="shared" ref="O198:O261" si="39">M198*N198</f>
        <v>0</v>
      </c>
      <c r="P198" s="43">
        <f t="shared" ref="P198:P261" si="40">B198-0.340134371</f>
        <v>-0.34013437099999999</v>
      </c>
      <c r="Q198" s="43">
        <f t="shared" ref="Q198:Q261" si="41">B198-0.340134371</f>
        <v>-0.34013437099999999</v>
      </c>
      <c r="R198" s="43">
        <f t="shared" ref="R198:R261" si="42">P198*Q198</f>
        <v>0.11569139033556564</v>
      </c>
    </row>
    <row r="199" spans="1:18" x14ac:dyDescent="0.3">
      <c r="A199" s="47">
        <v>38181</v>
      </c>
      <c r="B199" s="48">
        <v>0</v>
      </c>
      <c r="C199" s="49">
        <v>0</v>
      </c>
      <c r="D199" s="10">
        <f t="shared" si="34"/>
        <v>-0.38980777739764078</v>
      </c>
      <c r="E199" s="10">
        <f t="shared" si="35"/>
        <v>-0.68571147540983624</v>
      </c>
      <c r="F199" s="10">
        <f t="shared" si="33"/>
        <v>0.15195010331968867</v>
      </c>
      <c r="G199" s="10">
        <f t="shared" si="33"/>
        <v>0.47020022750873447</v>
      </c>
      <c r="H199" s="11">
        <f t="shared" si="3"/>
        <v>0.26729566616556527</v>
      </c>
      <c r="I199" s="12">
        <f t="shared" si="4"/>
        <v>0</v>
      </c>
      <c r="J199" s="28">
        <f t="shared" si="5"/>
        <v>0</v>
      </c>
      <c r="K199" s="30">
        <f t="shared" si="36"/>
        <v>0</v>
      </c>
      <c r="L199" s="5"/>
      <c r="M199" s="30">
        <f t="shared" si="37"/>
        <v>0</v>
      </c>
      <c r="N199" s="42">
        <f t="shared" si="38"/>
        <v>0</v>
      </c>
      <c r="O199" s="43">
        <f t="shared" si="39"/>
        <v>0</v>
      </c>
      <c r="P199" s="43">
        <f t="shared" si="40"/>
        <v>-0.34013437099999999</v>
      </c>
      <c r="Q199" s="43">
        <f t="shared" si="41"/>
        <v>-0.34013437099999999</v>
      </c>
      <c r="R199" s="43">
        <f t="shared" si="42"/>
        <v>0.11569139033556564</v>
      </c>
    </row>
    <row r="200" spans="1:18" x14ac:dyDescent="0.3">
      <c r="A200" s="47">
        <v>38182</v>
      </c>
      <c r="B200" s="48">
        <v>0</v>
      </c>
      <c r="C200" s="49">
        <v>0</v>
      </c>
      <c r="D200" s="10">
        <f t="shared" si="34"/>
        <v>-0.38980777739764078</v>
      </c>
      <c r="E200" s="10">
        <f t="shared" si="35"/>
        <v>-0.68571147540983624</v>
      </c>
      <c r="F200" s="10">
        <f t="shared" si="33"/>
        <v>0.15195010331968867</v>
      </c>
      <c r="G200" s="10">
        <f t="shared" si="33"/>
        <v>0.47020022750873447</v>
      </c>
      <c r="H200" s="11">
        <f t="shared" si="3"/>
        <v>0.26729566616556527</v>
      </c>
      <c r="I200" s="12">
        <f t="shared" si="4"/>
        <v>0</v>
      </c>
      <c r="J200" s="28">
        <f t="shared" si="5"/>
        <v>0</v>
      </c>
      <c r="K200" s="30">
        <f t="shared" si="36"/>
        <v>0</v>
      </c>
      <c r="L200" s="5"/>
      <c r="M200" s="30">
        <f t="shared" si="37"/>
        <v>0</v>
      </c>
      <c r="N200" s="42">
        <f t="shared" si="38"/>
        <v>0</v>
      </c>
      <c r="O200" s="43">
        <f t="shared" si="39"/>
        <v>0</v>
      </c>
      <c r="P200" s="43">
        <f t="shared" si="40"/>
        <v>-0.34013437099999999</v>
      </c>
      <c r="Q200" s="43">
        <f t="shared" si="41"/>
        <v>-0.34013437099999999</v>
      </c>
      <c r="R200" s="43">
        <f t="shared" si="42"/>
        <v>0.11569139033556564</v>
      </c>
    </row>
    <row r="201" spans="1:18" x14ac:dyDescent="0.3">
      <c r="A201" s="47">
        <v>38183</v>
      </c>
      <c r="B201" s="48">
        <v>0</v>
      </c>
      <c r="C201" s="49">
        <v>0</v>
      </c>
      <c r="D201" s="10">
        <f t="shared" si="34"/>
        <v>-0.38980777739764078</v>
      </c>
      <c r="E201" s="10">
        <f t="shared" si="35"/>
        <v>-0.68571147540983624</v>
      </c>
      <c r="F201" s="10">
        <f t="shared" si="33"/>
        <v>0.15195010331968867</v>
      </c>
      <c r="G201" s="10">
        <f t="shared" si="33"/>
        <v>0.47020022750873447</v>
      </c>
      <c r="H201" s="11">
        <f t="shared" si="3"/>
        <v>0.26729566616556527</v>
      </c>
      <c r="I201" s="12">
        <f t="shared" si="4"/>
        <v>0</v>
      </c>
      <c r="J201" s="28">
        <f t="shared" si="5"/>
        <v>0</v>
      </c>
      <c r="K201" s="30">
        <f t="shared" si="36"/>
        <v>0</v>
      </c>
      <c r="L201" s="5"/>
      <c r="M201" s="30">
        <f t="shared" si="37"/>
        <v>0</v>
      </c>
      <c r="N201" s="42">
        <f t="shared" si="38"/>
        <v>0</v>
      </c>
      <c r="O201" s="43">
        <f t="shared" si="39"/>
        <v>0</v>
      </c>
      <c r="P201" s="43">
        <f t="shared" si="40"/>
        <v>-0.34013437099999999</v>
      </c>
      <c r="Q201" s="43">
        <f t="shared" si="41"/>
        <v>-0.34013437099999999</v>
      </c>
      <c r="R201" s="43">
        <f t="shared" si="42"/>
        <v>0.11569139033556564</v>
      </c>
    </row>
    <row r="202" spans="1:18" x14ac:dyDescent="0.3">
      <c r="A202" s="47">
        <v>38184</v>
      </c>
      <c r="B202" s="48">
        <v>0</v>
      </c>
      <c r="C202" s="49">
        <v>0</v>
      </c>
      <c r="D202" s="10">
        <f t="shared" si="34"/>
        <v>-0.38980777739764078</v>
      </c>
      <c r="E202" s="10">
        <f t="shared" si="35"/>
        <v>-0.68571147540983624</v>
      </c>
      <c r="F202" s="10">
        <f t="shared" si="33"/>
        <v>0.15195010331968867</v>
      </c>
      <c r="G202" s="10">
        <f t="shared" si="33"/>
        <v>0.47020022750873447</v>
      </c>
      <c r="H202" s="11">
        <f t="shared" si="3"/>
        <v>0.26729566616556527</v>
      </c>
      <c r="I202" s="12">
        <f t="shared" si="4"/>
        <v>0</v>
      </c>
      <c r="J202" s="28">
        <f t="shared" si="5"/>
        <v>0</v>
      </c>
      <c r="K202" s="30">
        <f t="shared" si="36"/>
        <v>0</v>
      </c>
      <c r="L202" s="5"/>
      <c r="M202" s="30">
        <f t="shared" si="37"/>
        <v>0</v>
      </c>
      <c r="N202" s="42">
        <f t="shared" si="38"/>
        <v>0</v>
      </c>
      <c r="O202" s="43">
        <f t="shared" si="39"/>
        <v>0</v>
      </c>
      <c r="P202" s="43">
        <f t="shared" si="40"/>
        <v>-0.34013437099999999</v>
      </c>
      <c r="Q202" s="43">
        <f t="shared" si="41"/>
        <v>-0.34013437099999999</v>
      </c>
      <c r="R202" s="43">
        <f t="shared" si="42"/>
        <v>0.11569139033556564</v>
      </c>
    </row>
    <row r="203" spans="1:18" x14ac:dyDescent="0.3">
      <c r="A203" s="47">
        <v>38185</v>
      </c>
      <c r="B203" s="48">
        <v>0</v>
      </c>
      <c r="C203" s="49">
        <v>0</v>
      </c>
      <c r="D203" s="10">
        <f t="shared" si="34"/>
        <v>-0.38980777739764078</v>
      </c>
      <c r="E203" s="10">
        <f t="shared" si="35"/>
        <v>-0.68571147540983624</v>
      </c>
      <c r="F203" s="10">
        <f t="shared" si="33"/>
        <v>0.15195010331968867</v>
      </c>
      <c r="G203" s="10">
        <f t="shared" si="33"/>
        <v>0.47020022750873447</v>
      </c>
      <c r="H203" s="11">
        <f t="shared" ref="H203:H266" si="43">D203*E203</f>
        <v>0.26729566616556527</v>
      </c>
      <c r="I203" s="12">
        <f t="shared" ref="I203:I266" si="44">ABS(C203-B203)</f>
        <v>0</v>
      </c>
      <c r="J203" s="28">
        <f t="shared" ref="J203:J266" si="45">I203^2</f>
        <v>0</v>
      </c>
      <c r="K203" s="30">
        <f t="shared" si="36"/>
        <v>0</v>
      </c>
      <c r="L203" s="5"/>
      <c r="M203" s="30">
        <f t="shared" si="37"/>
        <v>0</v>
      </c>
      <c r="N203" s="42">
        <f t="shared" si="38"/>
        <v>0</v>
      </c>
      <c r="O203" s="43">
        <f t="shared" si="39"/>
        <v>0</v>
      </c>
      <c r="P203" s="43">
        <f t="shared" si="40"/>
        <v>-0.34013437099999999</v>
      </c>
      <c r="Q203" s="43">
        <f t="shared" si="41"/>
        <v>-0.34013437099999999</v>
      </c>
      <c r="R203" s="43">
        <f t="shared" si="42"/>
        <v>0.11569139033556564</v>
      </c>
    </row>
    <row r="204" spans="1:18" x14ac:dyDescent="0.3">
      <c r="A204" s="47">
        <v>38186</v>
      </c>
      <c r="B204" s="48">
        <v>0</v>
      </c>
      <c r="C204" s="49">
        <v>0</v>
      </c>
      <c r="D204" s="10">
        <f t="shared" si="34"/>
        <v>-0.38980777739764078</v>
      </c>
      <c r="E204" s="10">
        <f t="shared" si="35"/>
        <v>-0.68571147540983624</v>
      </c>
      <c r="F204" s="10">
        <f t="shared" si="33"/>
        <v>0.15195010331968867</v>
      </c>
      <c r="G204" s="10">
        <f t="shared" si="33"/>
        <v>0.47020022750873447</v>
      </c>
      <c r="H204" s="11">
        <f t="shared" si="43"/>
        <v>0.26729566616556527</v>
      </c>
      <c r="I204" s="12">
        <f t="shared" si="44"/>
        <v>0</v>
      </c>
      <c r="J204" s="28">
        <f t="shared" si="45"/>
        <v>0</v>
      </c>
      <c r="K204" s="30">
        <f t="shared" si="36"/>
        <v>0</v>
      </c>
      <c r="L204" s="5"/>
      <c r="M204" s="30">
        <f t="shared" si="37"/>
        <v>0</v>
      </c>
      <c r="N204" s="42">
        <f t="shared" si="38"/>
        <v>0</v>
      </c>
      <c r="O204" s="43">
        <f t="shared" si="39"/>
        <v>0</v>
      </c>
      <c r="P204" s="43">
        <f t="shared" si="40"/>
        <v>-0.34013437099999999</v>
      </c>
      <c r="Q204" s="43">
        <f t="shared" si="41"/>
        <v>-0.34013437099999999</v>
      </c>
      <c r="R204" s="43">
        <f t="shared" si="42"/>
        <v>0.11569139033556564</v>
      </c>
    </row>
    <row r="205" spans="1:18" x14ac:dyDescent="0.3">
      <c r="A205" s="47">
        <v>38187</v>
      </c>
      <c r="B205" s="48">
        <v>0</v>
      </c>
      <c r="C205" s="49">
        <v>0</v>
      </c>
      <c r="D205" s="10">
        <f t="shared" si="34"/>
        <v>-0.38980777739764078</v>
      </c>
      <c r="E205" s="10">
        <f t="shared" si="35"/>
        <v>-0.68571147540983624</v>
      </c>
      <c r="F205" s="10">
        <f t="shared" si="33"/>
        <v>0.15195010331968867</v>
      </c>
      <c r="G205" s="10">
        <f t="shared" si="33"/>
        <v>0.47020022750873447</v>
      </c>
      <c r="H205" s="11">
        <f t="shared" si="43"/>
        <v>0.26729566616556527</v>
      </c>
      <c r="I205" s="12">
        <f t="shared" si="44"/>
        <v>0</v>
      </c>
      <c r="J205" s="28">
        <f t="shared" si="45"/>
        <v>0</v>
      </c>
      <c r="K205" s="30">
        <f t="shared" si="36"/>
        <v>0</v>
      </c>
      <c r="L205" s="5"/>
      <c r="M205" s="30">
        <f t="shared" si="37"/>
        <v>0</v>
      </c>
      <c r="N205" s="42">
        <f t="shared" si="38"/>
        <v>0</v>
      </c>
      <c r="O205" s="43">
        <f t="shared" si="39"/>
        <v>0</v>
      </c>
      <c r="P205" s="43">
        <f t="shared" si="40"/>
        <v>-0.34013437099999999</v>
      </c>
      <c r="Q205" s="43">
        <f t="shared" si="41"/>
        <v>-0.34013437099999999</v>
      </c>
      <c r="R205" s="43">
        <f t="shared" si="42"/>
        <v>0.11569139033556564</v>
      </c>
    </row>
    <row r="206" spans="1:18" x14ac:dyDescent="0.3">
      <c r="A206" s="47">
        <v>38188</v>
      </c>
      <c r="B206" s="48">
        <v>0</v>
      </c>
      <c r="C206" s="49">
        <v>0</v>
      </c>
      <c r="D206" s="10">
        <f t="shared" si="34"/>
        <v>-0.38980777739764078</v>
      </c>
      <c r="E206" s="10">
        <f t="shared" si="35"/>
        <v>-0.68571147540983624</v>
      </c>
      <c r="F206" s="10">
        <f t="shared" si="33"/>
        <v>0.15195010331968867</v>
      </c>
      <c r="G206" s="10">
        <f t="shared" si="33"/>
        <v>0.47020022750873447</v>
      </c>
      <c r="H206" s="11">
        <f t="shared" si="43"/>
        <v>0.26729566616556527</v>
      </c>
      <c r="I206" s="12">
        <f t="shared" si="44"/>
        <v>0</v>
      </c>
      <c r="J206" s="28">
        <f t="shared" si="45"/>
        <v>0</v>
      </c>
      <c r="K206" s="30">
        <f t="shared" si="36"/>
        <v>0</v>
      </c>
      <c r="L206" s="5"/>
      <c r="M206" s="30">
        <f t="shared" si="37"/>
        <v>0</v>
      </c>
      <c r="N206" s="42">
        <f t="shared" si="38"/>
        <v>0</v>
      </c>
      <c r="O206" s="43">
        <f t="shared" si="39"/>
        <v>0</v>
      </c>
      <c r="P206" s="43">
        <f t="shared" si="40"/>
        <v>-0.34013437099999999</v>
      </c>
      <c r="Q206" s="43">
        <f t="shared" si="41"/>
        <v>-0.34013437099999999</v>
      </c>
      <c r="R206" s="43">
        <f t="shared" si="42"/>
        <v>0.11569139033556564</v>
      </c>
    </row>
    <row r="207" spans="1:18" x14ac:dyDescent="0.3">
      <c r="A207" s="47">
        <v>38189</v>
      </c>
      <c r="B207" s="48">
        <v>0</v>
      </c>
      <c r="C207" s="49">
        <v>0</v>
      </c>
      <c r="D207" s="10">
        <f t="shared" si="34"/>
        <v>-0.38980777739764078</v>
      </c>
      <c r="E207" s="10">
        <f t="shared" si="35"/>
        <v>-0.68571147540983624</v>
      </c>
      <c r="F207" s="10">
        <f t="shared" si="33"/>
        <v>0.15195010331968867</v>
      </c>
      <c r="G207" s="10">
        <f t="shared" si="33"/>
        <v>0.47020022750873447</v>
      </c>
      <c r="H207" s="11">
        <f t="shared" si="43"/>
        <v>0.26729566616556527</v>
      </c>
      <c r="I207" s="12">
        <f t="shared" si="44"/>
        <v>0</v>
      </c>
      <c r="J207" s="28">
        <f t="shared" si="45"/>
        <v>0</v>
      </c>
      <c r="K207" s="30">
        <f t="shared" si="36"/>
        <v>0</v>
      </c>
      <c r="L207" s="5"/>
      <c r="M207" s="30">
        <f t="shared" si="37"/>
        <v>0</v>
      </c>
      <c r="N207" s="42">
        <f t="shared" si="38"/>
        <v>0</v>
      </c>
      <c r="O207" s="43">
        <f t="shared" si="39"/>
        <v>0</v>
      </c>
      <c r="P207" s="43">
        <f t="shared" si="40"/>
        <v>-0.34013437099999999</v>
      </c>
      <c r="Q207" s="43">
        <f t="shared" si="41"/>
        <v>-0.34013437099999999</v>
      </c>
      <c r="R207" s="43">
        <f t="shared" si="42"/>
        <v>0.11569139033556564</v>
      </c>
    </row>
    <row r="208" spans="1:18" x14ac:dyDescent="0.3">
      <c r="A208" s="47">
        <v>38190</v>
      </c>
      <c r="B208" s="48">
        <v>0</v>
      </c>
      <c r="C208" s="49">
        <v>0</v>
      </c>
      <c r="D208" s="10">
        <f t="shared" si="34"/>
        <v>-0.38980777739764078</v>
      </c>
      <c r="E208" s="10">
        <f t="shared" si="35"/>
        <v>-0.68571147540983624</v>
      </c>
      <c r="F208" s="10">
        <f t="shared" si="33"/>
        <v>0.15195010331968867</v>
      </c>
      <c r="G208" s="10">
        <f t="shared" si="33"/>
        <v>0.47020022750873447</v>
      </c>
      <c r="H208" s="11">
        <f t="shared" si="43"/>
        <v>0.26729566616556527</v>
      </c>
      <c r="I208" s="12">
        <f t="shared" si="44"/>
        <v>0</v>
      </c>
      <c r="J208" s="28">
        <f t="shared" si="45"/>
        <v>0</v>
      </c>
      <c r="K208" s="30">
        <f t="shared" si="36"/>
        <v>0</v>
      </c>
      <c r="L208" s="5"/>
      <c r="M208" s="30">
        <f t="shared" si="37"/>
        <v>0</v>
      </c>
      <c r="N208" s="42">
        <f t="shared" si="38"/>
        <v>0</v>
      </c>
      <c r="O208" s="43">
        <f t="shared" si="39"/>
        <v>0</v>
      </c>
      <c r="P208" s="43">
        <f t="shared" si="40"/>
        <v>-0.34013437099999999</v>
      </c>
      <c r="Q208" s="43">
        <f t="shared" si="41"/>
        <v>-0.34013437099999999</v>
      </c>
      <c r="R208" s="43">
        <f t="shared" si="42"/>
        <v>0.11569139033556564</v>
      </c>
    </row>
    <row r="209" spans="1:18" x14ac:dyDescent="0.3">
      <c r="A209" s="47">
        <v>38191</v>
      </c>
      <c r="B209" s="48">
        <v>0</v>
      </c>
      <c r="C209" s="49">
        <v>0</v>
      </c>
      <c r="D209" s="10">
        <f t="shared" si="34"/>
        <v>-0.38980777739764078</v>
      </c>
      <c r="E209" s="10">
        <f t="shared" si="35"/>
        <v>-0.68571147540983624</v>
      </c>
      <c r="F209" s="10">
        <f t="shared" si="33"/>
        <v>0.15195010331968867</v>
      </c>
      <c r="G209" s="10">
        <f t="shared" si="33"/>
        <v>0.47020022750873447</v>
      </c>
      <c r="H209" s="11">
        <f t="shared" si="43"/>
        <v>0.26729566616556527</v>
      </c>
      <c r="I209" s="12">
        <f t="shared" si="44"/>
        <v>0</v>
      </c>
      <c r="J209" s="28">
        <f t="shared" si="45"/>
        <v>0</v>
      </c>
      <c r="K209" s="30">
        <f t="shared" si="36"/>
        <v>0</v>
      </c>
      <c r="L209" s="5"/>
      <c r="M209" s="30">
        <f t="shared" si="37"/>
        <v>0</v>
      </c>
      <c r="N209" s="42">
        <f t="shared" si="38"/>
        <v>0</v>
      </c>
      <c r="O209" s="43">
        <f t="shared" si="39"/>
        <v>0</v>
      </c>
      <c r="P209" s="43">
        <f t="shared" si="40"/>
        <v>-0.34013437099999999</v>
      </c>
      <c r="Q209" s="43">
        <f t="shared" si="41"/>
        <v>-0.34013437099999999</v>
      </c>
      <c r="R209" s="43">
        <f t="shared" si="42"/>
        <v>0.11569139033556564</v>
      </c>
    </row>
    <row r="210" spans="1:18" x14ac:dyDescent="0.3">
      <c r="A210" s="47">
        <v>38192</v>
      </c>
      <c r="B210" s="48">
        <v>0</v>
      </c>
      <c r="C210" s="49">
        <v>0</v>
      </c>
      <c r="D210" s="10">
        <f t="shared" si="34"/>
        <v>-0.38980777739764078</v>
      </c>
      <c r="E210" s="10">
        <f t="shared" si="35"/>
        <v>-0.68571147540983624</v>
      </c>
      <c r="F210" s="10">
        <f t="shared" si="33"/>
        <v>0.15195010331968867</v>
      </c>
      <c r="G210" s="10">
        <f t="shared" si="33"/>
        <v>0.47020022750873447</v>
      </c>
      <c r="H210" s="11">
        <f t="shared" si="43"/>
        <v>0.26729566616556527</v>
      </c>
      <c r="I210" s="12">
        <f t="shared" si="44"/>
        <v>0</v>
      </c>
      <c r="J210" s="28">
        <f t="shared" si="45"/>
        <v>0</v>
      </c>
      <c r="K210" s="30">
        <f t="shared" si="36"/>
        <v>0</v>
      </c>
      <c r="L210" s="5"/>
      <c r="M210" s="30">
        <f t="shared" si="37"/>
        <v>0</v>
      </c>
      <c r="N210" s="42">
        <f t="shared" si="38"/>
        <v>0</v>
      </c>
      <c r="O210" s="43">
        <f t="shared" si="39"/>
        <v>0</v>
      </c>
      <c r="P210" s="43">
        <f t="shared" si="40"/>
        <v>-0.34013437099999999</v>
      </c>
      <c r="Q210" s="43">
        <f t="shared" si="41"/>
        <v>-0.34013437099999999</v>
      </c>
      <c r="R210" s="43">
        <f t="shared" si="42"/>
        <v>0.11569139033556564</v>
      </c>
    </row>
    <row r="211" spans="1:18" x14ac:dyDescent="0.3">
      <c r="A211" s="47">
        <v>38193</v>
      </c>
      <c r="B211" s="48">
        <v>0</v>
      </c>
      <c r="C211" s="49">
        <v>0</v>
      </c>
      <c r="D211" s="10">
        <f t="shared" si="34"/>
        <v>-0.38980777739764078</v>
      </c>
      <c r="E211" s="10">
        <f t="shared" si="35"/>
        <v>-0.68571147540983624</v>
      </c>
      <c r="F211" s="10">
        <f t="shared" si="33"/>
        <v>0.15195010331968867</v>
      </c>
      <c r="G211" s="10">
        <f t="shared" si="33"/>
        <v>0.47020022750873447</v>
      </c>
      <c r="H211" s="11">
        <f t="shared" si="43"/>
        <v>0.26729566616556527</v>
      </c>
      <c r="I211" s="12">
        <f t="shared" si="44"/>
        <v>0</v>
      </c>
      <c r="J211" s="28">
        <f t="shared" si="45"/>
        <v>0</v>
      </c>
      <c r="K211" s="30">
        <f t="shared" si="36"/>
        <v>0</v>
      </c>
      <c r="L211" s="5"/>
      <c r="M211" s="30">
        <f t="shared" si="37"/>
        <v>0</v>
      </c>
      <c r="N211" s="42">
        <f t="shared" si="38"/>
        <v>0</v>
      </c>
      <c r="O211" s="43">
        <f t="shared" si="39"/>
        <v>0</v>
      </c>
      <c r="P211" s="43">
        <f t="shared" si="40"/>
        <v>-0.34013437099999999</v>
      </c>
      <c r="Q211" s="43">
        <f t="shared" si="41"/>
        <v>-0.34013437099999999</v>
      </c>
      <c r="R211" s="43">
        <f t="shared" si="42"/>
        <v>0.11569139033556564</v>
      </c>
    </row>
    <row r="212" spans="1:18" x14ac:dyDescent="0.3">
      <c r="A212" s="47">
        <v>38194</v>
      </c>
      <c r="B212" s="48">
        <v>0</v>
      </c>
      <c r="C212" s="49">
        <v>0</v>
      </c>
      <c r="D212" s="10">
        <f t="shared" si="34"/>
        <v>-0.38980777739764078</v>
      </c>
      <c r="E212" s="10">
        <f t="shared" si="35"/>
        <v>-0.68571147540983624</v>
      </c>
      <c r="F212" s="10">
        <f t="shared" si="33"/>
        <v>0.15195010331968867</v>
      </c>
      <c r="G212" s="10">
        <f t="shared" si="33"/>
        <v>0.47020022750873447</v>
      </c>
      <c r="H212" s="11">
        <f t="shared" si="43"/>
        <v>0.26729566616556527</v>
      </c>
      <c r="I212" s="12">
        <f t="shared" si="44"/>
        <v>0</v>
      </c>
      <c r="J212" s="28">
        <f t="shared" si="45"/>
        <v>0</v>
      </c>
      <c r="K212" s="30">
        <f t="shared" si="36"/>
        <v>0</v>
      </c>
      <c r="L212" s="5"/>
      <c r="M212" s="30">
        <f t="shared" si="37"/>
        <v>0</v>
      </c>
      <c r="N212" s="42">
        <f t="shared" si="38"/>
        <v>0</v>
      </c>
      <c r="O212" s="43">
        <f t="shared" si="39"/>
        <v>0</v>
      </c>
      <c r="P212" s="43">
        <f t="shared" si="40"/>
        <v>-0.34013437099999999</v>
      </c>
      <c r="Q212" s="43">
        <f t="shared" si="41"/>
        <v>-0.34013437099999999</v>
      </c>
      <c r="R212" s="43">
        <f t="shared" si="42"/>
        <v>0.11569139033556564</v>
      </c>
    </row>
    <row r="213" spans="1:18" x14ac:dyDescent="0.3">
      <c r="A213" s="47">
        <v>38195</v>
      </c>
      <c r="B213" s="48">
        <v>0</v>
      </c>
      <c r="C213" s="49">
        <v>0</v>
      </c>
      <c r="D213" s="10">
        <f t="shared" si="34"/>
        <v>-0.38980777739764078</v>
      </c>
      <c r="E213" s="10">
        <f t="shared" si="35"/>
        <v>-0.68571147540983624</v>
      </c>
      <c r="F213" s="10">
        <f t="shared" ref="F213:G276" si="46">D213^2</f>
        <v>0.15195010331968867</v>
      </c>
      <c r="G213" s="10">
        <f t="shared" si="46"/>
        <v>0.47020022750873447</v>
      </c>
      <c r="H213" s="11">
        <f t="shared" si="43"/>
        <v>0.26729566616556527</v>
      </c>
      <c r="I213" s="12">
        <f t="shared" si="44"/>
        <v>0</v>
      </c>
      <c r="J213" s="28">
        <f t="shared" si="45"/>
        <v>0</v>
      </c>
      <c r="K213" s="30">
        <f t="shared" si="36"/>
        <v>0</v>
      </c>
      <c r="L213" s="5"/>
      <c r="M213" s="30">
        <f t="shared" si="37"/>
        <v>0</v>
      </c>
      <c r="N213" s="42">
        <f t="shared" si="38"/>
        <v>0</v>
      </c>
      <c r="O213" s="43">
        <f t="shared" si="39"/>
        <v>0</v>
      </c>
      <c r="P213" s="43">
        <f t="shared" si="40"/>
        <v>-0.34013437099999999</v>
      </c>
      <c r="Q213" s="43">
        <f t="shared" si="41"/>
        <v>-0.34013437099999999</v>
      </c>
      <c r="R213" s="43">
        <f t="shared" si="42"/>
        <v>0.11569139033556564</v>
      </c>
    </row>
    <row r="214" spans="1:18" x14ac:dyDescent="0.3">
      <c r="A214" s="47">
        <v>38196</v>
      </c>
      <c r="B214" s="48">
        <v>0</v>
      </c>
      <c r="C214" s="49">
        <v>0</v>
      </c>
      <c r="D214" s="10">
        <f t="shared" si="34"/>
        <v>-0.38980777739764078</v>
      </c>
      <c r="E214" s="10">
        <f t="shared" si="35"/>
        <v>-0.68571147540983624</v>
      </c>
      <c r="F214" s="10">
        <f t="shared" si="46"/>
        <v>0.15195010331968867</v>
      </c>
      <c r="G214" s="10">
        <f t="shared" si="46"/>
        <v>0.47020022750873447</v>
      </c>
      <c r="H214" s="11">
        <f t="shared" si="43"/>
        <v>0.26729566616556527</v>
      </c>
      <c r="I214" s="12">
        <f t="shared" si="44"/>
        <v>0</v>
      </c>
      <c r="J214" s="28">
        <f t="shared" si="45"/>
        <v>0</v>
      </c>
      <c r="K214" s="30">
        <f t="shared" si="36"/>
        <v>0</v>
      </c>
      <c r="L214" s="5"/>
      <c r="M214" s="30">
        <f t="shared" si="37"/>
        <v>0</v>
      </c>
      <c r="N214" s="42">
        <f t="shared" si="38"/>
        <v>0</v>
      </c>
      <c r="O214" s="43">
        <f t="shared" si="39"/>
        <v>0</v>
      </c>
      <c r="P214" s="43">
        <f t="shared" si="40"/>
        <v>-0.34013437099999999</v>
      </c>
      <c r="Q214" s="43">
        <f t="shared" si="41"/>
        <v>-0.34013437099999999</v>
      </c>
      <c r="R214" s="43">
        <f t="shared" si="42"/>
        <v>0.11569139033556564</v>
      </c>
    </row>
    <row r="215" spans="1:18" x14ac:dyDescent="0.3">
      <c r="A215" s="47">
        <v>38197</v>
      </c>
      <c r="B215" s="48">
        <v>0</v>
      </c>
      <c r="C215" s="49">
        <v>0</v>
      </c>
      <c r="D215" s="10">
        <f t="shared" si="34"/>
        <v>-0.38980777739764078</v>
      </c>
      <c r="E215" s="10">
        <f t="shared" si="35"/>
        <v>-0.68571147540983624</v>
      </c>
      <c r="F215" s="10">
        <f t="shared" si="46"/>
        <v>0.15195010331968867</v>
      </c>
      <c r="G215" s="10">
        <f t="shared" si="46"/>
        <v>0.47020022750873447</v>
      </c>
      <c r="H215" s="11">
        <f t="shared" si="43"/>
        <v>0.26729566616556527</v>
      </c>
      <c r="I215" s="12">
        <f t="shared" si="44"/>
        <v>0</v>
      </c>
      <c r="J215" s="28">
        <f t="shared" si="45"/>
        <v>0</v>
      </c>
      <c r="K215" s="30">
        <f t="shared" si="36"/>
        <v>0</v>
      </c>
      <c r="L215" s="5"/>
      <c r="M215" s="30">
        <f t="shared" si="37"/>
        <v>0</v>
      </c>
      <c r="N215" s="42">
        <f t="shared" si="38"/>
        <v>0</v>
      </c>
      <c r="O215" s="43">
        <f t="shared" si="39"/>
        <v>0</v>
      </c>
      <c r="P215" s="43">
        <f t="shared" si="40"/>
        <v>-0.34013437099999999</v>
      </c>
      <c r="Q215" s="43">
        <f t="shared" si="41"/>
        <v>-0.34013437099999999</v>
      </c>
      <c r="R215" s="43">
        <f t="shared" si="42"/>
        <v>0.11569139033556564</v>
      </c>
    </row>
    <row r="216" spans="1:18" x14ac:dyDescent="0.3">
      <c r="A216" s="47">
        <v>38198</v>
      </c>
      <c r="B216" s="48">
        <v>0</v>
      </c>
      <c r="C216" s="49">
        <v>0</v>
      </c>
      <c r="D216" s="10">
        <f t="shared" si="34"/>
        <v>-0.38980777739764078</v>
      </c>
      <c r="E216" s="10">
        <f t="shared" si="35"/>
        <v>-0.68571147540983624</v>
      </c>
      <c r="F216" s="10">
        <f t="shared" si="46"/>
        <v>0.15195010331968867</v>
      </c>
      <c r="G216" s="10">
        <f t="shared" si="46"/>
        <v>0.47020022750873447</v>
      </c>
      <c r="H216" s="11">
        <f t="shared" si="43"/>
        <v>0.26729566616556527</v>
      </c>
      <c r="I216" s="12">
        <f t="shared" si="44"/>
        <v>0</v>
      </c>
      <c r="J216" s="28">
        <f t="shared" si="45"/>
        <v>0</v>
      </c>
      <c r="K216" s="30">
        <f t="shared" si="36"/>
        <v>0</v>
      </c>
      <c r="L216" s="5"/>
      <c r="M216" s="30">
        <f t="shared" si="37"/>
        <v>0</v>
      </c>
      <c r="N216" s="42">
        <f t="shared" si="38"/>
        <v>0</v>
      </c>
      <c r="O216" s="43">
        <f t="shared" si="39"/>
        <v>0</v>
      </c>
      <c r="P216" s="43">
        <f t="shared" si="40"/>
        <v>-0.34013437099999999</v>
      </c>
      <c r="Q216" s="43">
        <f t="shared" si="41"/>
        <v>-0.34013437099999999</v>
      </c>
      <c r="R216" s="43">
        <f t="shared" si="42"/>
        <v>0.11569139033556564</v>
      </c>
    </row>
    <row r="217" spans="1:18" x14ac:dyDescent="0.3">
      <c r="A217" s="47">
        <v>38199</v>
      </c>
      <c r="B217" s="48">
        <v>0</v>
      </c>
      <c r="C217" s="49">
        <v>0</v>
      </c>
      <c r="D217" s="10">
        <f t="shared" si="34"/>
        <v>-0.38980777739764078</v>
      </c>
      <c r="E217" s="10">
        <f t="shared" si="35"/>
        <v>-0.68571147540983624</v>
      </c>
      <c r="F217" s="10">
        <f t="shared" si="46"/>
        <v>0.15195010331968867</v>
      </c>
      <c r="G217" s="10">
        <f t="shared" si="46"/>
        <v>0.47020022750873447</v>
      </c>
      <c r="H217" s="11">
        <f t="shared" si="43"/>
        <v>0.26729566616556527</v>
      </c>
      <c r="I217" s="12">
        <f t="shared" si="44"/>
        <v>0</v>
      </c>
      <c r="J217" s="28">
        <f t="shared" si="45"/>
        <v>0</v>
      </c>
      <c r="K217" s="30">
        <f t="shared" si="36"/>
        <v>0</v>
      </c>
      <c r="L217" s="5"/>
      <c r="M217" s="30">
        <f t="shared" si="37"/>
        <v>0</v>
      </c>
      <c r="N217" s="42">
        <f t="shared" si="38"/>
        <v>0</v>
      </c>
      <c r="O217" s="43">
        <f t="shared" si="39"/>
        <v>0</v>
      </c>
      <c r="P217" s="43">
        <f t="shared" si="40"/>
        <v>-0.34013437099999999</v>
      </c>
      <c r="Q217" s="43">
        <f t="shared" si="41"/>
        <v>-0.34013437099999999</v>
      </c>
      <c r="R217" s="43">
        <f t="shared" si="42"/>
        <v>0.11569139033556564</v>
      </c>
    </row>
    <row r="218" spans="1:18" x14ac:dyDescent="0.3">
      <c r="A218" s="47">
        <v>38200</v>
      </c>
      <c r="B218" s="48">
        <v>0</v>
      </c>
      <c r="C218" s="49">
        <v>0</v>
      </c>
      <c r="D218" s="10">
        <f t="shared" si="34"/>
        <v>-0.38980777739764078</v>
      </c>
      <c r="E218" s="10">
        <f t="shared" si="35"/>
        <v>-0.68571147540983624</v>
      </c>
      <c r="F218" s="10">
        <f t="shared" si="46"/>
        <v>0.15195010331968867</v>
      </c>
      <c r="G218" s="10">
        <f t="shared" si="46"/>
        <v>0.47020022750873447</v>
      </c>
      <c r="H218" s="11">
        <f t="shared" si="43"/>
        <v>0.26729566616556527</v>
      </c>
      <c r="I218" s="12">
        <f t="shared" si="44"/>
        <v>0</v>
      </c>
      <c r="J218" s="28">
        <f t="shared" si="45"/>
        <v>0</v>
      </c>
      <c r="K218" s="30">
        <f t="shared" si="36"/>
        <v>0</v>
      </c>
      <c r="L218" s="5"/>
      <c r="M218" s="30">
        <f t="shared" si="37"/>
        <v>0</v>
      </c>
      <c r="N218" s="42">
        <f t="shared" si="38"/>
        <v>0</v>
      </c>
      <c r="O218" s="43">
        <f t="shared" si="39"/>
        <v>0</v>
      </c>
      <c r="P218" s="43">
        <f t="shared" si="40"/>
        <v>-0.34013437099999999</v>
      </c>
      <c r="Q218" s="43">
        <f t="shared" si="41"/>
        <v>-0.34013437099999999</v>
      </c>
      <c r="R218" s="43">
        <f t="shared" si="42"/>
        <v>0.11569139033556564</v>
      </c>
    </row>
    <row r="219" spans="1:18" ht="15.75" customHeight="1" x14ac:dyDescent="0.3">
      <c r="A219" s="47">
        <v>38201</v>
      </c>
      <c r="B219" s="48">
        <v>0</v>
      </c>
      <c r="C219" s="49">
        <v>0</v>
      </c>
      <c r="D219" s="10">
        <f t="shared" si="34"/>
        <v>-0.38980777739764078</v>
      </c>
      <c r="E219" s="10">
        <f t="shared" si="35"/>
        <v>-0.68571147540983624</v>
      </c>
      <c r="F219" s="10">
        <f t="shared" si="46"/>
        <v>0.15195010331968867</v>
      </c>
      <c r="G219" s="10">
        <f t="shared" si="46"/>
        <v>0.47020022750873447</v>
      </c>
      <c r="H219" s="11">
        <f t="shared" si="43"/>
        <v>0.26729566616556527</v>
      </c>
      <c r="I219" s="12">
        <f t="shared" si="44"/>
        <v>0</v>
      </c>
      <c r="J219" s="28">
        <f t="shared" si="45"/>
        <v>0</v>
      </c>
      <c r="K219" s="30">
        <f t="shared" si="36"/>
        <v>0</v>
      </c>
      <c r="L219" s="5"/>
      <c r="M219" s="30">
        <f t="shared" si="37"/>
        <v>0</v>
      </c>
      <c r="N219" s="42">
        <f t="shared" si="38"/>
        <v>0</v>
      </c>
      <c r="O219" s="43">
        <f t="shared" si="39"/>
        <v>0</v>
      </c>
      <c r="P219" s="43">
        <f t="shared" si="40"/>
        <v>-0.34013437099999999</v>
      </c>
      <c r="Q219" s="43">
        <f t="shared" si="41"/>
        <v>-0.34013437099999999</v>
      </c>
      <c r="R219" s="43">
        <f t="shared" si="42"/>
        <v>0.11569139033556564</v>
      </c>
    </row>
    <row r="220" spans="1:18" ht="15.75" customHeight="1" x14ac:dyDescent="0.3">
      <c r="A220" s="47">
        <v>38202</v>
      </c>
      <c r="B220" s="48">
        <v>0</v>
      </c>
      <c r="C220" s="49">
        <v>0</v>
      </c>
      <c r="D220" s="10">
        <f t="shared" si="34"/>
        <v>-0.38980777739764078</v>
      </c>
      <c r="E220" s="10">
        <f t="shared" si="35"/>
        <v>-0.68571147540983624</v>
      </c>
      <c r="F220" s="10">
        <f t="shared" si="46"/>
        <v>0.15195010331968867</v>
      </c>
      <c r="G220" s="10">
        <f t="shared" si="46"/>
        <v>0.47020022750873447</v>
      </c>
      <c r="H220" s="11">
        <f t="shared" si="43"/>
        <v>0.26729566616556527</v>
      </c>
      <c r="I220" s="12">
        <f t="shared" si="44"/>
        <v>0</v>
      </c>
      <c r="J220" s="28">
        <f t="shared" si="45"/>
        <v>0</v>
      </c>
      <c r="K220" s="30">
        <f t="shared" si="36"/>
        <v>0</v>
      </c>
      <c r="L220" s="5"/>
      <c r="M220" s="30">
        <f t="shared" si="37"/>
        <v>0</v>
      </c>
      <c r="N220" s="42">
        <f t="shared" si="38"/>
        <v>0</v>
      </c>
      <c r="O220" s="43">
        <f t="shared" si="39"/>
        <v>0</v>
      </c>
      <c r="P220" s="43">
        <f t="shared" si="40"/>
        <v>-0.34013437099999999</v>
      </c>
      <c r="Q220" s="43">
        <f t="shared" si="41"/>
        <v>-0.34013437099999999</v>
      </c>
      <c r="R220" s="43">
        <f t="shared" si="42"/>
        <v>0.11569139033556564</v>
      </c>
    </row>
    <row r="221" spans="1:18" ht="15.75" customHeight="1" x14ac:dyDescent="0.3">
      <c r="A221" s="47">
        <v>38203</v>
      </c>
      <c r="B221" s="48">
        <v>0</v>
      </c>
      <c r="C221" s="49">
        <v>0</v>
      </c>
      <c r="D221" s="10">
        <f t="shared" si="34"/>
        <v>-0.38980777739764078</v>
      </c>
      <c r="E221" s="10">
        <f t="shared" si="35"/>
        <v>-0.68571147540983624</v>
      </c>
      <c r="F221" s="10">
        <f t="shared" si="46"/>
        <v>0.15195010331968867</v>
      </c>
      <c r="G221" s="10">
        <f t="shared" si="46"/>
        <v>0.47020022750873447</v>
      </c>
      <c r="H221" s="11">
        <f t="shared" si="43"/>
        <v>0.26729566616556527</v>
      </c>
      <c r="I221" s="12">
        <f t="shared" si="44"/>
        <v>0</v>
      </c>
      <c r="J221" s="28">
        <f t="shared" si="45"/>
        <v>0</v>
      </c>
      <c r="K221" s="30">
        <f t="shared" si="36"/>
        <v>0</v>
      </c>
      <c r="L221" s="5"/>
      <c r="M221" s="30">
        <f t="shared" si="37"/>
        <v>0</v>
      </c>
      <c r="N221" s="42">
        <f t="shared" si="38"/>
        <v>0</v>
      </c>
      <c r="O221" s="43">
        <f t="shared" si="39"/>
        <v>0</v>
      </c>
      <c r="P221" s="43">
        <f t="shared" si="40"/>
        <v>-0.34013437099999999</v>
      </c>
      <c r="Q221" s="43">
        <f t="shared" si="41"/>
        <v>-0.34013437099999999</v>
      </c>
      <c r="R221" s="43">
        <f t="shared" si="42"/>
        <v>0.11569139033556564</v>
      </c>
    </row>
    <row r="222" spans="1:18" ht="15.75" customHeight="1" x14ac:dyDescent="0.3">
      <c r="A222" s="47">
        <v>38204</v>
      </c>
      <c r="B222" s="48">
        <v>0</v>
      </c>
      <c r="C222" s="49">
        <v>0</v>
      </c>
      <c r="D222" s="10">
        <f t="shared" si="34"/>
        <v>-0.38980777739764078</v>
      </c>
      <c r="E222" s="10">
        <f t="shared" si="35"/>
        <v>-0.68571147540983624</v>
      </c>
      <c r="F222" s="10">
        <f t="shared" si="46"/>
        <v>0.15195010331968867</v>
      </c>
      <c r="G222" s="10">
        <f t="shared" si="46"/>
        <v>0.47020022750873447</v>
      </c>
      <c r="H222" s="11">
        <f t="shared" si="43"/>
        <v>0.26729566616556527</v>
      </c>
      <c r="I222" s="12">
        <f t="shared" si="44"/>
        <v>0</v>
      </c>
      <c r="J222" s="28">
        <f t="shared" si="45"/>
        <v>0</v>
      </c>
      <c r="K222" s="30">
        <f t="shared" si="36"/>
        <v>0</v>
      </c>
      <c r="L222" s="5"/>
      <c r="M222" s="30">
        <f t="shared" si="37"/>
        <v>0</v>
      </c>
      <c r="N222" s="42">
        <f t="shared" si="38"/>
        <v>0</v>
      </c>
      <c r="O222" s="43">
        <f t="shared" si="39"/>
        <v>0</v>
      </c>
      <c r="P222" s="43">
        <f t="shared" si="40"/>
        <v>-0.34013437099999999</v>
      </c>
      <c r="Q222" s="43">
        <f t="shared" si="41"/>
        <v>-0.34013437099999999</v>
      </c>
      <c r="R222" s="43">
        <f t="shared" si="42"/>
        <v>0.11569139033556564</v>
      </c>
    </row>
    <row r="223" spans="1:18" ht="15.75" customHeight="1" x14ac:dyDescent="0.3">
      <c r="A223" s="47">
        <v>38205</v>
      </c>
      <c r="B223" s="48">
        <v>0</v>
      </c>
      <c r="C223" s="49">
        <v>0</v>
      </c>
      <c r="D223" s="10">
        <f t="shared" si="34"/>
        <v>-0.38980777739764078</v>
      </c>
      <c r="E223" s="10">
        <f t="shared" si="35"/>
        <v>-0.68571147540983624</v>
      </c>
      <c r="F223" s="10">
        <f t="shared" si="46"/>
        <v>0.15195010331968867</v>
      </c>
      <c r="G223" s="10">
        <f t="shared" si="46"/>
        <v>0.47020022750873447</v>
      </c>
      <c r="H223" s="11">
        <f t="shared" si="43"/>
        <v>0.26729566616556527</v>
      </c>
      <c r="I223" s="12">
        <f t="shared" si="44"/>
        <v>0</v>
      </c>
      <c r="J223" s="28">
        <f t="shared" si="45"/>
        <v>0</v>
      </c>
      <c r="K223" s="30">
        <f t="shared" si="36"/>
        <v>0</v>
      </c>
      <c r="L223" s="5"/>
      <c r="M223" s="30">
        <f t="shared" si="37"/>
        <v>0</v>
      </c>
      <c r="N223" s="42">
        <f t="shared" si="38"/>
        <v>0</v>
      </c>
      <c r="O223" s="43">
        <f t="shared" si="39"/>
        <v>0</v>
      </c>
      <c r="P223" s="43">
        <f t="shared" si="40"/>
        <v>-0.34013437099999999</v>
      </c>
      <c r="Q223" s="43">
        <f t="shared" si="41"/>
        <v>-0.34013437099999999</v>
      </c>
      <c r="R223" s="43">
        <f t="shared" si="42"/>
        <v>0.11569139033556564</v>
      </c>
    </row>
    <row r="224" spans="1:18" ht="15.75" customHeight="1" x14ac:dyDescent="0.3">
      <c r="A224" s="47">
        <v>38206</v>
      </c>
      <c r="B224" s="48">
        <v>0</v>
      </c>
      <c r="C224" s="49">
        <v>0</v>
      </c>
      <c r="D224" s="10">
        <f t="shared" si="34"/>
        <v>-0.38980777739764078</v>
      </c>
      <c r="E224" s="10">
        <f t="shared" si="35"/>
        <v>-0.68571147540983624</v>
      </c>
      <c r="F224" s="10">
        <f t="shared" si="46"/>
        <v>0.15195010331968867</v>
      </c>
      <c r="G224" s="10">
        <f t="shared" si="46"/>
        <v>0.47020022750873447</v>
      </c>
      <c r="H224" s="11">
        <f t="shared" si="43"/>
        <v>0.26729566616556527</v>
      </c>
      <c r="I224" s="12">
        <f t="shared" si="44"/>
        <v>0</v>
      </c>
      <c r="J224" s="28">
        <f t="shared" si="45"/>
        <v>0</v>
      </c>
      <c r="K224" s="30">
        <f t="shared" si="36"/>
        <v>0</v>
      </c>
      <c r="L224" s="5"/>
      <c r="M224" s="30">
        <f t="shared" si="37"/>
        <v>0</v>
      </c>
      <c r="N224" s="42">
        <f t="shared" si="38"/>
        <v>0</v>
      </c>
      <c r="O224" s="43">
        <f t="shared" si="39"/>
        <v>0</v>
      </c>
      <c r="P224" s="43">
        <f t="shared" si="40"/>
        <v>-0.34013437099999999</v>
      </c>
      <c r="Q224" s="43">
        <f t="shared" si="41"/>
        <v>-0.34013437099999999</v>
      </c>
      <c r="R224" s="43">
        <f t="shared" si="42"/>
        <v>0.11569139033556564</v>
      </c>
    </row>
    <row r="225" spans="1:18" ht="15.75" customHeight="1" x14ac:dyDescent="0.3">
      <c r="A225" s="47">
        <v>38207</v>
      </c>
      <c r="B225" s="48">
        <v>0</v>
      </c>
      <c r="C225" s="49">
        <v>0</v>
      </c>
      <c r="D225" s="10">
        <f t="shared" si="34"/>
        <v>-0.38980777739764078</v>
      </c>
      <c r="E225" s="10">
        <f t="shared" si="35"/>
        <v>-0.68571147540983624</v>
      </c>
      <c r="F225" s="10">
        <f t="shared" si="46"/>
        <v>0.15195010331968867</v>
      </c>
      <c r="G225" s="10">
        <f t="shared" si="46"/>
        <v>0.47020022750873447</v>
      </c>
      <c r="H225" s="11">
        <f t="shared" si="43"/>
        <v>0.26729566616556527</v>
      </c>
      <c r="I225" s="12">
        <f t="shared" si="44"/>
        <v>0</v>
      </c>
      <c r="J225" s="28">
        <f t="shared" si="45"/>
        <v>0</v>
      </c>
      <c r="K225" s="30">
        <f t="shared" si="36"/>
        <v>0</v>
      </c>
      <c r="L225" s="5"/>
      <c r="M225" s="30">
        <f t="shared" si="37"/>
        <v>0</v>
      </c>
      <c r="N225" s="42">
        <f t="shared" si="38"/>
        <v>0</v>
      </c>
      <c r="O225" s="43">
        <f t="shared" si="39"/>
        <v>0</v>
      </c>
      <c r="P225" s="43">
        <f t="shared" si="40"/>
        <v>-0.34013437099999999</v>
      </c>
      <c r="Q225" s="43">
        <f t="shared" si="41"/>
        <v>-0.34013437099999999</v>
      </c>
      <c r="R225" s="43">
        <f t="shared" si="42"/>
        <v>0.11569139033556564</v>
      </c>
    </row>
    <row r="226" spans="1:18" ht="15.75" customHeight="1" x14ac:dyDescent="0.3">
      <c r="A226" s="47">
        <v>38208</v>
      </c>
      <c r="B226" s="48">
        <v>0</v>
      </c>
      <c r="C226" s="49">
        <v>0</v>
      </c>
      <c r="D226" s="10">
        <f t="shared" si="34"/>
        <v>-0.38980777739764078</v>
      </c>
      <c r="E226" s="10">
        <f t="shared" si="35"/>
        <v>-0.68571147540983624</v>
      </c>
      <c r="F226" s="10">
        <f t="shared" si="46"/>
        <v>0.15195010331968867</v>
      </c>
      <c r="G226" s="10">
        <f t="shared" si="46"/>
        <v>0.47020022750873447</v>
      </c>
      <c r="H226" s="11">
        <f t="shared" si="43"/>
        <v>0.26729566616556527</v>
      </c>
      <c r="I226" s="12">
        <f t="shared" si="44"/>
        <v>0</v>
      </c>
      <c r="J226" s="28">
        <f t="shared" si="45"/>
        <v>0</v>
      </c>
      <c r="K226" s="30">
        <f t="shared" si="36"/>
        <v>0</v>
      </c>
      <c r="L226" s="5"/>
      <c r="M226" s="30">
        <f t="shared" si="37"/>
        <v>0</v>
      </c>
      <c r="N226" s="42">
        <f t="shared" si="38"/>
        <v>0</v>
      </c>
      <c r="O226" s="43">
        <f t="shared" si="39"/>
        <v>0</v>
      </c>
      <c r="P226" s="43">
        <f t="shared" si="40"/>
        <v>-0.34013437099999999</v>
      </c>
      <c r="Q226" s="43">
        <f t="shared" si="41"/>
        <v>-0.34013437099999999</v>
      </c>
      <c r="R226" s="43">
        <f t="shared" si="42"/>
        <v>0.11569139033556564</v>
      </c>
    </row>
    <row r="227" spans="1:18" ht="15.75" customHeight="1" x14ac:dyDescent="0.3">
      <c r="A227" s="47">
        <v>38209</v>
      </c>
      <c r="B227" s="48">
        <v>0</v>
      </c>
      <c r="C227" s="49">
        <v>0</v>
      </c>
      <c r="D227" s="10">
        <f t="shared" si="34"/>
        <v>-0.38980777739764078</v>
      </c>
      <c r="E227" s="10">
        <f t="shared" si="35"/>
        <v>-0.68571147540983624</v>
      </c>
      <c r="F227" s="10">
        <f t="shared" si="46"/>
        <v>0.15195010331968867</v>
      </c>
      <c r="G227" s="10">
        <f t="shared" si="46"/>
        <v>0.47020022750873447</v>
      </c>
      <c r="H227" s="11">
        <f t="shared" si="43"/>
        <v>0.26729566616556527</v>
      </c>
      <c r="I227" s="12">
        <f t="shared" si="44"/>
        <v>0</v>
      </c>
      <c r="J227" s="28">
        <f t="shared" si="45"/>
        <v>0</v>
      </c>
      <c r="K227" s="30">
        <f t="shared" si="36"/>
        <v>0</v>
      </c>
      <c r="L227" s="5"/>
      <c r="M227" s="30">
        <f t="shared" si="37"/>
        <v>0</v>
      </c>
      <c r="N227" s="42">
        <f t="shared" si="38"/>
        <v>0</v>
      </c>
      <c r="O227" s="43">
        <f t="shared" si="39"/>
        <v>0</v>
      </c>
      <c r="P227" s="43">
        <f t="shared" si="40"/>
        <v>-0.34013437099999999</v>
      </c>
      <c r="Q227" s="43">
        <f t="shared" si="41"/>
        <v>-0.34013437099999999</v>
      </c>
      <c r="R227" s="43">
        <f t="shared" si="42"/>
        <v>0.11569139033556564</v>
      </c>
    </row>
    <row r="228" spans="1:18" ht="15.75" customHeight="1" x14ac:dyDescent="0.3">
      <c r="A228" s="47">
        <v>38210</v>
      </c>
      <c r="B228" s="48">
        <v>0</v>
      </c>
      <c r="C228" s="49">
        <v>0</v>
      </c>
      <c r="D228" s="10">
        <f t="shared" si="34"/>
        <v>-0.38980777739764078</v>
      </c>
      <c r="E228" s="10">
        <f t="shared" si="35"/>
        <v>-0.68571147540983624</v>
      </c>
      <c r="F228" s="10">
        <f t="shared" si="46"/>
        <v>0.15195010331968867</v>
      </c>
      <c r="G228" s="10">
        <f t="shared" si="46"/>
        <v>0.47020022750873447</v>
      </c>
      <c r="H228" s="11">
        <f t="shared" si="43"/>
        <v>0.26729566616556527</v>
      </c>
      <c r="I228" s="12">
        <f t="shared" si="44"/>
        <v>0</v>
      </c>
      <c r="J228" s="28">
        <f t="shared" si="45"/>
        <v>0</v>
      </c>
      <c r="K228" s="30">
        <f t="shared" si="36"/>
        <v>0</v>
      </c>
      <c r="L228" s="5"/>
      <c r="M228" s="30">
        <f t="shared" si="37"/>
        <v>0</v>
      </c>
      <c r="N228" s="42">
        <f t="shared" si="38"/>
        <v>0</v>
      </c>
      <c r="O228" s="43">
        <f t="shared" si="39"/>
        <v>0</v>
      </c>
      <c r="P228" s="43">
        <f t="shared" si="40"/>
        <v>-0.34013437099999999</v>
      </c>
      <c r="Q228" s="43">
        <f t="shared" si="41"/>
        <v>-0.34013437099999999</v>
      </c>
      <c r="R228" s="43">
        <f t="shared" si="42"/>
        <v>0.11569139033556564</v>
      </c>
    </row>
    <row r="229" spans="1:18" ht="15.75" customHeight="1" x14ac:dyDescent="0.3">
      <c r="A229" s="47">
        <v>38211</v>
      </c>
      <c r="B229" s="48">
        <v>0</v>
      </c>
      <c r="C229" s="49">
        <v>0</v>
      </c>
      <c r="D229" s="10">
        <f t="shared" si="34"/>
        <v>-0.38980777739764078</v>
      </c>
      <c r="E229" s="10">
        <f t="shared" si="35"/>
        <v>-0.68571147540983624</v>
      </c>
      <c r="F229" s="10">
        <f t="shared" si="46"/>
        <v>0.15195010331968867</v>
      </c>
      <c r="G229" s="10">
        <f t="shared" si="46"/>
        <v>0.47020022750873447</v>
      </c>
      <c r="H229" s="11">
        <f t="shared" si="43"/>
        <v>0.26729566616556527</v>
      </c>
      <c r="I229" s="12">
        <f t="shared" si="44"/>
        <v>0</v>
      </c>
      <c r="J229" s="28">
        <f t="shared" si="45"/>
        <v>0</v>
      </c>
      <c r="K229" s="30">
        <f t="shared" si="36"/>
        <v>0</v>
      </c>
      <c r="L229" s="5"/>
      <c r="M229" s="30">
        <f t="shared" si="37"/>
        <v>0</v>
      </c>
      <c r="N229" s="42">
        <f t="shared" si="38"/>
        <v>0</v>
      </c>
      <c r="O229" s="43">
        <f t="shared" si="39"/>
        <v>0</v>
      </c>
      <c r="P229" s="43">
        <f t="shared" si="40"/>
        <v>-0.34013437099999999</v>
      </c>
      <c r="Q229" s="43">
        <f t="shared" si="41"/>
        <v>-0.34013437099999999</v>
      </c>
      <c r="R229" s="43">
        <f t="shared" si="42"/>
        <v>0.11569139033556564</v>
      </c>
    </row>
    <row r="230" spans="1:18" ht="15.75" customHeight="1" x14ac:dyDescent="0.3">
      <c r="A230" s="47">
        <v>38212</v>
      </c>
      <c r="B230" s="48">
        <v>0</v>
      </c>
      <c r="C230" s="49">
        <v>0</v>
      </c>
      <c r="D230" s="10">
        <f t="shared" si="34"/>
        <v>-0.38980777739764078</v>
      </c>
      <c r="E230" s="10">
        <f t="shared" si="35"/>
        <v>-0.68571147540983624</v>
      </c>
      <c r="F230" s="10">
        <f t="shared" si="46"/>
        <v>0.15195010331968867</v>
      </c>
      <c r="G230" s="10">
        <f t="shared" si="46"/>
        <v>0.47020022750873447</v>
      </c>
      <c r="H230" s="11">
        <f t="shared" si="43"/>
        <v>0.26729566616556527</v>
      </c>
      <c r="I230" s="12">
        <f t="shared" si="44"/>
        <v>0</v>
      </c>
      <c r="J230" s="28">
        <f t="shared" si="45"/>
        <v>0</v>
      </c>
      <c r="K230" s="30">
        <f t="shared" si="36"/>
        <v>0</v>
      </c>
      <c r="L230" s="5"/>
      <c r="M230" s="30">
        <f t="shared" si="37"/>
        <v>0</v>
      </c>
      <c r="N230" s="42">
        <f t="shared" si="38"/>
        <v>0</v>
      </c>
      <c r="O230" s="43">
        <f t="shared" si="39"/>
        <v>0</v>
      </c>
      <c r="P230" s="43">
        <f t="shared" si="40"/>
        <v>-0.34013437099999999</v>
      </c>
      <c r="Q230" s="43">
        <f t="shared" si="41"/>
        <v>-0.34013437099999999</v>
      </c>
      <c r="R230" s="43">
        <f t="shared" si="42"/>
        <v>0.11569139033556564</v>
      </c>
    </row>
    <row r="231" spans="1:18" ht="15.75" customHeight="1" x14ac:dyDescent="0.3">
      <c r="A231" s="47">
        <v>38213</v>
      </c>
      <c r="B231" s="48">
        <v>0</v>
      </c>
      <c r="C231" s="49">
        <v>0</v>
      </c>
      <c r="D231" s="10">
        <f t="shared" si="34"/>
        <v>-0.38980777739764078</v>
      </c>
      <c r="E231" s="10">
        <f t="shared" si="35"/>
        <v>-0.68571147540983624</v>
      </c>
      <c r="F231" s="10">
        <f t="shared" si="46"/>
        <v>0.15195010331968867</v>
      </c>
      <c r="G231" s="10">
        <f t="shared" si="46"/>
        <v>0.47020022750873447</v>
      </c>
      <c r="H231" s="11">
        <f t="shared" si="43"/>
        <v>0.26729566616556527</v>
      </c>
      <c r="I231" s="12">
        <f t="shared" si="44"/>
        <v>0</v>
      </c>
      <c r="J231" s="28">
        <f t="shared" si="45"/>
        <v>0</v>
      </c>
      <c r="K231" s="30">
        <f t="shared" si="36"/>
        <v>0</v>
      </c>
      <c r="L231" s="5"/>
      <c r="M231" s="30">
        <f t="shared" si="37"/>
        <v>0</v>
      </c>
      <c r="N231" s="42">
        <f t="shared" si="38"/>
        <v>0</v>
      </c>
      <c r="O231" s="43">
        <f t="shared" si="39"/>
        <v>0</v>
      </c>
      <c r="P231" s="43">
        <f t="shared" si="40"/>
        <v>-0.34013437099999999</v>
      </c>
      <c r="Q231" s="43">
        <f t="shared" si="41"/>
        <v>-0.34013437099999999</v>
      </c>
      <c r="R231" s="43">
        <f t="shared" si="42"/>
        <v>0.11569139033556564</v>
      </c>
    </row>
    <row r="232" spans="1:18" ht="15.75" customHeight="1" x14ac:dyDescent="0.3">
      <c r="A232" s="47">
        <v>38214</v>
      </c>
      <c r="B232" s="48">
        <v>0</v>
      </c>
      <c r="C232" s="49">
        <v>0</v>
      </c>
      <c r="D232" s="10">
        <f t="shared" si="34"/>
        <v>-0.38980777739764078</v>
      </c>
      <c r="E232" s="10">
        <f t="shared" si="35"/>
        <v>-0.68571147540983624</v>
      </c>
      <c r="F232" s="10">
        <f t="shared" si="46"/>
        <v>0.15195010331968867</v>
      </c>
      <c r="G232" s="10">
        <f t="shared" si="46"/>
        <v>0.47020022750873447</v>
      </c>
      <c r="H232" s="11">
        <f t="shared" si="43"/>
        <v>0.26729566616556527</v>
      </c>
      <c r="I232" s="12">
        <f t="shared" si="44"/>
        <v>0</v>
      </c>
      <c r="J232" s="28">
        <f t="shared" si="45"/>
        <v>0</v>
      </c>
      <c r="K232" s="30">
        <f t="shared" si="36"/>
        <v>0</v>
      </c>
      <c r="L232" s="5"/>
      <c r="M232" s="30">
        <f t="shared" si="37"/>
        <v>0</v>
      </c>
      <c r="N232" s="42">
        <f t="shared" si="38"/>
        <v>0</v>
      </c>
      <c r="O232" s="43">
        <f t="shared" si="39"/>
        <v>0</v>
      </c>
      <c r="P232" s="43">
        <f t="shared" si="40"/>
        <v>-0.34013437099999999</v>
      </c>
      <c r="Q232" s="43">
        <f t="shared" si="41"/>
        <v>-0.34013437099999999</v>
      </c>
      <c r="R232" s="43">
        <f t="shared" si="42"/>
        <v>0.11569139033556564</v>
      </c>
    </row>
    <row r="233" spans="1:18" ht="15.75" customHeight="1" x14ac:dyDescent="0.3">
      <c r="A233" s="47">
        <v>38215</v>
      </c>
      <c r="B233" s="48">
        <v>0</v>
      </c>
      <c r="C233" s="49">
        <v>0</v>
      </c>
      <c r="D233" s="10">
        <f t="shared" si="34"/>
        <v>-0.38980777739764078</v>
      </c>
      <c r="E233" s="10">
        <f t="shared" si="35"/>
        <v>-0.68571147540983624</v>
      </c>
      <c r="F233" s="10">
        <f t="shared" si="46"/>
        <v>0.15195010331968867</v>
      </c>
      <c r="G233" s="10">
        <f t="shared" si="46"/>
        <v>0.47020022750873447</v>
      </c>
      <c r="H233" s="11">
        <f t="shared" si="43"/>
        <v>0.26729566616556527</v>
      </c>
      <c r="I233" s="12">
        <f t="shared" si="44"/>
        <v>0</v>
      </c>
      <c r="J233" s="28">
        <f t="shared" si="45"/>
        <v>0</v>
      </c>
      <c r="K233" s="30">
        <f t="shared" si="36"/>
        <v>0</v>
      </c>
      <c r="L233" s="5"/>
      <c r="M233" s="30">
        <f t="shared" si="37"/>
        <v>0</v>
      </c>
      <c r="N233" s="42">
        <f t="shared" si="38"/>
        <v>0</v>
      </c>
      <c r="O233" s="43">
        <f t="shared" si="39"/>
        <v>0</v>
      </c>
      <c r="P233" s="43">
        <f t="shared" si="40"/>
        <v>-0.34013437099999999</v>
      </c>
      <c r="Q233" s="43">
        <f t="shared" si="41"/>
        <v>-0.34013437099999999</v>
      </c>
      <c r="R233" s="43">
        <f t="shared" si="42"/>
        <v>0.11569139033556564</v>
      </c>
    </row>
    <row r="234" spans="1:18" ht="15.75" customHeight="1" x14ac:dyDescent="0.3">
      <c r="A234" s="47">
        <v>38216</v>
      </c>
      <c r="B234" s="48">
        <v>0</v>
      </c>
      <c r="C234" s="49">
        <v>0</v>
      </c>
      <c r="D234" s="10">
        <f t="shared" si="34"/>
        <v>-0.38980777739764078</v>
      </c>
      <c r="E234" s="10">
        <f t="shared" si="35"/>
        <v>-0.68571147540983624</v>
      </c>
      <c r="F234" s="10">
        <f t="shared" si="46"/>
        <v>0.15195010331968867</v>
      </c>
      <c r="G234" s="10">
        <f t="shared" si="46"/>
        <v>0.47020022750873447</v>
      </c>
      <c r="H234" s="11">
        <f t="shared" si="43"/>
        <v>0.26729566616556527</v>
      </c>
      <c r="I234" s="12">
        <f t="shared" si="44"/>
        <v>0</v>
      </c>
      <c r="J234" s="28">
        <f t="shared" si="45"/>
        <v>0</v>
      </c>
      <c r="K234" s="30">
        <f t="shared" si="36"/>
        <v>0</v>
      </c>
      <c r="L234" s="5"/>
      <c r="M234" s="30">
        <f t="shared" si="37"/>
        <v>0</v>
      </c>
      <c r="N234" s="42">
        <f t="shared" si="38"/>
        <v>0</v>
      </c>
      <c r="O234" s="43">
        <f t="shared" si="39"/>
        <v>0</v>
      </c>
      <c r="P234" s="43">
        <f t="shared" si="40"/>
        <v>-0.34013437099999999</v>
      </c>
      <c r="Q234" s="43">
        <f t="shared" si="41"/>
        <v>-0.34013437099999999</v>
      </c>
      <c r="R234" s="43">
        <f t="shared" si="42"/>
        <v>0.11569139033556564</v>
      </c>
    </row>
    <row r="235" spans="1:18" ht="15.75" customHeight="1" x14ac:dyDescent="0.3">
      <c r="A235" s="47">
        <v>38217</v>
      </c>
      <c r="B235" s="48">
        <v>0</v>
      </c>
      <c r="C235" s="49">
        <v>0</v>
      </c>
      <c r="D235" s="10">
        <f t="shared" si="34"/>
        <v>-0.38980777739764078</v>
      </c>
      <c r="E235" s="10">
        <f t="shared" si="35"/>
        <v>-0.68571147540983624</v>
      </c>
      <c r="F235" s="10">
        <f t="shared" si="46"/>
        <v>0.15195010331968867</v>
      </c>
      <c r="G235" s="10">
        <f t="shared" si="46"/>
        <v>0.47020022750873447</v>
      </c>
      <c r="H235" s="11">
        <f t="shared" si="43"/>
        <v>0.26729566616556527</v>
      </c>
      <c r="I235" s="12">
        <f t="shared" si="44"/>
        <v>0</v>
      </c>
      <c r="J235" s="28">
        <f t="shared" si="45"/>
        <v>0</v>
      </c>
      <c r="K235" s="30">
        <f t="shared" si="36"/>
        <v>0</v>
      </c>
      <c r="L235" s="5"/>
      <c r="M235" s="30">
        <f t="shared" si="37"/>
        <v>0</v>
      </c>
      <c r="N235" s="42">
        <f t="shared" si="38"/>
        <v>0</v>
      </c>
      <c r="O235" s="43">
        <f t="shared" si="39"/>
        <v>0</v>
      </c>
      <c r="P235" s="43">
        <f t="shared" si="40"/>
        <v>-0.34013437099999999</v>
      </c>
      <c r="Q235" s="43">
        <f t="shared" si="41"/>
        <v>-0.34013437099999999</v>
      </c>
      <c r="R235" s="43">
        <f t="shared" si="42"/>
        <v>0.11569139033556564</v>
      </c>
    </row>
    <row r="236" spans="1:18" ht="15.75" customHeight="1" x14ac:dyDescent="0.3">
      <c r="A236" s="47">
        <v>38218</v>
      </c>
      <c r="B236" s="48">
        <v>0</v>
      </c>
      <c r="C236" s="49">
        <v>0</v>
      </c>
      <c r="D236" s="10">
        <f t="shared" si="34"/>
        <v>-0.38980777739764078</v>
      </c>
      <c r="E236" s="10">
        <f t="shared" si="35"/>
        <v>-0.68571147540983624</v>
      </c>
      <c r="F236" s="10">
        <f t="shared" si="46"/>
        <v>0.15195010331968867</v>
      </c>
      <c r="G236" s="10">
        <f t="shared" si="46"/>
        <v>0.47020022750873447</v>
      </c>
      <c r="H236" s="11">
        <f t="shared" si="43"/>
        <v>0.26729566616556527</v>
      </c>
      <c r="I236" s="12">
        <f t="shared" si="44"/>
        <v>0</v>
      </c>
      <c r="J236" s="28">
        <f t="shared" si="45"/>
        <v>0</v>
      </c>
      <c r="K236" s="30">
        <f t="shared" si="36"/>
        <v>0</v>
      </c>
      <c r="L236" s="5"/>
      <c r="M236" s="30">
        <f t="shared" si="37"/>
        <v>0</v>
      </c>
      <c r="N236" s="42">
        <f t="shared" si="38"/>
        <v>0</v>
      </c>
      <c r="O236" s="43">
        <f t="shared" si="39"/>
        <v>0</v>
      </c>
      <c r="P236" s="43">
        <f t="shared" si="40"/>
        <v>-0.34013437099999999</v>
      </c>
      <c r="Q236" s="43">
        <f t="shared" si="41"/>
        <v>-0.34013437099999999</v>
      </c>
      <c r="R236" s="43">
        <f t="shared" si="42"/>
        <v>0.11569139033556564</v>
      </c>
    </row>
    <row r="237" spans="1:18" ht="15.75" customHeight="1" x14ac:dyDescent="0.3">
      <c r="A237" s="47">
        <v>38219</v>
      </c>
      <c r="B237" s="48">
        <v>0</v>
      </c>
      <c r="C237" s="49">
        <v>0</v>
      </c>
      <c r="D237" s="10">
        <f t="shared" si="34"/>
        <v>-0.38980777739764078</v>
      </c>
      <c r="E237" s="10">
        <f t="shared" si="35"/>
        <v>-0.68571147540983624</v>
      </c>
      <c r="F237" s="10">
        <f t="shared" si="46"/>
        <v>0.15195010331968867</v>
      </c>
      <c r="G237" s="10">
        <f t="shared" si="46"/>
        <v>0.47020022750873447</v>
      </c>
      <c r="H237" s="11">
        <f t="shared" si="43"/>
        <v>0.26729566616556527</v>
      </c>
      <c r="I237" s="12">
        <f t="shared" si="44"/>
        <v>0</v>
      </c>
      <c r="J237" s="28">
        <f t="shared" si="45"/>
        <v>0</v>
      </c>
      <c r="K237" s="30">
        <f t="shared" si="36"/>
        <v>0</v>
      </c>
      <c r="L237" s="5"/>
      <c r="M237" s="30">
        <f t="shared" si="37"/>
        <v>0</v>
      </c>
      <c r="N237" s="42">
        <f t="shared" si="38"/>
        <v>0</v>
      </c>
      <c r="O237" s="43">
        <f t="shared" si="39"/>
        <v>0</v>
      </c>
      <c r="P237" s="43">
        <f t="shared" si="40"/>
        <v>-0.34013437099999999</v>
      </c>
      <c r="Q237" s="43">
        <f t="shared" si="41"/>
        <v>-0.34013437099999999</v>
      </c>
      <c r="R237" s="43">
        <f t="shared" si="42"/>
        <v>0.11569139033556564</v>
      </c>
    </row>
    <row r="238" spans="1:18" ht="15.75" customHeight="1" x14ac:dyDescent="0.3">
      <c r="A238" s="47">
        <v>38220</v>
      </c>
      <c r="B238" s="48">
        <v>0</v>
      </c>
      <c r="C238" s="49">
        <v>0</v>
      </c>
      <c r="D238" s="10">
        <f t="shared" si="34"/>
        <v>-0.38980777739764078</v>
      </c>
      <c r="E238" s="10">
        <f t="shared" si="35"/>
        <v>-0.68571147540983624</v>
      </c>
      <c r="F238" s="10">
        <f t="shared" si="46"/>
        <v>0.15195010331968867</v>
      </c>
      <c r="G238" s="10">
        <f t="shared" si="46"/>
        <v>0.47020022750873447</v>
      </c>
      <c r="H238" s="11">
        <f t="shared" si="43"/>
        <v>0.26729566616556527</v>
      </c>
      <c r="I238" s="12">
        <f t="shared" si="44"/>
        <v>0</v>
      </c>
      <c r="J238" s="28">
        <f t="shared" si="45"/>
        <v>0</v>
      </c>
      <c r="K238" s="30">
        <f t="shared" si="36"/>
        <v>0</v>
      </c>
      <c r="L238" s="5"/>
      <c r="M238" s="30">
        <f t="shared" si="37"/>
        <v>0</v>
      </c>
      <c r="N238" s="42">
        <f t="shared" si="38"/>
        <v>0</v>
      </c>
      <c r="O238" s="43">
        <f t="shared" si="39"/>
        <v>0</v>
      </c>
      <c r="P238" s="43">
        <f t="shared" si="40"/>
        <v>-0.34013437099999999</v>
      </c>
      <c r="Q238" s="43">
        <f t="shared" si="41"/>
        <v>-0.34013437099999999</v>
      </c>
      <c r="R238" s="43">
        <f t="shared" si="42"/>
        <v>0.11569139033556564</v>
      </c>
    </row>
    <row r="239" spans="1:18" ht="15.75" customHeight="1" x14ac:dyDescent="0.3">
      <c r="A239" s="47">
        <v>38221</v>
      </c>
      <c r="B239" s="48">
        <v>0</v>
      </c>
      <c r="C239" s="49">
        <v>0</v>
      </c>
      <c r="D239" s="10">
        <f t="shared" si="34"/>
        <v>-0.38980777739764078</v>
      </c>
      <c r="E239" s="10">
        <f t="shared" si="35"/>
        <v>-0.68571147540983624</v>
      </c>
      <c r="F239" s="10">
        <f t="shared" si="46"/>
        <v>0.15195010331968867</v>
      </c>
      <c r="G239" s="10">
        <f t="shared" si="46"/>
        <v>0.47020022750873447</v>
      </c>
      <c r="H239" s="11">
        <f t="shared" si="43"/>
        <v>0.26729566616556527</v>
      </c>
      <c r="I239" s="12">
        <f t="shared" si="44"/>
        <v>0</v>
      </c>
      <c r="J239" s="28">
        <f t="shared" si="45"/>
        <v>0</v>
      </c>
      <c r="K239" s="30">
        <f t="shared" si="36"/>
        <v>0</v>
      </c>
      <c r="L239" s="5"/>
      <c r="M239" s="30">
        <f t="shared" si="37"/>
        <v>0</v>
      </c>
      <c r="N239" s="42">
        <f t="shared" si="38"/>
        <v>0</v>
      </c>
      <c r="O239" s="43">
        <f t="shared" si="39"/>
        <v>0</v>
      </c>
      <c r="P239" s="43">
        <f t="shared" si="40"/>
        <v>-0.34013437099999999</v>
      </c>
      <c r="Q239" s="43">
        <f t="shared" si="41"/>
        <v>-0.34013437099999999</v>
      </c>
      <c r="R239" s="43">
        <f t="shared" si="42"/>
        <v>0.11569139033556564</v>
      </c>
    </row>
    <row r="240" spans="1:18" ht="15.75" customHeight="1" x14ac:dyDescent="0.3">
      <c r="A240" s="47">
        <v>38222</v>
      </c>
      <c r="B240" s="48">
        <v>0</v>
      </c>
      <c r="C240" s="49">
        <v>0</v>
      </c>
      <c r="D240" s="10">
        <f t="shared" si="34"/>
        <v>-0.38980777739764078</v>
      </c>
      <c r="E240" s="10">
        <f t="shared" si="35"/>
        <v>-0.68571147540983624</v>
      </c>
      <c r="F240" s="10">
        <f t="shared" si="46"/>
        <v>0.15195010331968867</v>
      </c>
      <c r="G240" s="10">
        <f t="shared" si="46"/>
        <v>0.47020022750873447</v>
      </c>
      <c r="H240" s="11">
        <f t="shared" si="43"/>
        <v>0.26729566616556527</v>
      </c>
      <c r="I240" s="12">
        <f t="shared" si="44"/>
        <v>0</v>
      </c>
      <c r="J240" s="28">
        <f t="shared" si="45"/>
        <v>0</v>
      </c>
      <c r="K240" s="30">
        <f t="shared" si="36"/>
        <v>0</v>
      </c>
      <c r="L240" s="5"/>
      <c r="M240" s="30">
        <f t="shared" si="37"/>
        <v>0</v>
      </c>
      <c r="N240" s="42">
        <f t="shared" si="38"/>
        <v>0</v>
      </c>
      <c r="O240" s="43">
        <f t="shared" si="39"/>
        <v>0</v>
      </c>
      <c r="P240" s="43">
        <f t="shared" si="40"/>
        <v>-0.34013437099999999</v>
      </c>
      <c r="Q240" s="43">
        <f t="shared" si="41"/>
        <v>-0.34013437099999999</v>
      </c>
      <c r="R240" s="43">
        <f t="shared" si="42"/>
        <v>0.11569139033556564</v>
      </c>
    </row>
    <row r="241" spans="1:18" ht="15.75" customHeight="1" x14ac:dyDescent="0.3">
      <c r="A241" s="47">
        <v>38223</v>
      </c>
      <c r="B241" s="48">
        <v>0</v>
      </c>
      <c r="C241" s="49">
        <v>0</v>
      </c>
      <c r="D241" s="10">
        <f t="shared" si="34"/>
        <v>-0.38980777739764078</v>
      </c>
      <c r="E241" s="10">
        <f t="shared" si="35"/>
        <v>-0.68571147540983624</v>
      </c>
      <c r="F241" s="10">
        <f t="shared" si="46"/>
        <v>0.15195010331968867</v>
      </c>
      <c r="G241" s="10">
        <f t="shared" si="46"/>
        <v>0.47020022750873447</v>
      </c>
      <c r="H241" s="11">
        <f t="shared" si="43"/>
        <v>0.26729566616556527</v>
      </c>
      <c r="I241" s="12">
        <f t="shared" si="44"/>
        <v>0</v>
      </c>
      <c r="J241" s="28">
        <f t="shared" si="45"/>
        <v>0</v>
      </c>
      <c r="K241" s="30">
        <f t="shared" si="36"/>
        <v>0</v>
      </c>
      <c r="L241" s="5"/>
      <c r="M241" s="30">
        <f t="shared" si="37"/>
        <v>0</v>
      </c>
      <c r="N241" s="42">
        <f t="shared" si="38"/>
        <v>0</v>
      </c>
      <c r="O241" s="43">
        <f t="shared" si="39"/>
        <v>0</v>
      </c>
      <c r="P241" s="43">
        <f t="shared" si="40"/>
        <v>-0.34013437099999999</v>
      </c>
      <c r="Q241" s="43">
        <f t="shared" si="41"/>
        <v>-0.34013437099999999</v>
      </c>
      <c r="R241" s="43">
        <f t="shared" si="42"/>
        <v>0.11569139033556564</v>
      </c>
    </row>
    <row r="242" spans="1:18" ht="15.75" customHeight="1" x14ac:dyDescent="0.3">
      <c r="A242" s="47">
        <v>38224</v>
      </c>
      <c r="B242" s="48">
        <v>0</v>
      </c>
      <c r="C242" s="49">
        <v>0</v>
      </c>
      <c r="D242" s="10">
        <f t="shared" si="34"/>
        <v>-0.38980777739764078</v>
      </c>
      <c r="E242" s="10">
        <f t="shared" si="35"/>
        <v>-0.68571147540983624</v>
      </c>
      <c r="F242" s="10">
        <f t="shared" si="46"/>
        <v>0.15195010331968867</v>
      </c>
      <c r="G242" s="10">
        <f t="shared" si="46"/>
        <v>0.47020022750873447</v>
      </c>
      <c r="H242" s="11">
        <f t="shared" si="43"/>
        <v>0.26729566616556527</v>
      </c>
      <c r="I242" s="12">
        <f t="shared" si="44"/>
        <v>0</v>
      </c>
      <c r="J242" s="28">
        <f t="shared" si="45"/>
        <v>0</v>
      </c>
      <c r="K242" s="30">
        <f t="shared" si="36"/>
        <v>0</v>
      </c>
      <c r="L242" s="5"/>
      <c r="M242" s="30">
        <f t="shared" si="37"/>
        <v>0</v>
      </c>
      <c r="N242" s="42">
        <f t="shared" si="38"/>
        <v>0</v>
      </c>
      <c r="O242" s="43">
        <f t="shared" si="39"/>
        <v>0</v>
      </c>
      <c r="P242" s="43">
        <f t="shared" si="40"/>
        <v>-0.34013437099999999</v>
      </c>
      <c r="Q242" s="43">
        <f t="shared" si="41"/>
        <v>-0.34013437099999999</v>
      </c>
      <c r="R242" s="43">
        <f t="shared" si="42"/>
        <v>0.11569139033556564</v>
      </c>
    </row>
    <row r="243" spans="1:18" ht="15.75" customHeight="1" x14ac:dyDescent="0.3">
      <c r="A243" s="47">
        <v>38225</v>
      </c>
      <c r="B243" s="48">
        <v>0</v>
      </c>
      <c r="C243" s="49">
        <v>0</v>
      </c>
      <c r="D243" s="10">
        <f t="shared" si="34"/>
        <v>-0.38980777739764078</v>
      </c>
      <c r="E243" s="10">
        <f t="shared" si="35"/>
        <v>-0.68571147540983624</v>
      </c>
      <c r="F243" s="10">
        <f t="shared" si="46"/>
        <v>0.15195010331968867</v>
      </c>
      <c r="G243" s="10">
        <f t="shared" si="46"/>
        <v>0.47020022750873447</v>
      </c>
      <c r="H243" s="11">
        <f t="shared" si="43"/>
        <v>0.26729566616556527</v>
      </c>
      <c r="I243" s="12">
        <f t="shared" si="44"/>
        <v>0</v>
      </c>
      <c r="J243" s="28">
        <f t="shared" si="45"/>
        <v>0</v>
      </c>
      <c r="K243" s="30">
        <f t="shared" si="36"/>
        <v>0</v>
      </c>
      <c r="L243" s="5"/>
      <c r="M243" s="30">
        <f t="shared" si="37"/>
        <v>0</v>
      </c>
      <c r="N243" s="42">
        <f t="shared" si="38"/>
        <v>0</v>
      </c>
      <c r="O243" s="43">
        <f t="shared" si="39"/>
        <v>0</v>
      </c>
      <c r="P243" s="43">
        <f t="shared" si="40"/>
        <v>-0.34013437099999999</v>
      </c>
      <c r="Q243" s="43">
        <f t="shared" si="41"/>
        <v>-0.34013437099999999</v>
      </c>
      <c r="R243" s="43">
        <f t="shared" si="42"/>
        <v>0.11569139033556564</v>
      </c>
    </row>
    <row r="244" spans="1:18" ht="15.75" customHeight="1" x14ac:dyDescent="0.3">
      <c r="A244" s="47">
        <v>38226</v>
      </c>
      <c r="B244" s="48">
        <v>0</v>
      </c>
      <c r="C244" s="49">
        <v>0</v>
      </c>
      <c r="D244" s="10">
        <f t="shared" si="34"/>
        <v>-0.38980777739764078</v>
      </c>
      <c r="E244" s="10">
        <f t="shared" si="35"/>
        <v>-0.68571147540983624</v>
      </c>
      <c r="F244" s="10">
        <f t="shared" si="46"/>
        <v>0.15195010331968867</v>
      </c>
      <c r="G244" s="10">
        <f t="shared" si="46"/>
        <v>0.47020022750873447</v>
      </c>
      <c r="H244" s="11">
        <f t="shared" si="43"/>
        <v>0.26729566616556527</v>
      </c>
      <c r="I244" s="12">
        <f t="shared" si="44"/>
        <v>0</v>
      </c>
      <c r="J244" s="28">
        <f t="shared" si="45"/>
        <v>0</v>
      </c>
      <c r="K244" s="30">
        <f t="shared" si="36"/>
        <v>0</v>
      </c>
      <c r="L244" s="5"/>
      <c r="M244" s="30">
        <f t="shared" si="37"/>
        <v>0</v>
      </c>
      <c r="N244" s="42">
        <f t="shared" si="38"/>
        <v>0</v>
      </c>
      <c r="O244" s="43">
        <f t="shared" si="39"/>
        <v>0</v>
      </c>
      <c r="P244" s="43">
        <f t="shared" si="40"/>
        <v>-0.34013437099999999</v>
      </c>
      <c r="Q244" s="43">
        <f t="shared" si="41"/>
        <v>-0.34013437099999999</v>
      </c>
      <c r="R244" s="43">
        <f t="shared" si="42"/>
        <v>0.11569139033556564</v>
      </c>
    </row>
    <row r="245" spans="1:18" ht="15.75" customHeight="1" x14ac:dyDescent="0.3">
      <c r="A245" s="47">
        <v>38227</v>
      </c>
      <c r="B245" s="48">
        <v>0</v>
      </c>
      <c r="C245" s="49">
        <v>0</v>
      </c>
      <c r="D245" s="10">
        <f t="shared" si="34"/>
        <v>-0.38980777739764078</v>
      </c>
      <c r="E245" s="10">
        <f t="shared" si="35"/>
        <v>-0.68571147540983624</v>
      </c>
      <c r="F245" s="10">
        <f t="shared" si="46"/>
        <v>0.15195010331968867</v>
      </c>
      <c r="G245" s="10">
        <f t="shared" si="46"/>
        <v>0.47020022750873447</v>
      </c>
      <c r="H245" s="11">
        <f t="shared" si="43"/>
        <v>0.26729566616556527</v>
      </c>
      <c r="I245" s="12">
        <f t="shared" si="44"/>
        <v>0</v>
      </c>
      <c r="J245" s="28">
        <f t="shared" si="45"/>
        <v>0</v>
      </c>
      <c r="K245" s="30">
        <f t="shared" si="36"/>
        <v>0</v>
      </c>
      <c r="L245" s="5"/>
      <c r="M245" s="30">
        <f t="shared" si="37"/>
        <v>0</v>
      </c>
      <c r="N245" s="42">
        <f t="shared" si="38"/>
        <v>0</v>
      </c>
      <c r="O245" s="43">
        <f t="shared" si="39"/>
        <v>0</v>
      </c>
      <c r="P245" s="43">
        <f t="shared" si="40"/>
        <v>-0.34013437099999999</v>
      </c>
      <c r="Q245" s="43">
        <f t="shared" si="41"/>
        <v>-0.34013437099999999</v>
      </c>
      <c r="R245" s="43">
        <f t="shared" si="42"/>
        <v>0.11569139033556564</v>
      </c>
    </row>
    <row r="246" spans="1:18" ht="15.75" customHeight="1" x14ac:dyDescent="0.3">
      <c r="A246" s="47">
        <v>38228</v>
      </c>
      <c r="B246" s="48">
        <v>0</v>
      </c>
      <c r="C246" s="49">
        <v>0</v>
      </c>
      <c r="D246" s="10">
        <f t="shared" si="34"/>
        <v>-0.38980777739764078</v>
      </c>
      <c r="E246" s="10">
        <f t="shared" si="35"/>
        <v>-0.68571147540983624</v>
      </c>
      <c r="F246" s="10">
        <f t="shared" si="46"/>
        <v>0.15195010331968867</v>
      </c>
      <c r="G246" s="10">
        <f t="shared" si="46"/>
        <v>0.47020022750873447</v>
      </c>
      <c r="H246" s="11">
        <f t="shared" si="43"/>
        <v>0.26729566616556527</v>
      </c>
      <c r="I246" s="12">
        <f t="shared" si="44"/>
        <v>0</v>
      </c>
      <c r="J246" s="28">
        <f t="shared" si="45"/>
        <v>0</v>
      </c>
      <c r="K246" s="30">
        <f t="shared" si="36"/>
        <v>0</v>
      </c>
      <c r="L246" s="5"/>
      <c r="M246" s="30">
        <f t="shared" si="37"/>
        <v>0</v>
      </c>
      <c r="N246" s="42">
        <f t="shared" si="38"/>
        <v>0</v>
      </c>
      <c r="O246" s="43">
        <f t="shared" si="39"/>
        <v>0</v>
      </c>
      <c r="P246" s="43">
        <f t="shared" si="40"/>
        <v>-0.34013437099999999</v>
      </c>
      <c r="Q246" s="43">
        <f t="shared" si="41"/>
        <v>-0.34013437099999999</v>
      </c>
      <c r="R246" s="43">
        <f t="shared" si="42"/>
        <v>0.11569139033556564</v>
      </c>
    </row>
    <row r="247" spans="1:18" ht="15.75" customHeight="1" x14ac:dyDescent="0.3">
      <c r="A247" s="47">
        <v>38229</v>
      </c>
      <c r="B247" s="48">
        <v>0</v>
      </c>
      <c r="C247" s="49">
        <v>0</v>
      </c>
      <c r="D247" s="10">
        <f t="shared" si="34"/>
        <v>-0.38980777739764078</v>
      </c>
      <c r="E247" s="10">
        <f t="shared" si="35"/>
        <v>-0.68571147540983624</v>
      </c>
      <c r="F247" s="10">
        <f t="shared" si="46"/>
        <v>0.15195010331968867</v>
      </c>
      <c r="G247" s="10">
        <f t="shared" si="46"/>
        <v>0.47020022750873447</v>
      </c>
      <c r="H247" s="11">
        <f t="shared" si="43"/>
        <v>0.26729566616556527</v>
      </c>
      <c r="I247" s="12">
        <f t="shared" si="44"/>
        <v>0</v>
      </c>
      <c r="J247" s="28">
        <f t="shared" si="45"/>
        <v>0</v>
      </c>
      <c r="K247" s="30">
        <f t="shared" si="36"/>
        <v>0</v>
      </c>
      <c r="L247" s="5"/>
      <c r="M247" s="30">
        <f t="shared" si="37"/>
        <v>0</v>
      </c>
      <c r="N247" s="42">
        <f t="shared" si="38"/>
        <v>0</v>
      </c>
      <c r="O247" s="43">
        <f t="shared" si="39"/>
        <v>0</v>
      </c>
      <c r="P247" s="43">
        <f t="shared" si="40"/>
        <v>-0.34013437099999999</v>
      </c>
      <c r="Q247" s="43">
        <f t="shared" si="41"/>
        <v>-0.34013437099999999</v>
      </c>
      <c r="R247" s="43">
        <f t="shared" si="42"/>
        <v>0.11569139033556564</v>
      </c>
    </row>
    <row r="248" spans="1:18" ht="15.75" customHeight="1" x14ac:dyDescent="0.3">
      <c r="A248" s="47">
        <v>38230</v>
      </c>
      <c r="B248" s="48">
        <v>0</v>
      </c>
      <c r="C248" s="49">
        <v>0</v>
      </c>
      <c r="D248" s="10">
        <f t="shared" si="34"/>
        <v>-0.38980777739764078</v>
      </c>
      <c r="E248" s="10">
        <f t="shared" si="35"/>
        <v>-0.68571147540983624</v>
      </c>
      <c r="F248" s="10">
        <f t="shared" si="46"/>
        <v>0.15195010331968867</v>
      </c>
      <c r="G248" s="10">
        <f t="shared" si="46"/>
        <v>0.47020022750873447</v>
      </c>
      <c r="H248" s="11">
        <f t="shared" si="43"/>
        <v>0.26729566616556527</v>
      </c>
      <c r="I248" s="12">
        <f t="shared" si="44"/>
        <v>0</v>
      </c>
      <c r="J248" s="28">
        <f t="shared" si="45"/>
        <v>0</v>
      </c>
      <c r="K248" s="30">
        <f t="shared" si="36"/>
        <v>0</v>
      </c>
      <c r="L248" s="5"/>
      <c r="M248" s="30">
        <f t="shared" si="37"/>
        <v>0</v>
      </c>
      <c r="N248" s="42">
        <f t="shared" si="38"/>
        <v>0</v>
      </c>
      <c r="O248" s="43">
        <f t="shared" si="39"/>
        <v>0</v>
      </c>
      <c r="P248" s="43">
        <f t="shared" si="40"/>
        <v>-0.34013437099999999</v>
      </c>
      <c r="Q248" s="43">
        <f t="shared" si="41"/>
        <v>-0.34013437099999999</v>
      </c>
      <c r="R248" s="43">
        <f t="shared" si="42"/>
        <v>0.11569139033556564</v>
      </c>
    </row>
    <row r="249" spans="1:18" ht="15.75" customHeight="1" x14ac:dyDescent="0.3">
      <c r="A249" s="47">
        <v>38231</v>
      </c>
      <c r="B249" s="48">
        <v>0</v>
      </c>
      <c r="C249" s="49">
        <v>0</v>
      </c>
      <c r="D249" s="10">
        <f t="shared" si="34"/>
        <v>-0.38980777739764078</v>
      </c>
      <c r="E249" s="10">
        <f t="shared" si="35"/>
        <v>-0.68571147540983624</v>
      </c>
      <c r="F249" s="10">
        <f t="shared" si="46"/>
        <v>0.15195010331968867</v>
      </c>
      <c r="G249" s="10">
        <f t="shared" si="46"/>
        <v>0.47020022750873447</v>
      </c>
      <c r="H249" s="11">
        <f t="shared" si="43"/>
        <v>0.26729566616556527</v>
      </c>
      <c r="I249" s="12">
        <f t="shared" si="44"/>
        <v>0</v>
      </c>
      <c r="J249" s="28">
        <f t="shared" si="45"/>
        <v>0</v>
      </c>
      <c r="K249" s="30">
        <f t="shared" si="36"/>
        <v>0</v>
      </c>
      <c r="L249" s="5"/>
      <c r="M249" s="30">
        <f t="shared" si="37"/>
        <v>0</v>
      </c>
      <c r="N249" s="42">
        <f t="shared" si="38"/>
        <v>0</v>
      </c>
      <c r="O249" s="43">
        <f t="shared" si="39"/>
        <v>0</v>
      </c>
      <c r="P249" s="43">
        <f t="shared" si="40"/>
        <v>-0.34013437099999999</v>
      </c>
      <c r="Q249" s="43">
        <f t="shared" si="41"/>
        <v>-0.34013437099999999</v>
      </c>
      <c r="R249" s="43">
        <f t="shared" si="42"/>
        <v>0.11569139033556564</v>
      </c>
    </row>
    <row r="250" spans="1:18" ht="15.75" customHeight="1" x14ac:dyDescent="0.3">
      <c r="A250" s="47">
        <v>38232</v>
      </c>
      <c r="B250" s="48">
        <v>0</v>
      </c>
      <c r="C250" s="49">
        <v>0</v>
      </c>
      <c r="D250" s="10">
        <f t="shared" si="34"/>
        <v>-0.38980777739764078</v>
      </c>
      <c r="E250" s="10">
        <f t="shared" si="35"/>
        <v>-0.68571147540983624</v>
      </c>
      <c r="F250" s="10">
        <f t="shared" si="46"/>
        <v>0.15195010331968867</v>
      </c>
      <c r="G250" s="10">
        <f t="shared" si="46"/>
        <v>0.47020022750873447</v>
      </c>
      <c r="H250" s="11">
        <f t="shared" si="43"/>
        <v>0.26729566616556527</v>
      </c>
      <c r="I250" s="12">
        <f t="shared" si="44"/>
        <v>0</v>
      </c>
      <c r="J250" s="28">
        <f t="shared" si="45"/>
        <v>0</v>
      </c>
      <c r="K250" s="30">
        <f t="shared" si="36"/>
        <v>0</v>
      </c>
      <c r="L250" s="5"/>
      <c r="M250" s="30">
        <f t="shared" si="37"/>
        <v>0</v>
      </c>
      <c r="N250" s="42">
        <f t="shared" si="38"/>
        <v>0</v>
      </c>
      <c r="O250" s="43">
        <f t="shared" si="39"/>
        <v>0</v>
      </c>
      <c r="P250" s="43">
        <f t="shared" si="40"/>
        <v>-0.34013437099999999</v>
      </c>
      <c r="Q250" s="43">
        <f t="shared" si="41"/>
        <v>-0.34013437099999999</v>
      </c>
      <c r="R250" s="43">
        <f t="shared" si="42"/>
        <v>0.11569139033556564</v>
      </c>
    </row>
    <row r="251" spans="1:18" ht="15.75" customHeight="1" x14ac:dyDescent="0.3">
      <c r="A251" s="47">
        <v>38233</v>
      </c>
      <c r="B251" s="48">
        <v>0</v>
      </c>
      <c r="C251" s="49">
        <v>0</v>
      </c>
      <c r="D251" s="10">
        <f t="shared" si="34"/>
        <v>-0.38980777739764078</v>
      </c>
      <c r="E251" s="10">
        <f t="shared" si="35"/>
        <v>-0.68571147540983624</v>
      </c>
      <c r="F251" s="10">
        <f t="shared" si="46"/>
        <v>0.15195010331968867</v>
      </c>
      <c r="G251" s="10">
        <f t="shared" si="46"/>
        <v>0.47020022750873447</v>
      </c>
      <c r="H251" s="11">
        <f t="shared" si="43"/>
        <v>0.26729566616556527</v>
      </c>
      <c r="I251" s="12">
        <f t="shared" si="44"/>
        <v>0</v>
      </c>
      <c r="J251" s="28">
        <f t="shared" si="45"/>
        <v>0</v>
      </c>
      <c r="K251" s="30">
        <f t="shared" si="36"/>
        <v>0</v>
      </c>
      <c r="L251" s="5"/>
      <c r="M251" s="30">
        <f t="shared" si="37"/>
        <v>0</v>
      </c>
      <c r="N251" s="42">
        <f t="shared" si="38"/>
        <v>0</v>
      </c>
      <c r="O251" s="43">
        <f t="shared" si="39"/>
        <v>0</v>
      </c>
      <c r="P251" s="43">
        <f t="shared" si="40"/>
        <v>-0.34013437099999999</v>
      </c>
      <c r="Q251" s="43">
        <f t="shared" si="41"/>
        <v>-0.34013437099999999</v>
      </c>
      <c r="R251" s="43">
        <f t="shared" si="42"/>
        <v>0.11569139033556564</v>
      </c>
    </row>
    <row r="252" spans="1:18" ht="15.75" customHeight="1" x14ac:dyDescent="0.3">
      <c r="A252" s="47">
        <v>38234</v>
      </c>
      <c r="B252" s="48">
        <v>0</v>
      </c>
      <c r="C252" s="49">
        <v>0</v>
      </c>
      <c r="D252" s="10">
        <f t="shared" si="34"/>
        <v>-0.38980777739764078</v>
      </c>
      <c r="E252" s="10">
        <f t="shared" si="35"/>
        <v>-0.68571147540983624</v>
      </c>
      <c r="F252" s="10">
        <f t="shared" si="46"/>
        <v>0.15195010331968867</v>
      </c>
      <c r="G252" s="10">
        <f t="shared" si="46"/>
        <v>0.47020022750873447</v>
      </c>
      <c r="H252" s="11">
        <f t="shared" si="43"/>
        <v>0.26729566616556527</v>
      </c>
      <c r="I252" s="12">
        <f t="shared" si="44"/>
        <v>0</v>
      </c>
      <c r="J252" s="28">
        <f t="shared" si="45"/>
        <v>0</v>
      </c>
      <c r="K252" s="30">
        <f t="shared" si="36"/>
        <v>0</v>
      </c>
      <c r="L252" s="5"/>
      <c r="M252" s="30">
        <f t="shared" si="37"/>
        <v>0</v>
      </c>
      <c r="N252" s="42">
        <f t="shared" si="38"/>
        <v>0</v>
      </c>
      <c r="O252" s="43">
        <f t="shared" si="39"/>
        <v>0</v>
      </c>
      <c r="P252" s="43">
        <f t="shared" si="40"/>
        <v>-0.34013437099999999</v>
      </c>
      <c r="Q252" s="43">
        <f t="shared" si="41"/>
        <v>-0.34013437099999999</v>
      </c>
      <c r="R252" s="43">
        <f t="shared" si="42"/>
        <v>0.11569139033556564</v>
      </c>
    </row>
    <row r="253" spans="1:18" ht="15.75" customHeight="1" x14ac:dyDescent="0.3">
      <c r="A253" s="47">
        <v>38235</v>
      </c>
      <c r="B253" s="48">
        <v>0</v>
      </c>
      <c r="C253" s="49">
        <v>0</v>
      </c>
      <c r="D253" s="10">
        <f t="shared" si="34"/>
        <v>-0.38980777739764078</v>
      </c>
      <c r="E253" s="10">
        <f t="shared" si="35"/>
        <v>-0.68571147540983624</v>
      </c>
      <c r="F253" s="10">
        <f t="shared" si="46"/>
        <v>0.15195010331968867</v>
      </c>
      <c r="G253" s="10">
        <f t="shared" si="46"/>
        <v>0.47020022750873447</v>
      </c>
      <c r="H253" s="11">
        <f t="shared" si="43"/>
        <v>0.26729566616556527</v>
      </c>
      <c r="I253" s="12">
        <f t="shared" si="44"/>
        <v>0</v>
      </c>
      <c r="J253" s="28">
        <f t="shared" si="45"/>
        <v>0</v>
      </c>
      <c r="K253" s="30">
        <f t="shared" si="36"/>
        <v>0</v>
      </c>
      <c r="L253" s="5"/>
      <c r="M253" s="30">
        <f t="shared" si="37"/>
        <v>0</v>
      </c>
      <c r="N253" s="42">
        <f t="shared" si="38"/>
        <v>0</v>
      </c>
      <c r="O253" s="43">
        <f t="shared" si="39"/>
        <v>0</v>
      </c>
      <c r="P253" s="43">
        <f t="shared" si="40"/>
        <v>-0.34013437099999999</v>
      </c>
      <c r="Q253" s="43">
        <f t="shared" si="41"/>
        <v>-0.34013437099999999</v>
      </c>
      <c r="R253" s="43">
        <f t="shared" si="42"/>
        <v>0.11569139033556564</v>
      </c>
    </row>
    <row r="254" spans="1:18" ht="15.75" customHeight="1" x14ac:dyDescent="0.3">
      <c r="A254" s="47">
        <v>38236</v>
      </c>
      <c r="B254" s="48">
        <v>0</v>
      </c>
      <c r="C254" s="49">
        <v>0</v>
      </c>
      <c r="D254" s="10">
        <f t="shared" si="34"/>
        <v>-0.38980777739764078</v>
      </c>
      <c r="E254" s="10">
        <f t="shared" si="35"/>
        <v>-0.68571147540983624</v>
      </c>
      <c r="F254" s="10">
        <f t="shared" si="46"/>
        <v>0.15195010331968867</v>
      </c>
      <c r="G254" s="10">
        <f t="shared" si="46"/>
        <v>0.47020022750873447</v>
      </c>
      <c r="H254" s="11">
        <f t="shared" si="43"/>
        <v>0.26729566616556527</v>
      </c>
      <c r="I254" s="12">
        <f t="shared" si="44"/>
        <v>0</v>
      </c>
      <c r="J254" s="28">
        <f t="shared" si="45"/>
        <v>0</v>
      </c>
      <c r="K254" s="30">
        <f t="shared" si="36"/>
        <v>0</v>
      </c>
      <c r="L254" s="5"/>
      <c r="M254" s="30">
        <f t="shared" si="37"/>
        <v>0</v>
      </c>
      <c r="N254" s="42">
        <f t="shared" si="38"/>
        <v>0</v>
      </c>
      <c r="O254" s="43">
        <f t="shared" si="39"/>
        <v>0</v>
      </c>
      <c r="P254" s="43">
        <f t="shared" si="40"/>
        <v>-0.34013437099999999</v>
      </c>
      <c r="Q254" s="43">
        <f t="shared" si="41"/>
        <v>-0.34013437099999999</v>
      </c>
      <c r="R254" s="43">
        <f t="shared" si="42"/>
        <v>0.11569139033556564</v>
      </c>
    </row>
    <row r="255" spans="1:18" ht="15.75" customHeight="1" x14ac:dyDescent="0.3">
      <c r="A255" s="47">
        <v>38237</v>
      </c>
      <c r="B255" s="48">
        <v>0</v>
      </c>
      <c r="C255" s="49">
        <v>0</v>
      </c>
      <c r="D255" s="10">
        <f t="shared" si="34"/>
        <v>-0.38980777739764078</v>
      </c>
      <c r="E255" s="10">
        <f t="shared" si="35"/>
        <v>-0.68571147540983624</v>
      </c>
      <c r="F255" s="10">
        <f t="shared" si="46"/>
        <v>0.15195010331968867</v>
      </c>
      <c r="G255" s="10">
        <f t="shared" si="46"/>
        <v>0.47020022750873447</v>
      </c>
      <c r="H255" s="11">
        <f t="shared" si="43"/>
        <v>0.26729566616556527</v>
      </c>
      <c r="I255" s="12">
        <f t="shared" si="44"/>
        <v>0</v>
      </c>
      <c r="J255" s="28">
        <f t="shared" si="45"/>
        <v>0</v>
      </c>
      <c r="K255" s="30">
        <f t="shared" si="36"/>
        <v>0</v>
      </c>
      <c r="L255" s="5"/>
      <c r="M255" s="30">
        <f t="shared" si="37"/>
        <v>0</v>
      </c>
      <c r="N255" s="42">
        <f t="shared" si="38"/>
        <v>0</v>
      </c>
      <c r="O255" s="43">
        <f t="shared" si="39"/>
        <v>0</v>
      </c>
      <c r="P255" s="43">
        <f t="shared" si="40"/>
        <v>-0.34013437099999999</v>
      </c>
      <c r="Q255" s="43">
        <f t="shared" si="41"/>
        <v>-0.34013437099999999</v>
      </c>
      <c r="R255" s="43">
        <f t="shared" si="42"/>
        <v>0.11569139033556564</v>
      </c>
    </row>
    <row r="256" spans="1:18" ht="15.75" customHeight="1" x14ac:dyDescent="0.3">
      <c r="A256" s="47">
        <v>38238</v>
      </c>
      <c r="B256" s="48">
        <v>0</v>
      </c>
      <c r="C256" s="49">
        <v>0</v>
      </c>
      <c r="D256" s="10">
        <f t="shared" si="34"/>
        <v>-0.38980777739764078</v>
      </c>
      <c r="E256" s="10">
        <f t="shared" si="35"/>
        <v>-0.68571147540983624</v>
      </c>
      <c r="F256" s="10">
        <f t="shared" si="46"/>
        <v>0.15195010331968867</v>
      </c>
      <c r="G256" s="10">
        <f t="shared" si="46"/>
        <v>0.47020022750873447</v>
      </c>
      <c r="H256" s="11">
        <f t="shared" si="43"/>
        <v>0.26729566616556527</v>
      </c>
      <c r="I256" s="12">
        <f t="shared" si="44"/>
        <v>0</v>
      </c>
      <c r="J256" s="28">
        <f t="shared" si="45"/>
        <v>0</v>
      </c>
      <c r="K256" s="30">
        <f t="shared" si="36"/>
        <v>0</v>
      </c>
      <c r="L256" s="5"/>
      <c r="M256" s="30">
        <f t="shared" si="37"/>
        <v>0</v>
      </c>
      <c r="N256" s="42">
        <f t="shared" si="38"/>
        <v>0</v>
      </c>
      <c r="O256" s="43">
        <f t="shared" si="39"/>
        <v>0</v>
      </c>
      <c r="P256" s="43">
        <f t="shared" si="40"/>
        <v>-0.34013437099999999</v>
      </c>
      <c r="Q256" s="43">
        <f t="shared" si="41"/>
        <v>-0.34013437099999999</v>
      </c>
      <c r="R256" s="43">
        <f t="shared" si="42"/>
        <v>0.11569139033556564</v>
      </c>
    </row>
    <row r="257" spans="1:18" ht="15.75" customHeight="1" x14ac:dyDescent="0.3">
      <c r="A257" s="47">
        <v>38239</v>
      </c>
      <c r="B257" s="48">
        <v>0</v>
      </c>
      <c r="C257" s="49">
        <v>0</v>
      </c>
      <c r="D257" s="10">
        <f t="shared" si="34"/>
        <v>-0.38980777739764078</v>
      </c>
      <c r="E257" s="10">
        <f t="shared" si="35"/>
        <v>-0.68571147540983624</v>
      </c>
      <c r="F257" s="10">
        <f t="shared" si="46"/>
        <v>0.15195010331968867</v>
      </c>
      <c r="G257" s="10">
        <f t="shared" si="46"/>
        <v>0.47020022750873447</v>
      </c>
      <c r="H257" s="11">
        <f t="shared" si="43"/>
        <v>0.26729566616556527</v>
      </c>
      <c r="I257" s="12">
        <f t="shared" si="44"/>
        <v>0</v>
      </c>
      <c r="J257" s="28">
        <f t="shared" si="45"/>
        <v>0</v>
      </c>
      <c r="K257" s="30">
        <f t="shared" si="36"/>
        <v>0</v>
      </c>
      <c r="L257" s="5"/>
      <c r="M257" s="30">
        <f t="shared" si="37"/>
        <v>0</v>
      </c>
      <c r="N257" s="42">
        <f t="shared" si="38"/>
        <v>0</v>
      </c>
      <c r="O257" s="43">
        <f t="shared" si="39"/>
        <v>0</v>
      </c>
      <c r="P257" s="43">
        <f t="shared" si="40"/>
        <v>-0.34013437099999999</v>
      </c>
      <c r="Q257" s="43">
        <f t="shared" si="41"/>
        <v>-0.34013437099999999</v>
      </c>
      <c r="R257" s="43">
        <f t="shared" si="42"/>
        <v>0.11569139033556564</v>
      </c>
    </row>
    <row r="258" spans="1:18" ht="15.75" customHeight="1" x14ac:dyDescent="0.3">
      <c r="A258" s="47">
        <v>38240</v>
      </c>
      <c r="B258" s="48">
        <v>0</v>
      </c>
      <c r="C258" s="49">
        <v>0</v>
      </c>
      <c r="D258" s="10">
        <f t="shared" si="34"/>
        <v>-0.38980777739764078</v>
      </c>
      <c r="E258" s="10">
        <f t="shared" si="35"/>
        <v>-0.68571147540983624</v>
      </c>
      <c r="F258" s="10">
        <f t="shared" si="46"/>
        <v>0.15195010331968867</v>
      </c>
      <c r="G258" s="10">
        <f t="shared" si="46"/>
        <v>0.47020022750873447</v>
      </c>
      <c r="H258" s="11">
        <f t="shared" si="43"/>
        <v>0.26729566616556527</v>
      </c>
      <c r="I258" s="12">
        <f t="shared" si="44"/>
        <v>0</v>
      </c>
      <c r="J258" s="28">
        <f t="shared" si="45"/>
        <v>0</v>
      </c>
      <c r="K258" s="30">
        <f t="shared" si="36"/>
        <v>0</v>
      </c>
      <c r="L258" s="5"/>
      <c r="M258" s="30">
        <f t="shared" si="37"/>
        <v>0</v>
      </c>
      <c r="N258" s="42">
        <f t="shared" si="38"/>
        <v>0</v>
      </c>
      <c r="O258" s="43">
        <f t="shared" si="39"/>
        <v>0</v>
      </c>
      <c r="P258" s="43">
        <f t="shared" si="40"/>
        <v>-0.34013437099999999</v>
      </c>
      <c r="Q258" s="43">
        <f t="shared" si="41"/>
        <v>-0.34013437099999999</v>
      </c>
      <c r="R258" s="43">
        <f t="shared" si="42"/>
        <v>0.11569139033556564</v>
      </c>
    </row>
    <row r="259" spans="1:18" ht="15.75" customHeight="1" x14ac:dyDescent="0.3">
      <c r="A259" s="47">
        <v>38241</v>
      </c>
      <c r="B259" s="48"/>
      <c r="C259" s="49">
        <v>0</v>
      </c>
      <c r="D259" s="10">
        <f t="shared" si="34"/>
        <v>-0.38980777739764078</v>
      </c>
      <c r="E259" s="10">
        <f t="shared" si="35"/>
        <v>-0.68571147540983624</v>
      </c>
      <c r="F259" s="10">
        <f t="shared" si="46"/>
        <v>0.15195010331968867</v>
      </c>
      <c r="G259" s="10">
        <f t="shared" si="46"/>
        <v>0.47020022750873447</v>
      </c>
      <c r="H259" s="11">
        <f t="shared" si="43"/>
        <v>0.26729566616556527</v>
      </c>
      <c r="I259" s="12">
        <f t="shared" si="44"/>
        <v>0</v>
      </c>
      <c r="J259" s="28">
        <f t="shared" si="45"/>
        <v>0</v>
      </c>
      <c r="K259" s="30">
        <f t="shared" si="36"/>
        <v>0</v>
      </c>
      <c r="L259" s="5"/>
      <c r="M259" s="30">
        <f t="shared" si="37"/>
        <v>0</v>
      </c>
      <c r="N259" s="42">
        <f t="shared" si="38"/>
        <v>0</v>
      </c>
      <c r="O259" s="43">
        <f t="shared" si="39"/>
        <v>0</v>
      </c>
      <c r="P259" s="43">
        <f t="shared" si="40"/>
        <v>-0.34013437099999999</v>
      </c>
      <c r="Q259" s="43">
        <f t="shared" si="41"/>
        <v>-0.34013437099999999</v>
      </c>
      <c r="R259" s="43">
        <f t="shared" si="42"/>
        <v>0.11569139033556564</v>
      </c>
    </row>
    <row r="260" spans="1:18" ht="15.75" customHeight="1" x14ac:dyDescent="0.3">
      <c r="A260" s="47">
        <v>38242</v>
      </c>
      <c r="B260" s="48">
        <v>0</v>
      </c>
      <c r="C260" s="49">
        <v>0</v>
      </c>
      <c r="D260" s="10">
        <f t="shared" si="34"/>
        <v>-0.38980777739764078</v>
      </c>
      <c r="E260" s="10">
        <f t="shared" si="35"/>
        <v>-0.68571147540983624</v>
      </c>
      <c r="F260" s="10">
        <f t="shared" si="46"/>
        <v>0.15195010331968867</v>
      </c>
      <c r="G260" s="10">
        <f t="shared" si="46"/>
        <v>0.47020022750873447</v>
      </c>
      <c r="H260" s="11">
        <f t="shared" si="43"/>
        <v>0.26729566616556527</v>
      </c>
      <c r="I260" s="12">
        <f t="shared" si="44"/>
        <v>0</v>
      </c>
      <c r="J260" s="28">
        <f t="shared" si="45"/>
        <v>0</v>
      </c>
      <c r="K260" s="30">
        <f t="shared" si="36"/>
        <v>0</v>
      </c>
      <c r="L260" s="5"/>
      <c r="M260" s="30">
        <f t="shared" si="37"/>
        <v>0</v>
      </c>
      <c r="N260" s="42">
        <f t="shared" si="38"/>
        <v>0</v>
      </c>
      <c r="O260" s="43">
        <f t="shared" si="39"/>
        <v>0</v>
      </c>
      <c r="P260" s="43">
        <f t="shared" si="40"/>
        <v>-0.34013437099999999</v>
      </c>
      <c r="Q260" s="43">
        <f t="shared" si="41"/>
        <v>-0.34013437099999999</v>
      </c>
      <c r="R260" s="43">
        <f t="shared" si="42"/>
        <v>0.11569139033556564</v>
      </c>
    </row>
    <row r="261" spans="1:18" ht="15.75" customHeight="1" x14ac:dyDescent="0.3">
      <c r="A261" s="47">
        <v>38243</v>
      </c>
      <c r="B261" s="48">
        <v>0</v>
      </c>
      <c r="C261" s="49">
        <v>0</v>
      </c>
      <c r="D261" s="10">
        <f t="shared" ref="D261:D324" si="47">B261-$C$375</f>
        <v>-0.38980777739764078</v>
      </c>
      <c r="E261" s="10">
        <f t="shared" ref="E261:E324" si="48">C261-$D$375</f>
        <v>-0.68571147540983624</v>
      </c>
      <c r="F261" s="10">
        <f t="shared" si="46"/>
        <v>0.15195010331968867</v>
      </c>
      <c r="G261" s="10">
        <f t="shared" si="46"/>
        <v>0.47020022750873447</v>
      </c>
      <c r="H261" s="11">
        <f t="shared" si="43"/>
        <v>0.26729566616556527</v>
      </c>
      <c r="I261" s="12">
        <f t="shared" si="44"/>
        <v>0</v>
      </c>
      <c r="J261" s="28">
        <f t="shared" si="45"/>
        <v>0</v>
      </c>
      <c r="K261" s="30">
        <f t="shared" si="36"/>
        <v>0</v>
      </c>
      <c r="L261" s="5"/>
      <c r="M261" s="30">
        <f t="shared" si="37"/>
        <v>0</v>
      </c>
      <c r="N261" s="42">
        <f t="shared" si="38"/>
        <v>0</v>
      </c>
      <c r="O261" s="43">
        <f t="shared" si="39"/>
        <v>0</v>
      </c>
      <c r="P261" s="43">
        <f t="shared" si="40"/>
        <v>-0.34013437099999999</v>
      </c>
      <c r="Q261" s="43">
        <f t="shared" si="41"/>
        <v>-0.34013437099999999</v>
      </c>
      <c r="R261" s="43">
        <f t="shared" si="42"/>
        <v>0.11569139033556564</v>
      </c>
    </row>
    <row r="262" spans="1:18" ht="15.75" customHeight="1" x14ac:dyDescent="0.3">
      <c r="A262" s="47">
        <v>38244</v>
      </c>
      <c r="B262" s="48">
        <v>0</v>
      </c>
      <c r="C262" s="49">
        <v>0</v>
      </c>
      <c r="D262" s="10">
        <f t="shared" si="47"/>
        <v>-0.38980777739764078</v>
      </c>
      <c r="E262" s="10">
        <f t="shared" si="48"/>
        <v>-0.68571147540983624</v>
      </c>
      <c r="F262" s="10">
        <f t="shared" si="46"/>
        <v>0.15195010331968867</v>
      </c>
      <c r="G262" s="10">
        <f t="shared" si="46"/>
        <v>0.47020022750873447</v>
      </c>
      <c r="H262" s="11">
        <f t="shared" si="43"/>
        <v>0.26729566616556527</v>
      </c>
      <c r="I262" s="12">
        <f t="shared" si="44"/>
        <v>0</v>
      </c>
      <c r="J262" s="28">
        <f t="shared" si="45"/>
        <v>0</v>
      </c>
      <c r="K262" s="30">
        <f t="shared" ref="K262:K325" si="49">C262-B262</f>
        <v>0</v>
      </c>
      <c r="L262" s="5"/>
      <c r="M262" s="30">
        <f t="shared" ref="M262:M325" si="50">B262-C262</f>
        <v>0</v>
      </c>
      <c r="N262" s="42">
        <f t="shared" ref="N262:N325" si="51">B262-C262</f>
        <v>0</v>
      </c>
      <c r="O262" s="43">
        <f t="shared" ref="O262:O325" si="52">M262*N262</f>
        <v>0</v>
      </c>
      <c r="P262" s="43">
        <f t="shared" ref="P262:P325" si="53">B262-0.340134371</f>
        <v>-0.34013437099999999</v>
      </c>
      <c r="Q262" s="43">
        <f t="shared" ref="Q262:Q325" si="54">B262-0.340134371</f>
        <v>-0.34013437099999999</v>
      </c>
      <c r="R262" s="43">
        <f t="shared" ref="R262:R325" si="55">P262*Q262</f>
        <v>0.11569139033556564</v>
      </c>
    </row>
    <row r="263" spans="1:18" ht="15.75" customHeight="1" x14ac:dyDescent="0.3">
      <c r="A263" s="47">
        <v>38245</v>
      </c>
      <c r="B263" s="48">
        <v>0</v>
      </c>
      <c r="C263" s="49">
        <v>0</v>
      </c>
      <c r="D263" s="10">
        <f t="shared" si="47"/>
        <v>-0.38980777739764078</v>
      </c>
      <c r="E263" s="10">
        <f t="shared" si="48"/>
        <v>-0.68571147540983624</v>
      </c>
      <c r="F263" s="10">
        <f t="shared" si="46"/>
        <v>0.15195010331968867</v>
      </c>
      <c r="G263" s="10">
        <f t="shared" si="46"/>
        <v>0.47020022750873447</v>
      </c>
      <c r="H263" s="11">
        <f t="shared" si="43"/>
        <v>0.26729566616556527</v>
      </c>
      <c r="I263" s="12">
        <f t="shared" si="44"/>
        <v>0</v>
      </c>
      <c r="J263" s="28">
        <f t="shared" si="45"/>
        <v>0</v>
      </c>
      <c r="K263" s="30">
        <f t="shared" si="49"/>
        <v>0</v>
      </c>
      <c r="L263" s="5"/>
      <c r="M263" s="30">
        <f t="shared" si="50"/>
        <v>0</v>
      </c>
      <c r="N263" s="42">
        <f t="shared" si="51"/>
        <v>0</v>
      </c>
      <c r="O263" s="43">
        <f t="shared" si="52"/>
        <v>0</v>
      </c>
      <c r="P263" s="43">
        <f t="shared" si="53"/>
        <v>-0.34013437099999999</v>
      </c>
      <c r="Q263" s="43">
        <f t="shared" si="54"/>
        <v>-0.34013437099999999</v>
      </c>
      <c r="R263" s="43">
        <f t="shared" si="55"/>
        <v>0.11569139033556564</v>
      </c>
    </row>
    <row r="264" spans="1:18" ht="15.75" customHeight="1" x14ac:dyDescent="0.3">
      <c r="A264" s="47">
        <v>38246</v>
      </c>
      <c r="B264" s="48">
        <v>0</v>
      </c>
      <c r="C264" s="49">
        <v>0</v>
      </c>
      <c r="D264" s="10">
        <f t="shared" si="47"/>
        <v>-0.38980777739764078</v>
      </c>
      <c r="E264" s="10">
        <f t="shared" si="48"/>
        <v>-0.68571147540983624</v>
      </c>
      <c r="F264" s="10">
        <f t="shared" si="46"/>
        <v>0.15195010331968867</v>
      </c>
      <c r="G264" s="10">
        <f t="shared" si="46"/>
        <v>0.47020022750873447</v>
      </c>
      <c r="H264" s="11">
        <f t="shared" si="43"/>
        <v>0.26729566616556527</v>
      </c>
      <c r="I264" s="12">
        <f t="shared" si="44"/>
        <v>0</v>
      </c>
      <c r="J264" s="28">
        <f t="shared" si="45"/>
        <v>0</v>
      </c>
      <c r="K264" s="30">
        <f t="shared" si="49"/>
        <v>0</v>
      </c>
      <c r="L264" s="5"/>
      <c r="M264" s="30">
        <f t="shared" si="50"/>
        <v>0</v>
      </c>
      <c r="N264" s="42">
        <f t="shared" si="51"/>
        <v>0</v>
      </c>
      <c r="O264" s="43">
        <f t="shared" si="52"/>
        <v>0</v>
      </c>
      <c r="P264" s="43">
        <f t="shared" si="53"/>
        <v>-0.34013437099999999</v>
      </c>
      <c r="Q264" s="43">
        <f t="shared" si="54"/>
        <v>-0.34013437099999999</v>
      </c>
      <c r="R264" s="43">
        <f t="shared" si="55"/>
        <v>0.11569139033556564</v>
      </c>
    </row>
    <row r="265" spans="1:18" ht="15.75" customHeight="1" x14ac:dyDescent="0.3">
      <c r="A265" s="47">
        <v>38247</v>
      </c>
      <c r="B265" s="48">
        <v>0</v>
      </c>
      <c r="C265" s="49">
        <v>0</v>
      </c>
      <c r="D265" s="10">
        <f t="shared" si="47"/>
        <v>-0.38980777739764078</v>
      </c>
      <c r="E265" s="10">
        <f t="shared" si="48"/>
        <v>-0.68571147540983624</v>
      </c>
      <c r="F265" s="10">
        <f t="shared" si="46"/>
        <v>0.15195010331968867</v>
      </c>
      <c r="G265" s="10">
        <f t="shared" si="46"/>
        <v>0.47020022750873447</v>
      </c>
      <c r="H265" s="11">
        <f t="shared" si="43"/>
        <v>0.26729566616556527</v>
      </c>
      <c r="I265" s="12">
        <f t="shared" si="44"/>
        <v>0</v>
      </c>
      <c r="J265" s="28">
        <f t="shared" si="45"/>
        <v>0</v>
      </c>
      <c r="K265" s="30">
        <f t="shared" si="49"/>
        <v>0</v>
      </c>
      <c r="L265" s="5"/>
      <c r="M265" s="30">
        <f t="shared" si="50"/>
        <v>0</v>
      </c>
      <c r="N265" s="42">
        <f t="shared" si="51"/>
        <v>0</v>
      </c>
      <c r="O265" s="43">
        <f t="shared" si="52"/>
        <v>0</v>
      </c>
      <c r="P265" s="43">
        <f t="shared" si="53"/>
        <v>-0.34013437099999999</v>
      </c>
      <c r="Q265" s="43">
        <f t="shared" si="54"/>
        <v>-0.34013437099999999</v>
      </c>
      <c r="R265" s="43">
        <f t="shared" si="55"/>
        <v>0.11569139033556564</v>
      </c>
    </row>
    <row r="266" spans="1:18" ht="15.75" customHeight="1" x14ac:dyDescent="0.3">
      <c r="A266" s="47">
        <v>38248</v>
      </c>
      <c r="B266" s="48">
        <v>0</v>
      </c>
      <c r="C266" s="49">
        <v>0</v>
      </c>
      <c r="D266" s="10">
        <f t="shared" si="47"/>
        <v>-0.38980777739764078</v>
      </c>
      <c r="E266" s="10">
        <f t="shared" si="48"/>
        <v>-0.68571147540983624</v>
      </c>
      <c r="F266" s="10">
        <f t="shared" si="46"/>
        <v>0.15195010331968867</v>
      </c>
      <c r="G266" s="10">
        <f t="shared" si="46"/>
        <v>0.47020022750873447</v>
      </c>
      <c r="H266" s="11">
        <f t="shared" si="43"/>
        <v>0.26729566616556527</v>
      </c>
      <c r="I266" s="12">
        <f t="shared" si="44"/>
        <v>0</v>
      </c>
      <c r="J266" s="28">
        <f t="shared" si="45"/>
        <v>0</v>
      </c>
      <c r="K266" s="30">
        <f t="shared" si="49"/>
        <v>0</v>
      </c>
      <c r="L266" s="5"/>
      <c r="M266" s="30">
        <f t="shared" si="50"/>
        <v>0</v>
      </c>
      <c r="N266" s="42">
        <f t="shared" si="51"/>
        <v>0</v>
      </c>
      <c r="O266" s="43">
        <f t="shared" si="52"/>
        <v>0</v>
      </c>
      <c r="P266" s="43">
        <f t="shared" si="53"/>
        <v>-0.34013437099999999</v>
      </c>
      <c r="Q266" s="43">
        <f t="shared" si="54"/>
        <v>-0.34013437099999999</v>
      </c>
      <c r="R266" s="43">
        <f t="shared" si="55"/>
        <v>0.11569139033556564</v>
      </c>
    </row>
    <row r="267" spans="1:18" ht="15.75" customHeight="1" x14ac:dyDescent="0.3">
      <c r="A267" s="47">
        <v>38249</v>
      </c>
      <c r="B267" s="48">
        <v>0</v>
      </c>
      <c r="C267" s="49">
        <v>0</v>
      </c>
      <c r="D267" s="10">
        <f t="shared" si="47"/>
        <v>-0.38980777739764078</v>
      </c>
      <c r="E267" s="10">
        <f t="shared" si="48"/>
        <v>-0.68571147540983624</v>
      </c>
      <c r="F267" s="10">
        <f t="shared" si="46"/>
        <v>0.15195010331968867</v>
      </c>
      <c r="G267" s="10">
        <f t="shared" si="46"/>
        <v>0.47020022750873447</v>
      </c>
      <c r="H267" s="11">
        <f t="shared" ref="H267:H330" si="56">D267*E267</f>
        <v>0.26729566616556527</v>
      </c>
      <c r="I267" s="12">
        <f t="shared" ref="I267:I330" si="57">ABS(C267-B267)</f>
        <v>0</v>
      </c>
      <c r="J267" s="28">
        <f t="shared" ref="J267:J330" si="58">I267^2</f>
        <v>0</v>
      </c>
      <c r="K267" s="30">
        <f t="shared" si="49"/>
        <v>0</v>
      </c>
      <c r="L267" s="5"/>
      <c r="M267" s="30">
        <f t="shared" si="50"/>
        <v>0</v>
      </c>
      <c r="N267" s="42">
        <f t="shared" si="51"/>
        <v>0</v>
      </c>
      <c r="O267" s="43">
        <f t="shared" si="52"/>
        <v>0</v>
      </c>
      <c r="P267" s="43">
        <f t="shared" si="53"/>
        <v>-0.34013437099999999</v>
      </c>
      <c r="Q267" s="43">
        <f t="shared" si="54"/>
        <v>-0.34013437099999999</v>
      </c>
      <c r="R267" s="43">
        <f t="shared" si="55"/>
        <v>0.11569139033556564</v>
      </c>
    </row>
    <row r="268" spans="1:18" ht="15.75" customHeight="1" x14ac:dyDescent="0.3">
      <c r="A268" s="47">
        <v>38250</v>
      </c>
      <c r="B268" s="48">
        <v>0</v>
      </c>
      <c r="C268" s="49">
        <v>0</v>
      </c>
      <c r="D268" s="10">
        <f t="shared" si="47"/>
        <v>-0.38980777739764078</v>
      </c>
      <c r="E268" s="10">
        <f t="shared" si="48"/>
        <v>-0.68571147540983624</v>
      </c>
      <c r="F268" s="10">
        <f t="shared" si="46"/>
        <v>0.15195010331968867</v>
      </c>
      <c r="G268" s="10">
        <f t="shared" si="46"/>
        <v>0.47020022750873447</v>
      </c>
      <c r="H268" s="11">
        <f t="shared" si="56"/>
        <v>0.26729566616556527</v>
      </c>
      <c r="I268" s="12">
        <f t="shared" si="57"/>
        <v>0</v>
      </c>
      <c r="J268" s="28">
        <f t="shared" si="58"/>
        <v>0</v>
      </c>
      <c r="K268" s="30">
        <f t="shared" si="49"/>
        <v>0</v>
      </c>
      <c r="L268" s="5"/>
      <c r="M268" s="30">
        <f t="shared" si="50"/>
        <v>0</v>
      </c>
      <c r="N268" s="42">
        <f t="shared" si="51"/>
        <v>0</v>
      </c>
      <c r="O268" s="43">
        <f t="shared" si="52"/>
        <v>0</v>
      </c>
      <c r="P268" s="43">
        <f t="shared" si="53"/>
        <v>-0.34013437099999999</v>
      </c>
      <c r="Q268" s="43">
        <f t="shared" si="54"/>
        <v>-0.34013437099999999</v>
      </c>
      <c r="R268" s="43">
        <f t="shared" si="55"/>
        <v>0.11569139033556564</v>
      </c>
    </row>
    <row r="269" spans="1:18" ht="15.75" customHeight="1" x14ac:dyDescent="0.3">
      <c r="A269" s="47">
        <v>38251</v>
      </c>
      <c r="B269" s="48">
        <v>0</v>
      </c>
      <c r="C269" s="49">
        <v>0</v>
      </c>
      <c r="D269" s="10">
        <f t="shared" si="47"/>
        <v>-0.38980777739764078</v>
      </c>
      <c r="E269" s="10">
        <f t="shared" si="48"/>
        <v>-0.68571147540983624</v>
      </c>
      <c r="F269" s="10">
        <f t="shared" si="46"/>
        <v>0.15195010331968867</v>
      </c>
      <c r="G269" s="10">
        <f t="shared" si="46"/>
        <v>0.47020022750873447</v>
      </c>
      <c r="H269" s="11">
        <f t="shared" si="56"/>
        <v>0.26729566616556527</v>
      </c>
      <c r="I269" s="12">
        <f t="shared" si="57"/>
        <v>0</v>
      </c>
      <c r="J269" s="28">
        <f t="shared" si="58"/>
        <v>0</v>
      </c>
      <c r="K269" s="30">
        <f t="shared" si="49"/>
        <v>0</v>
      </c>
      <c r="L269" s="5"/>
      <c r="M269" s="30">
        <f t="shared" si="50"/>
        <v>0</v>
      </c>
      <c r="N269" s="42">
        <f t="shared" si="51"/>
        <v>0</v>
      </c>
      <c r="O269" s="43">
        <f t="shared" si="52"/>
        <v>0</v>
      </c>
      <c r="P269" s="43">
        <f t="shared" si="53"/>
        <v>-0.34013437099999999</v>
      </c>
      <c r="Q269" s="43">
        <f t="shared" si="54"/>
        <v>-0.34013437099999999</v>
      </c>
      <c r="R269" s="43">
        <f t="shared" si="55"/>
        <v>0.11569139033556564</v>
      </c>
    </row>
    <row r="270" spans="1:18" ht="15.75" customHeight="1" x14ac:dyDescent="0.3">
      <c r="A270" s="47">
        <v>38252</v>
      </c>
      <c r="B270" s="48">
        <v>0</v>
      </c>
      <c r="C270" s="49">
        <v>0</v>
      </c>
      <c r="D270" s="10">
        <f t="shared" si="47"/>
        <v>-0.38980777739764078</v>
      </c>
      <c r="E270" s="10">
        <f t="shared" si="48"/>
        <v>-0.68571147540983624</v>
      </c>
      <c r="F270" s="10">
        <f t="shared" si="46"/>
        <v>0.15195010331968867</v>
      </c>
      <c r="G270" s="10">
        <f t="shared" si="46"/>
        <v>0.47020022750873447</v>
      </c>
      <c r="H270" s="11">
        <f t="shared" si="56"/>
        <v>0.26729566616556527</v>
      </c>
      <c r="I270" s="12">
        <f t="shared" si="57"/>
        <v>0</v>
      </c>
      <c r="J270" s="28">
        <f t="shared" si="58"/>
        <v>0</v>
      </c>
      <c r="K270" s="30">
        <f t="shared" si="49"/>
        <v>0</v>
      </c>
      <c r="L270" s="5"/>
      <c r="M270" s="30">
        <f t="shared" si="50"/>
        <v>0</v>
      </c>
      <c r="N270" s="42">
        <f t="shared" si="51"/>
        <v>0</v>
      </c>
      <c r="O270" s="43">
        <f t="shared" si="52"/>
        <v>0</v>
      </c>
      <c r="P270" s="43">
        <f t="shared" si="53"/>
        <v>-0.34013437099999999</v>
      </c>
      <c r="Q270" s="43">
        <f t="shared" si="54"/>
        <v>-0.34013437099999999</v>
      </c>
      <c r="R270" s="43">
        <f t="shared" si="55"/>
        <v>0.11569139033556564</v>
      </c>
    </row>
    <row r="271" spans="1:18" ht="15.75" customHeight="1" x14ac:dyDescent="0.3">
      <c r="A271" s="47">
        <v>38253</v>
      </c>
      <c r="B271" s="48">
        <v>0</v>
      </c>
      <c r="C271" s="49">
        <v>0</v>
      </c>
      <c r="D271" s="10">
        <f t="shared" si="47"/>
        <v>-0.38980777739764078</v>
      </c>
      <c r="E271" s="10">
        <f t="shared" si="48"/>
        <v>-0.68571147540983624</v>
      </c>
      <c r="F271" s="10">
        <f t="shared" si="46"/>
        <v>0.15195010331968867</v>
      </c>
      <c r="G271" s="10">
        <f t="shared" si="46"/>
        <v>0.47020022750873447</v>
      </c>
      <c r="H271" s="11">
        <f t="shared" si="56"/>
        <v>0.26729566616556527</v>
      </c>
      <c r="I271" s="12">
        <f t="shared" si="57"/>
        <v>0</v>
      </c>
      <c r="J271" s="28">
        <f t="shared" si="58"/>
        <v>0</v>
      </c>
      <c r="K271" s="30">
        <f t="shared" si="49"/>
        <v>0</v>
      </c>
      <c r="L271" s="5"/>
      <c r="M271" s="30">
        <f t="shared" si="50"/>
        <v>0</v>
      </c>
      <c r="N271" s="42">
        <f t="shared" si="51"/>
        <v>0</v>
      </c>
      <c r="O271" s="43">
        <f t="shared" si="52"/>
        <v>0</v>
      </c>
      <c r="P271" s="43">
        <f t="shared" si="53"/>
        <v>-0.34013437099999999</v>
      </c>
      <c r="Q271" s="43">
        <f t="shared" si="54"/>
        <v>-0.34013437099999999</v>
      </c>
      <c r="R271" s="43">
        <f t="shared" si="55"/>
        <v>0.11569139033556564</v>
      </c>
    </row>
    <row r="272" spans="1:18" ht="15.75" customHeight="1" x14ac:dyDescent="0.3">
      <c r="A272" s="47">
        <v>38254</v>
      </c>
      <c r="B272" s="48">
        <v>0</v>
      </c>
      <c r="C272" s="49">
        <v>0</v>
      </c>
      <c r="D272" s="10">
        <f t="shared" si="47"/>
        <v>-0.38980777739764078</v>
      </c>
      <c r="E272" s="10">
        <f t="shared" si="48"/>
        <v>-0.68571147540983624</v>
      </c>
      <c r="F272" s="10">
        <f t="shared" si="46"/>
        <v>0.15195010331968867</v>
      </c>
      <c r="G272" s="10">
        <f t="shared" si="46"/>
        <v>0.47020022750873447</v>
      </c>
      <c r="H272" s="11">
        <f t="shared" si="56"/>
        <v>0.26729566616556527</v>
      </c>
      <c r="I272" s="12">
        <f t="shared" si="57"/>
        <v>0</v>
      </c>
      <c r="J272" s="28">
        <f t="shared" si="58"/>
        <v>0</v>
      </c>
      <c r="K272" s="30">
        <f t="shared" si="49"/>
        <v>0</v>
      </c>
      <c r="L272" s="5"/>
      <c r="M272" s="30">
        <f t="shared" si="50"/>
        <v>0</v>
      </c>
      <c r="N272" s="42">
        <f t="shared" si="51"/>
        <v>0</v>
      </c>
      <c r="O272" s="43">
        <f t="shared" si="52"/>
        <v>0</v>
      </c>
      <c r="P272" s="43">
        <f t="shared" si="53"/>
        <v>-0.34013437099999999</v>
      </c>
      <c r="Q272" s="43">
        <f t="shared" si="54"/>
        <v>-0.34013437099999999</v>
      </c>
      <c r="R272" s="43">
        <f t="shared" si="55"/>
        <v>0.11569139033556564</v>
      </c>
    </row>
    <row r="273" spans="1:18" ht="15.75" customHeight="1" x14ac:dyDescent="0.3">
      <c r="A273" s="47">
        <v>38255</v>
      </c>
      <c r="B273" s="48">
        <v>0</v>
      </c>
      <c r="C273" s="49">
        <v>0</v>
      </c>
      <c r="D273" s="10">
        <f t="shared" si="47"/>
        <v>-0.38980777739764078</v>
      </c>
      <c r="E273" s="10">
        <f t="shared" si="48"/>
        <v>-0.68571147540983624</v>
      </c>
      <c r="F273" s="10">
        <f t="shared" si="46"/>
        <v>0.15195010331968867</v>
      </c>
      <c r="G273" s="10">
        <f t="shared" si="46"/>
        <v>0.47020022750873447</v>
      </c>
      <c r="H273" s="11">
        <f t="shared" si="56"/>
        <v>0.26729566616556527</v>
      </c>
      <c r="I273" s="12">
        <f t="shared" si="57"/>
        <v>0</v>
      </c>
      <c r="J273" s="28">
        <f t="shared" si="58"/>
        <v>0</v>
      </c>
      <c r="K273" s="30">
        <f t="shared" si="49"/>
        <v>0</v>
      </c>
      <c r="L273" s="5"/>
      <c r="M273" s="30">
        <f t="shared" si="50"/>
        <v>0</v>
      </c>
      <c r="N273" s="42">
        <f t="shared" si="51"/>
        <v>0</v>
      </c>
      <c r="O273" s="43">
        <f t="shared" si="52"/>
        <v>0</v>
      </c>
      <c r="P273" s="43">
        <f t="shared" si="53"/>
        <v>-0.34013437099999999</v>
      </c>
      <c r="Q273" s="43">
        <f t="shared" si="54"/>
        <v>-0.34013437099999999</v>
      </c>
      <c r="R273" s="43">
        <f t="shared" si="55"/>
        <v>0.11569139033556564</v>
      </c>
    </row>
    <row r="274" spans="1:18" ht="15.75" customHeight="1" x14ac:dyDescent="0.3">
      <c r="A274" s="47">
        <v>38256</v>
      </c>
      <c r="B274" s="48">
        <v>0</v>
      </c>
      <c r="C274" s="49">
        <v>0</v>
      </c>
      <c r="D274" s="10">
        <f t="shared" si="47"/>
        <v>-0.38980777739764078</v>
      </c>
      <c r="E274" s="10">
        <f t="shared" si="48"/>
        <v>-0.68571147540983624</v>
      </c>
      <c r="F274" s="10">
        <f t="shared" si="46"/>
        <v>0.15195010331968867</v>
      </c>
      <c r="G274" s="10">
        <f t="shared" si="46"/>
        <v>0.47020022750873447</v>
      </c>
      <c r="H274" s="11">
        <f t="shared" si="56"/>
        <v>0.26729566616556527</v>
      </c>
      <c r="I274" s="12">
        <f t="shared" si="57"/>
        <v>0</v>
      </c>
      <c r="J274" s="28">
        <f t="shared" si="58"/>
        <v>0</v>
      </c>
      <c r="K274" s="30">
        <f t="shared" si="49"/>
        <v>0</v>
      </c>
      <c r="L274" s="5"/>
      <c r="M274" s="30">
        <f t="shared" si="50"/>
        <v>0</v>
      </c>
      <c r="N274" s="42">
        <f t="shared" si="51"/>
        <v>0</v>
      </c>
      <c r="O274" s="43">
        <f t="shared" si="52"/>
        <v>0</v>
      </c>
      <c r="P274" s="43">
        <f t="shared" si="53"/>
        <v>-0.34013437099999999</v>
      </c>
      <c r="Q274" s="43">
        <f t="shared" si="54"/>
        <v>-0.34013437099999999</v>
      </c>
      <c r="R274" s="43">
        <f t="shared" si="55"/>
        <v>0.11569139033556564</v>
      </c>
    </row>
    <row r="275" spans="1:18" ht="15.75" customHeight="1" x14ac:dyDescent="0.3">
      <c r="A275" s="47">
        <v>38257</v>
      </c>
      <c r="B275" s="48">
        <v>0</v>
      </c>
      <c r="C275" s="49">
        <v>0</v>
      </c>
      <c r="D275" s="10">
        <f t="shared" si="47"/>
        <v>-0.38980777739764078</v>
      </c>
      <c r="E275" s="10">
        <f t="shared" si="48"/>
        <v>-0.68571147540983624</v>
      </c>
      <c r="F275" s="10">
        <f t="shared" si="46"/>
        <v>0.15195010331968867</v>
      </c>
      <c r="G275" s="10">
        <f t="shared" si="46"/>
        <v>0.47020022750873447</v>
      </c>
      <c r="H275" s="11">
        <f t="shared" si="56"/>
        <v>0.26729566616556527</v>
      </c>
      <c r="I275" s="12">
        <f t="shared" si="57"/>
        <v>0</v>
      </c>
      <c r="J275" s="28">
        <f t="shared" si="58"/>
        <v>0</v>
      </c>
      <c r="K275" s="30">
        <f t="shared" si="49"/>
        <v>0</v>
      </c>
      <c r="L275" s="5"/>
      <c r="M275" s="30">
        <f t="shared" si="50"/>
        <v>0</v>
      </c>
      <c r="N275" s="42">
        <f t="shared" si="51"/>
        <v>0</v>
      </c>
      <c r="O275" s="43">
        <f t="shared" si="52"/>
        <v>0</v>
      </c>
      <c r="P275" s="43">
        <f t="shared" si="53"/>
        <v>-0.34013437099999999</v>
      </c>
      <c r="Q275" s="43">
        <f t="shared" si="54"/>
        <v>-0.34013437099999999</v>
      </c>
      <c r="R275" s="43">
        <f t="shared" si="55"/>
        <v>0.11569139033556564</v>
      </c>
    </row>
    <row r="276" spans="1:18" ht="15.75" customHeight="1" x14ac:dyDescent="0.3">
      <c r="A276" s="47">
        <v>38258</v>
      </c>
      <c r="B276" s="48">
        <v>0</v>
      </c>
      <c r="C276" s="49">
        <v>0</v>
      </c>
      <c r="D276" s="10">
        <f t="shared" si="47"/>
        <v>-0.38980777739764078</v>
      </c>
      <c r="E276" s="10">
        <f t="shared" si="48"/>
        <v>-0.68571147540983624</v>
      </c>
      <c r="F276" s="10">
        <f t="shared" si="46"/>
        <v>0.15195010331968867</v>
      </c>
      <c r="G276" s="10">
        <f t="shared" si="46"/>
        <v>0.47020022750873447</v>
      </c>
      <c r="H276" s="11">
        <f t="shared" si="56"/>
        <v>0.26729566616556527</v>
      </c>
      <c r="I276" s="12">
        <f t="shared" si="57"/>
        <v>0</v>
      </c>
      <c r="J276" s="28">
        <f t="shared" si="58"/>
        <v>0</v>
      </c>
      <c r="K276" s="30">
        <f t="shared" si="49"/>
        <v>0</v>
      </c>
      <c r="L276" s="5"/>
      <c r="M276" s="30">
        <f t="shared" si="50"/>
        <v>0</v>
      </c>
      <c r="N276" s="42">
        <f t="shared" si="51"/>
        <v>0</v>
      </c>
      <c r="O276" s="43">
        <f t="shared" si="52"/>
        <v>0</v>
      </c>
      <c r="P276" s="43">
        <f t="shared" si="53"/>
        <v>-0.34013437099999999</v>
      </c>
      <c r="Q276" s="43">
        <f t="shared" si="54"/>
        <v>-0.34013437099999999</v>
      </c>
      <c r="R276" s="43">
        <f t="shared" si="55"/>
        <v>0.11569139033556564</v>
      </c>
    </row>
    <row r="277" spans="1:18" ht="15.75" customHeight="1" x14ac:dyDescent="0.3">
      <c r="A277" s="47">
        <v>38259</v>
      </c>
      <c r="B277" s="48">
        <v>0</v>
      </c>
      <c r="C277" s="49">
        <v>0</v>
      </c>
      <c r="D277" s="10">
        <f t="shared" si="47"/>
        <v>-0.38980777739764078</v>
      </c>
      <c r="E277" s="10">
        <f t="shared" si="48"/>
        <v>-0.68571147540983624</v>
      </c>
      <c r="F277" s="10">
        <f t="shared" ref="F277:G340" si="59">D277^2</f>
        <v>0.15195010331968867</v>
      </c>
      <c r="G277" s="10">
        <f t="shared" si="59"/>
        <v>0.47020022750873447</v>
      </c>
      <c r="H277" s="11">
        <f t="shared" si="56"/>
        <v>0.26729566616556527</v>
      </c>
      <c r="I277" s="12">
        <f t="shared" si="57"/>
        <v>0</v>
      </c>
      <c r="J277" s="28">
        <f t="shared" si="58"/>
        <v>0</v>
      </c>
      <c r="K277" s="30">
        <f t="shared" si="49"/>
        <v>0</v>
      </c>
      <c r="L277" s="5"/>
      <c r="M277" s="30">
        <f t="shared" si="50"/>
        <v>0</v>
      </c>
      <c r="N277" s="42">
        <f t="shared" si="51"/>
        <v>0</v>
      </c>
      <c r="O277" s="43">
        <f t="shared" si="52"/>
        <v>0</v>
      </c>
      <c r="P277" s="43">
        <f t="shared" si="53"/>
        <v>-0.34013437099999999</v>
      </c>
      <c r="Q277" s="43">
        <f t="shared" si="54"/>
        <v>-0.34013437099999999</v>
      </c>
      <c r="R277" s="43">
        <f t="shared" si="55"/>
        <v>0.11569139033556564</v>
      </c>
    </row>
    <row r="278" spans="1:18" ht="15.75" customHeight="1" x14ac:dyDescent="0.3">
      <c r="A278" s="47">
        <v>38260</v>
      </c>
      <c r="B278" s="48">
        <v>0</v>
      </c>
      <c r="C278" s="49">
        <v>0</v>
      </c>
      <c r="D278" s="10">
        <f t="shared" si="47"/>
        <v>-0.38980777739764078</v>
      </c>
      <c r="E278" s="10">
        <f t="shared" si="48"/>
        <v>-0.68571147540983624</v>
      </c>
      <c r="F278" s="10">
        <f t="shared" si="59"/>
        <v>0.15195010331968867</v>
      </c>
      <c r="G278" s="10">
        <f t="shared" si="59"/>
        <v>0.47020022750873447</v>
      </c>
      <c r="H278" s="11">
        <f t="shared" si="56"/>
        <v>0.26729566616556527</v>
      </c>
      <c r="I278" s="12">
        <f t="shared" si="57"/>
        <v>0</v>
      </c>
      <c r="J278" s="28">
        <f t="shared" si="58"/>
        <v>0</v>
      </c>
      <c r="K278" s="30">
        <f t="shared" si="49"/>
        <v>0</v>
      </c>
      <c r="L278" s="5"/>
      <c r="M278" s="30">
        <f t="shared" si="50"/>
        <v>0</v>
      </c>
      <c r="N278" s="42">
        <f t="shared" si="51"/>
        <v>0</v>
      </c>
      <c r="O278" s="43">
        <f t="shared" si="52"/>
        <v>0</v>
      </c>
      <c r="P278" s="43">
        <f t="shared" si="53"/>
        <v>-0.34013437099999999</v>
      </c>
      <c r="Q278" s="43">
        <f t="shared" si="54"/>
        <v>-0.34013437099999999</v>
      </c>
      <c r="R278" s="43">
        <f t="shared" si="55"/>
        <v>0.11569139033556564</v>
      </c>
    </row>
    <row r="279" spans="1:18" ht="15.75" customHeight="1" x14ac:dyDescent="0.3">
      <c r="A279" s="47">
        <v>38261</v>
      </c>
      <c r="B279" s="48">
        <v>0</v>
      </c>
      <c r="C279" s="49">
        <v>0</v>
      </c>
      <c r="D279" s="10">
        <f t="shared" si="47"/>
        <v>-0.38980777739764078</v>
      </c>
      <c r="E279" s="10">
        <f t="shared" si="48"/>
        <v>-0.68571147540983624</v>
      </c>
      <c r="F279" s="10">
        <f t="shared" si="59"/>
        <v>0.15195010331968867</v>
      </c>
      <c r="G279" s="10">
        <f t="shared" si="59"/>
        <v>0.47020022750873447</v>
      </c>
      <c r="H279" s="11">
        <f t="shared" si="56"/>
        <v>0.26729566616556527</v>
      </c>
      <c r="I279" s="12">
        <f t="shared" si="57"/>
        <v>0</v>
      </c>
      <c r="J279" s="28">
        <f t="shared" si="58"/>
        <v>0</v>
      </c>
      <c r="K279" s="30">
        <f t="shared" si="49"/>
        <v>0</v>
      </c>
      <c r="L279" s="5"/>
      <c r="M279" s="30">
        <f t="shared" si="50"/>
        <v>0</v>
      </c>
      <c r="N279" s="42">
        <f t="shared" si="51"/>
        <v>0</v>
      </c>
      <c r="O279" s="43">
        <f t="shared" si="52"/>
        <v>0</v>
      </c>
      <c r="P279" s="43">
        <f t="shared" si="53"/>
        <v>-0.34013437099999999</v>
      </c>
      <c r="Q279" s="43">
        <f t="shared" si="54"/>
        <v>-0.34013437099999999</v>
      </c>
      <c r="R279" s="43">
        <f t="shared" si="55"/>
        <v>0.11569139033556564</v>
      </c>
    </row>
    <row r="280" spans="1:18" ht="15.75" customHeight="1" x14ac:dyDescent="0.3">
      <c r="A280" s="47">
        <v>38262</v>
      </c>
      <c r="B280" s="48">
        <v>0</v>
      </c>
      <c r="C280" s="49">
        <v>0</v>
      </c>
      <c r="D280" s="10">
        <f t="shared" si="47"/>
        <v>-0.38980777739764078</v>
      </c>
      <c r="E280" s="10">
        <f t="shared" si="48"/>
        <v>-0.68571147540983624</v>
      </c>
      <c r="F280" s="10">
        <f t="shared" si="59"/>
        <v>0.15195010331968867</v>
      </c>
      <c r="G280" s="10">
        <f t="shared" si="59"/>
        <v>0.47020022750873447</v>
      </c>
      <c r="H280" s="11">
        <f t="shared" si="56"/>
        <v>0.26729566616556527</v>
      </c>
      <c r="I280" s="12">
        <f t="shared" si="57"/>
        <v>0</v>
      </c>
      <c r="J280" s="28">
        <f t="shared" si="58"/>
        <v>0</v>
      </c>
      <c r="K280" s="30">
        <f t="shared" si="49"/>
        <v>0</v>
      </c>
      <c r="L280" s="5"/>
      <c r="M280" s="30">
        <f t="shared" si="50"/>
        <v>0</v>
      </c>
      <c r="N280" s="42">
        <f t="shared" si="51"/>
        <v>0</v>
      </c>
      <c r="O280" s="43">
        <f t="shared" si="52"/>
        <v>0</v>
      </c>
      <c r="P280" s="43">
        <f t="shared" si="53"/>
        <v>-0.34013437099999999</v>
      </c>
      <c r="Q280" s="43">
        <f t="shared" si="54"/>
        <v>-0.34013437099999999</v>
      </c>
      <c r="R280" s="43">
        <f t="shared" si="55"/>
        <v>0.11569139033556564</v>
      </c>
    </row>
    <row r="281" spans="1:18" ht="15.75" customHeight="1" x14ac:dyDescent="0.3">
      <c r="A281" s="47">
        <v>38263</v>
      </c>
      <c r="B281" s="48">
        <v>0</v>
      </c>
      <c r="C281" s="49">
        <v>0</v>
      </c>
      <c r="D281" s="10">
        <f t="shared" si="47"/>
        <v>-0.38980777739764078</v>
      </c>
      <c r="E281" s="10">
        <f t="shared" si="48"/>
        <v>-0.68571147540983624</v>
      </c>
      <c r="F281" s="10">
        <f t="shared" si="59"/>
        <v>0.15195010331968867</v>
      </c>
      <c r="G281" s="10">
        <f t="shared" si="59"/>
        <v>0.47020022750873447</v>
      </c>
      <c r="H281" s="11">
        <f t="shared" si="56"/>
        <v>0.26729566616556527</v>
      </c>
      <c r="I281" s="12">
        <f t="shared" si="57"/>
        <v>0</v>
      </c>
      <c r="J281" s="28">
        <f t="shared" si="58"/>
        <v>0</v>
      </c>
      <c r="K281" s="30">
        <f t="shared" si="49"/>
        <v>0</v>
      </c>
      <c r="L281" s="5"/>
      <c r="M281" s="30">
        <f t="shared" si="50"/>
        <v>0</v>
      </c>
      <c r="N281" s="42">
        <f t="shared" si="51"/>
        <v>0</v>
      </c>
      <c r="O281" s="43">
        <f t="shared" si="52"/>
        <v>0</v>
      </c>
      <c r="P281" s="43">
        <f t="shared" si="53"/>
        <v>-0.34013437099999999</v>
      </c>
      <c r="Q281" s="43">
        <f t="shared" si="54"/>
        <v>-0.34013437099999999</v>
      </c>
      <c r="R281" s="43">
        <f t="shared" si="55"/>
        <v>0.11569139033556564</v>
      </c>
    </row>
    <row r="282" spans="1:18" ht="15.75" customHeight="1" x14ac:dyDescent="0.3">
      <c r="A282" s="47">
        <v>38264</v>
      </c>
      <c r="B282" s="48">
        <v>0</v>
      </c>
      <c r="C282" s="49">
        <v>0</v>
      </c>
      <c r="D282" s="10">
        <f t="shared" si="47"/>
        <v>-0.38980777739764078</v>
      </c>
      <c r="E282" s="10">
        <f t="shared" si="48"/>
        <v>-0.68571147540983624</v>
      </c>
      <c r="F282" s="10">
        <f t="shared" si="59"/>
        <v>0.15195010331968867</v>
      </c>
      <c r="G282" s="10">
        <f t="shared" si="59"/>
        <v>0.47020022750873447</v>
      </c>
      <c r="H282" s="11">
        <f t="shared" si="56"/>
        <v>0.26729566616556527</v>
      </c>
      <c r="I282" s="12">
        <f t="shared" si="57"/>
        <v>0</v>
      </c>
      <c r="J282" s="28">
        <f t="shared" si="58"/>
        <v>0</v>
      </c>
      <c r="K282" s="30">
        <f t="shared" si="49"/>
        <v>0</v>
      </c>
      <c r="L282" s="5"/>
      <c r="M282" s="30">
        <f t="shared" si="50"/>
        <v>0</v>
      </c>
      <c r="N282" s="42">
        <f t="shared" si="51"/>
        <v>0</v>
      </c>
      <c r="O282" s="43">
        <f t="shared" si="52"/>
        <v>0</v>
      </c>
      <c r="P282" s="43">
        <f t="shared" si="53"/>
        <v>-0.34013437099999999</v>
      </c>
      <c r="Q282" s="43">
        <f t="shared" si="54"/>
        <v>-0.34013437099999999</v>
      </c>
      <c r="R282" s="43">
        <f t="shared" si="55"/>
        <v>0.11569139033556564</v>
      </c>
    </row>
    <row r="283" spans="1:18" ht="15.75" customHeight="1" x14ac:dyDescent="0.3">
      <c r="A283" s="47">
        <v>38265</v>
      </c>
      <c r="B283" s="48">
        <v>0</v>
      </c>
      <c r="C283" s="49">
        <v>0</v>
      </c>
      <c r="D283" s="10">
        <f t="shared" si="47"/>
        <v>-0.38980777739764078</v>
      </c>
      <c r="E283" s="10">
        <f t="shared" si="48"/>
        <v>-0.68571147540983624</v>
      </c>
      <c r="F283" s="10">
        <f t="shared" si="59"/>
        <v>0.15195010331968867</v>
      </c>
      <c r="G283" s="10">
        <f t="shared" si="59"/>
        <v>0.47020022750873447</v>
      </c>
      <c r="H283" s="11">
        <f t="shared" si="56"/>
        <v>0.26729566616556527</v>
      </c>
      <c r="I283" s="12">
        <f t="shared" si="57"/>
        <v>0</v>
      </c>
      <c r="J283" s="28">
        <f t="shared" si="58"/>
        <v>0</v>
      </c>
      <c r="K283" s="30">
        <f t="shared" si="49"/>
        <v>0</v>
      </c>
      <c r="L283" s="5"/>
      <c r="M283" s="30">
        <f t="shared" si="50"/>
        <v>0</v>
      </c>
      <c r="N283" s="42">
        <f t="shared" si="51"/>
        <v>0</v>
      </c>
      <c r="O283" s="43">
        <f t="shared" si="52"/>
        <v>0</v>
      </c>
      <c r="P283" s="43">
        <f t="shared" si="53"/>
        <v>-0.34013437099999999</v>
      </c>
      <c r="Q283" s="43">
        <f t="shared" si="54"/>
        <v>-0.34013437099999999</v>
      </c>
      <c r="R283" s="43">
        <f t="shared" si="55"/>
        <v>0.11569139033556564</v>
      </c>
    </row>
    <row r="284" spans="1:18" ht="15.75" customHeight="1" x14ac:dyDescent="0.3">
      <c r="A284" s="47">
        <v>38266</v>
      </c>
      <c r="B284" s="48">
        <v>0</v>
      </c>
      <c r="C284" s="49">
        <v>0</v>
      </c>
      <c r="D284" s="10">
        <f t="shared" si="47"/>
        <v>-0.38980777739764078</v>
      </c>
      <c r="E284" s="10">
        <f t="shared" si="48"/>
        <v>-0.68571147540983624</v>
      </c>
      <c r="F284" s="10">
        <f t="shared" si="59"/>
        <v>0.15195010331968867</v>
      </c>
      <c r="G284" s="10">
        <f t="shared" si="59"/>
        <v>0.47020022750873447</v>
      </c>
      <c r="H284" s="11">
        <f t="shared" si="56"/>
        <v>0.26729566616556527</v>
      </c>
      <c r="I284" s="12">
        <f t="shared" si="57"/>
        <v>0</v>
      </c>
      <c r="J284" s="28">
        <f t="shared" si="58"/>
        <v>0</v>
      </c>
      <c r="K284" s="30">
        <f t="shared" si="49"/>
        <v>0</v>
      </c>
      <c r="L284" s="5"/>
      <c r="M284" s="30">
        <f t="shared" si="50"/>
        <v>0</v>
      </c>
      <c r="N284" s="42">
        <f t="shared" si="51"/>
        <v>0</v>
      </c>
      <c r="O284" s="43">
        <f t="shared" si="52"/>
        <v>0</v>
      </c>
      <c r="P284" s="43">
        <f t="shared" si="53"/>
        <v>-0.34013437099999999</v>
      </c>
      <c r="Q284" s="43">
        <f t="shared" si="54"/>
        <v>-0.34013437099999999</v>
      </c>
      <c r="R284" s="43">
        <f t="shared" si="55"/>
        <v>0.11569139033556564</v>
      </c>
    </row>
    <row r="285" spans="1:18" ht="15.75" customHeight="1" x14ac:dyDescent="0.3">
      <c r="A285" s="47">
        <v>38267</v>
      </c>
      <c r="B285" s="48">
        <v>0</v>
      </c>
      <c r="C285" s="49">
        <v>0</v>
      </c>
      <c r="D285" s="10">
        <f t="shared" si="47"/>
        <v>-0.38980777739764078</v>
      </c>
      <c r="E285" s="10">
        <f t="shared" si="48"/>
        <v>-0.68571147540983624</v>
      </c>
      <c r="F285" s="10">
        <f t="shared" si="59"/>
        <v>0.15195010331968867</v>
      </c>
      <c r="G285" s="10">
        <f t="shared" si="59"/>
        <v>0.47020022750873447</v>
      </c>
      <c r="H285" s="11">
        <f t="shared" si="56"/>
        <v>0.26729566616556527</v>
      </c>
      <c r="I285" s="12">
        <f t="shared" si="57"/>
        <v>0</v>
      </c>
      <c r="J285" s="28">
        <f t="shared" si="58"/>
        <v>0</v>
      </c>
      <c r="K285" s="30">
        <f t="shared" si="49"/>
        <v>0</v>
      </c>
      <c r="L285" s="5"/>
      <c r="M285" s="30">
        <f t="shared" si="50"/>
        <v>0</v>
      </c>
      <c r="N285" s="42">
        <f t="shared" si="51"/>
        <v>0</v>
      </c>
      <c r="O285" s="43">
        <f t="shared" si="52"/>
        <v>0</v>
      </c>
      <c r="P285" s="43">
        <f t="shared" si="53"/>
        <v>-0.34013437099999999</v>
      </c>
      <c r="Q285" s="43">
        <f t="shared" si="54"/>
        <v>-0.34013437099999999</v>
      </c>
      <c r="R285" s="43">
        <f t="shared" si="55"/>
        <v>0.11569139033556564</v>
      </c>
    </row>
    <row r="286" spans="1:18" ht="15.75" customHeight="1" x14ac:dyDescent="0.3">
      <c r="A286" s="47">
        <v>38268</v>
      </c>
      <c r="B286" s="48">
        <v>0</v>
      </c>
      <c r="C286" s="49">
        <v>0</v>
      </c>
      <c r="D286" s="10">
        <f t="shared" si="47"/>
        <v>-0.38980777739764078</v>
      </c>
      <c r="E286" s="10">
        <f t="shared" si="48"/>
        <v>-0.68571147540983624</v>
      </c>
      <c r="F286" s="10">
        <f t="shared" si="59"/>
        <v>0.15195010331968867</v>
      </c>
      <c r="G286" s="10">
        <f t="shared" si="59"/>
        <v>0.47020022750873447</v>
      </c>
      <c r="H286" s="11">
        <f t="shared" si="56"/>
        <v>0.26729566616556527</v>
      </c>
      <c r="I286" s="12">
        <f t="shared" si="57"/>
        <v>0</v>
      </c>
      <c r="J286" s="28">
        <f t="shared" si="58"/>
        <v>0</v>
      </c>
      <c r="K286" s="30">
        <f t="shared" si="49"/>
        <v>0</v>
      </c>
      <c r="L286" s="5"/>
      <c r="M286" s="30">
        <f t="shared" si="50"/>
        <v>0</v>
      </c>
      <c r="N286" s="42">
        <f t="shared" si="51"/>
        <v>0</v>
      </c>
      <c r="O286" s="43">
        <f t="shared" si="52"/>
        <v>0</v>
      </c>
      <c r="P286" s="43">
        <f t="shared" si="53"/>
        <v>-0.34013437099999999</v>
      </c>
      <c r="Q286" s="43">
        <f t="shared" si="54"/>
        <v>-0.34013437099999999</v>
      </c>
      <c r="R286" s="43">
        <f t="shared" si="55"/>
        <v>0.11569139033556564</v>
      </c>
    </row>
    <row r="287" spans="1:18" ht="15.75" customHeight="1" x14ac:dyDescent="0.3">
      <c r="A287" s="47">
        <v>38269</v>
      </c>
      <c r="B287" s="48">
        <v>0</v>
      </c>
      <c r="C287" s="49">
        <v>0</v>
      </c>
      <c r="D287" s="10">
        <f t="shared" si="47"/>
        <v>-0.38980777739764078</v>
      </c>
      <c r="E287" s="10">
        <f t="shared" si="48"/>
        <v>-0.68571147540983624</v>
      </c>
      <c r="F287" s="10">
        <f t="shared" si="59"/>
        <v>0.15195010331968867</v>
      </c>
      <c r="G287" s="10">
        <f t="shared" si="59"/>
        <v>0.47020022750873447</v>
      </c>
      <c r="H287" s="11">
        <f t="shared" si="56"/>
        <v>0.26729566616556527</v>
      </c>
      <c r="I287" s="12">
        <f t="shared" si="57"/>
        <v>0</v>
      </c>
      <c r="J287" s="28">
        <f t="shared" si="58"/>
        <v>0</v>
      </c>
      <c r="K287" s="30">
        <f t="shared" si="49"/>
        <v>0</v>
      </c>
      <c r="L287" s="5"/>
      <c r="M287" s="30">
        <f t="shared" si="50"/>
        <v>0</v>
      </c>
      <c r="N287" s="42">
        <f t="shared" si="51"/>
        <v>0</v>
      </c>
      <c r="O287" s="43">
        <f t="shared" si="52"/>
        <v>0</v>
      </c>
      <c r="P287" s="43">
        <f t="shared" si="53"/>
        <v>-0.34013437099999999</v>
      </c>
      <c r="Q287" s="43">
        <f t="shared" si="54"/>
        <v>-0.34013437099999999</v>
      </c>
      <c r="R287" s="43">
        <f t="shared" si="55"/>
        <v>0.11569139033556564</v>
      </c>
    </row>
    <row r="288" spans="1:18" ht="15.75" customHeight="1" x14ac:dyDescent="0.3">
      <c r="A288" s="47">
        <v>38270</v>
      </c>
      <c r="B288" s="48">
        <v>0</v>
      </c>
      <c r="C288" s="49">
        <v>0</v>
      </c>
      <c r="D288" s="10">
        <f t="shared" si="47"/>
        <v>-0.38980777739764078</v>
      </c>
      <c r="E288" s="10">
        <f t="shared" si="48"/>
        <v>-0.68571147540983624</v>
      </c>
      <c r="F288" s="10">
        <f t="shared" si="59"/>
        <v>0.15195010331968867</v>
      </c>
      <c r="G288" s="10">
        <f t="shared" si="59"/>
        <v>0.47020022750873447</v>
      </c>
      <c r="H288" s="11">
        <f t="shared" si="56"/>
        <v>0.26729566616556527</v>
      </c>
      <c r="I288" s="12">
        <f t="shared" si="57"/>
        <v>0</v>
      </c>
      <c r="J288" s="28">
        <f t="shared" si="58"/>
        <v>0</v>
      </c>
      <c r="K288" s="30">
        <f t="shared" si="49"/>
        <v>0</v>
      </c>
      <c r="L288" s="5"/>
      <c r="M288" s="30">
        <f t="shared" si="50"/>
        <v>0</v>
      </c>
      <c r="N288" s="42">
        <f t="shared" si="51"/>
        <v>0</v>
      </c>
      <c r="O288" s="43">
        <f t="shared" si="52"/>
        <v>0</v>
      </c>
      <c r="P288" s="43">
        <f t="shared" si="53"/>
        <v>-0.34013437099999999</v>
      </c>
      <c r="Q288" s="43">
        <f t="shared" si="54"/>
        <v>-0.34013437099999999</v>
      </c>
      <c r="R288" s="43">
        <f t="shared" si="55"/>
        <v>0.11569139033556564</v>
      </c>
    </row>
    <row r="289" spans="1:18" ht="15.75" customHeight="1" x14ac:dyDescent="0.3">
      <c r="A289" s="47">
        <v>38271</v>
      </c>
      <c r="B289" s="48">
        <v>0</v>
      </c>
      <c r="C289" s="49">
        <v>0</v>
      </c>
      <c r="D289" s="10">
        <f t="shared" si="47"/>
        <v>-0.38980777739764078</v>
      </c>
      <c r="E289" s="10">
        <f t="shared" si="48"/>
        <v>-0.68571147540983624</v>
      </c>
      <c r="F289" s="10">
        <f t="shared" si="59"/>
        <v>0.15195010331968867</v>
      </c>
      <c r="G289" s="10">
        <f t="shared" si="59"/>
        <v>0.47020022750873447</v>
      </c>
      <c r="H289" s="11">
        <f t="shared" si="56"/>
        <v>0.26729566616556527</v>
      </c>
      <c r="I289" s="12">
        <f t="shared" si="57"/>
        <v>0</v>
      </c>
      <c r="J289" s="28">
        <f t="shared" si="58"/>
        <v>0</v>
      </c>
      <c r="K289" s="30">
        <f t="shared" si="49"/>
        <v>0</v>
      </c>
      <c r="L289" s="5"/>
      <c r="M289" s="30">
        <f t="shared" si="50"/>
        <v>0</v>
      </c>
      <c r="N289" s="42">
        <f t="shared" si="51"/>
        <v>0</v>
      </c>
      <c r="O289" s="43">
        <f t="shared" si="52"/>
        <v>0</v>
      </c>
      <c r="P289" s="43">
        <f t="shared" si="53"/>
        <v>-0.34013437099999999</v>
      </c>
      <c r="Q289" s="43">
        <f t="shared" si="54"/>
        <v>-0.34013437099999999</v>
      </c>
      <c r="R289" s="43">
        <f t="shared" si="55"/>
        <v>0.11569139033556564</v>
      </c>
    </row>
    <row r="290" spans="1:18" ht="15.75" customHeight="1" x14ac:dyDescent="0.3">
      <c r="A290" s="47">
        <v>38272</v>
      </c>
      <c r="B290" s="48">
        <v>0</v>
      </c>
      <c r="C290" s="49">
        <v>0</v>
      </c>
      <c r="D290" s="10">
        <f t="shared" si="47"/>
        <v>-0.38980777739764078</v>
      </c>
      <c r="E290" s="10">
        <f t="shared" si="48"/>
        <v>-0.68571147540983624</v>
      </c>
      <c r="F290" s="10">
        <f t="shared" si="59"/>
        <v>0.15195010331968867</v>
      </c>
      <c r="G290" s="10">
        <f t="shared" si="59"/>
        <v>0.47020022750873447</v>
      </c>
      <c r="H290" s="11">
        <f t="shared" si="56"/>
        <v>0.26729566616556527</v>
      </c>
      <c r="I290" s="12">
        <f t="shared" si="57"/>
        <v>0</v>
      </c>
      <c r="J290" s="28">
        <f t="shared" si="58"/>
        <v>0</v>
      </c>
      <c r="K290" s="30">
        <f t="shared" si="49"/>
        <v>0</v>
      </c>
      <c r="L290" s="5"/>
      <c r="M290" s="30">
        <f t="shared" si="50"/>
        <v>0</v>
      </c>
      <c r="N290" s="42">
        <f t="shared" si="51"/>
        <v>0</v>
      </c>
      <c r="O290" s="43">
        <f t="shared" si="52"/>
        <v>0</v>
      </c>
      <c r="P290" s="43">
        <f t="shared" si="53"/>
        <v>-0.34013437099999999</v>
      </c>
      <c r="Q290" s="43">
        <f t="shared" si="54"/>
        <v>-0.34013437099999999</v>
      </c>
      <c r="R290" s="43">
        <f t="shared" si="55"/>
        <v>0.11569139033556564</v>
      </c>
    </row>
    <row r="291" spans="1:18" ht="15.75" customHeight="1" x14ac:dyDescent="0.3">
      <c r="A291" s="47">
        <v>38273</v>
      </c>
      <c r="B291" s="48">
        <v>0</v>
      </c>
      <c r="C291" s="49">
        <v>0</v>
      </c>
      <c r="D291" s="10">
        <f t="shared" si="47"/>
        <v>-0.38980777739764078</v>
      </c>
      <c r="E291" s="10">
        <f t="shared" si="48"/>
        <v>-0.68571147540983624</v>
      </c>
      <c r="F291" s="10">
        <f t="shared" si="59"/>
        <v>0.15195010331968867</v>
      </c>
      <c r="G291" s="10">
        <f t="shared" si="59"/>
        <v>0.47020022750873447</v>
      </c>
      <c r="H291" s="11">
        <f t="shared" si="56"/>
        <v>0.26729566616556527</v>
      </c>
      <c r="I291" s="12">
        <f t="shared" si="57"/>
        <v>0</v>
      </c>
      <c r="J291" s="28">
        <f t="shared" si="58"/>
        <v>0</v>
      </c>
      <c r="K291" s="30">
        <f t="shared" si="49"/>
        <v>0</v>
      </c>
      <c r="L291" s="5"/>
      <c r="M291" s="30">
        <f t="shared" si="50"/>
        <v>0</v>
      </c>
      <c r="N291" s="42">
        <f t="shared" si="51"/>
        <v>0</v>
      </c>
      <c r="O291" s="43">
        <f t="shared" si="52"/>
        <v>0</v>
      </c>
      <c r="P291" s="43">
        <f t="shared" si="53"/>
        <v>-0.34013437099999999</v>
      </c>
      <c r="Q291" s="43">
        <f t="shared" si="54"/>
        <v>-0.34013437099999999</v>
      </c>
      <c r="R291" s="43">
        <f t="shared" si="55"/>
        <v>0.11569139033556564</v>
      </c>
    </row>
    <row r="292" spans="1:18" ht="15.75" customHeight="1" x14ac:dyDescent="0.3">
      <c r="A292" s="47">
        <v>38274</v>
      </c>
      <c r="B292" s="48">
        <v>0</v>
      </c>
      <c r="C292" s="49">
        <v>0</v>
      </c>
      <c r="D292" s="10">
        <f t="shared" si="47"/>
        <v>-0.38980777739764078</v>
      </c>
      <c r="E292" s="10">
        <f t="shared" si="48"/>
        <v>-0.68571147540983624</v>
      </c>
      <c r="F292" s="10">
        <f t="shared" si="59"/>
        <v>0.15195010331968867</v>
      </c>
      <c r="G292" s="10">
        <f t="shared" si="59"/>
        <v>0.47020022750873447</v>
      </c>
      <c r="H292" s="11">
        <f t="shared" si="56"/>
        <v>0.26729566616556527</v>
      </c>
      <c r="I292" s="12">
        <f t="shared" si="57"/>
        <v>0</v>
      </c>
      <c r="J292" s="28">
        <f t="shared" si="58"/>
        <v>0</v>
      </c>
      <c r="K292" s="30">
        <f t="shared" si="49"/>
        <v>0</v>
      </c>
      <c r="L292" s="5"/>
      <c r="M292" s="30">
        <f t="shared" si="50"/>
        <v>0</v>
      </c>
      <c r="N292" s="42">
        <f t="shared" si="51"/>
        <v>0</v>
      </c>
      <c r="O292" s="43">
        <f t="shared" si="52"/>
        <v>0</v>
      </c>
      <c r="P292" s="43">
        <f t="shared" si="53"/>
        <v>-0.34013437099999999</v>
      </c>
      <c r="Q292" s="43">
        <f t="shared" si="54"/>
        <v>-0.34013437099999999</v>
      </c>
      <c r="R292" s="43">
        <f t="shared" si="55"/>
        <v>0.11569139033556564</v>
      </c>
    </row>
    <row r="293" spans="1:18" ht="15.75" customHeight="1" x14ac:dyDescent="0.3">
      <c r="A293" s="47">
        <v>38275</v>
      </c>
      <c r="B293" s="48">
        <v>0</v>
      </c>
      <c r="C293" s="49">
        <v>0</v>
      </c>
      <c r="D293" s="10">
        <f t="shared" si="47"/>
        <v>-0.38980777739764078</v>
      </c>
      <c r="E293" s="10">
        <f t="shared" si="48"/>
        <v>-0.68571147540983624</v>
      </c>
      <c r="F293" s="10">
        <f t="shared" si="59"/>
        <v>0.15195010331968867</v>
      </c>
      <c r="G293" s="10">
        <f t="shared" si="59"/>
        <v>0.47020022750873447</v>
      </c>
      <c r="H293" s="11">
        <f t="shared" si="56"/>
        <v>0.26729566616556527</v>
      </c>
      <c r="I293" s="12">
        <f t="shared" si="57"/>
        <v>0</v>
      </c>
      <c r="J293" s="28">
        <f t="shared" si="58"/>
        <v>0</v>
      </c>
      <c r="K293" s="30">
        <f t="shared" si="49"/>
        <v>0</v>
      </c>
      <c r="L293" s="5"/>
      <c r="M293" s="30">
        <f t="shared" si="50"/>
        <v>0</v>
      </c>
      <c r="N293" s="42">
        <f t="shared" si="51"/>
        <v>0</v>
      </c>
      <c r="O293" s="43">
        <f t="shared" si="52"/>
        <v>0</v>
      </c>
      <c r="P293" s="43">
        <f t="shared" si="53"/>
        <v>-0.34013437099999999</v>
      </c>
      <c r="Q293" s="43">
        <f t="shared" si="54"/>
        <v>-0.34013437099999999</v>
      </c>
      <c r="R293" s="43">
        <f t="shared" si="55"/>
        <v>0.11569139033556564</v>
      </c>
    </row>
    <row r="294" spans="1:18" ht="15.75" customHeight="1" x14ac:dyDescent="0.3">
      <c r="A294" s="47">
        <v>38276</v>
      </c>
      <c r="B294" s="48">
        <v>0</v>
      </c>
      <c r="C294" s="49">
        <v>0</v>
      </c>
      <c r="D294" s="10">
        <f t="shared" si="47"/>
        <v>-0.38980777739764078</v>
      </c>
      <c r="E294" s="10">
        <f t="shared" si="48"/>
        <v>-0.68571147540983624</v>
      </c>
      <c r="F294" s="10">
        <f t="shared" si="59"/>
        <v>0.15195010331968867</v>
      </c>
      <c r="G294" s="10">
        <f t="shared" si="59"/>
        <v>0.47020022750873447</v>
      </c>
      <c r="H294" s="11">
        <f t="shared" si="56"/>
        <v>0.26729566616556527</v>
      </c>
      <c r="I294" s="12">
        <f t="shared" si="57"/>
        <v>0</v>
      </c>
      <c r="J294" s="28">
        <f t="shared" si="58"/>
        <v>0</v>
      </c>
      <c r="K294" s="30">
        <f t="shared" si="49"/>
        <v>0</v>
      </c>
      <c r="L294" s="5"/>
      <c r="M294" s="30">
        <f t="shared" si="50"/>
        <v>0</v>
      </c>
      <c r="N294" s="42">
        <f t="shared" si="51"/>
        <v>0</v>
      </c>
      <c r="O294" s="43">
        <f t="shared" si="52"/>
        <v>0</v>
      </c>
      <c r="P294" s="43">
        <f t="shared" si="53"/>
        <v>-0.34013437099999999</v>
      </c>
      <c r="Q294" s="43">
        <f t="shared" si="54"/>
        <v>-0.34013437099999999</v>
      </c>
      <c r="R294" s="43">
        <f t="shared" si="55"/>
        <v>0.11569139033556564</v>
      </c>
    </row>
    <row r="295" spans="1:18" ht="15.75" customHeight="1" x14ac:dyDescent="0.3">
      <c r="A295" s="47">
        <v>38277</v>
      </c>
      <c r="B295" s="48">
        <v>0</v>
      </c>
      <c r="C295" s="49">
        <v>0</v>
      </c>
      <c r="D295" s="10">
        <f t="shared" si="47"/>
        <v>-0.38980777739764078</v>
      </c>
      <c r="E295" s="10">
        <f t="shared" si="48"/>
        <v>-0.68571147540983624</v>
      </c>
      <c r="F295" s="10">
        <f t="shared" si="59"/>
        <v>0.15195010331968867</v>
      </c>
      <c r="G295" s="10">
        <f t="shared" si="59"/>
        <v>0.47020022750873447</v>
      </c>
      <c r="H295" s="11">
        <f t="shared" si="56"/>
        <v>0.26729566616556527</v>
      </c>
      <c r="I295" s="12">
        <f t="shared" si="57"/>
        <v>0</v>
      </c>
      <c r="J295" s="28">
        <f t="shared" si="58"/>
        <v>0</v>
      </c>
      <c r="K295" s="30">
        <f t="shared" si="49"/>
        <v>0</v>
      </c>
      <c r="L295" s="5"/>
      <c r="M295" s="30">
        <f t="shared" si="50"/>
        <v>0</v>
      </c>
      <c r="N295" s="42">
        <f t="shared" si="51"/>
        <v>0</v>
      </c>
      <c r="O295" s="43">
        <f t="shared" si="52"/>
        <v>0</v>
      </c>
      <c r="P295" s="43">
        <f t="shared" si="53"/>
        <v>-0.34013437099999999</v>
      </c>
      <c r="Q295" s="43">
        <f t="shared" si="54"/>
        <v>-0.34013437099999999</v>
      </c>
      <c r="R295" s="43">
        <f t="shared" si="55"/>
        <v>0.11569139033556564</v>
      </c>
    </row>
    <row r="296" spans="1:18" ht="15.75" customHeight="1" x14ac:dyDescent="0.3">
      <c r="A296" s="47">
        <v>38278</v>
      </c>
      <c r="B296" s="48">
        <v>0</v>
      </c>
      <c r="C296" s="49">
        <v>0</v>
      </c>
      <c r="D296" s="10">
        <f t="shared" si="47"/>
        <v>-0.38980777739764078</v>
      </c>
      <c r="E296" s="10">
        <f t="shared" si="48"/>
        <v>-0.68571147540983624</v>
      </c>
      <c r="F296" s="10">
        <f t="shared" si="59"/>
        <v>0.15195010331968867</v>
      </c>
      <c r="G296" s="10">
        <f t="shared" si="59"/>
        <v>0.47020022750873447</v>
      </c>
      <c r="H296" s="11">
        <f t="shared" si="56"/>
        <v>0.26729566616556527</v>
      </c>
      <c r="I296" s="12">
        <f t="shared" si="57"/>
        <v>0</v>
      </c>
      <c r="J296" s="28">
        <f t="shared" si="58"/>
        <v>0</v>
      </c>
      <c r="K296" s="30">
        <f t="shared" si="49"/>
        <v>0</v>
      </c>
      <c r="L296" s="5"/>
      <c r="M296" s="30">
        <f t="shared" si="50"/>
        <v>0</v>
      </c>
      <c r="N296" s="42">
        <f t="shared" si="51"/>
        <v>0</v>
      </c>
      <c r="O296" s="43">
        <f t="shared" si="52"/>
        <v>0</v>
      </c>
      <c r="P296" s="43">
        <f t="shared" si="53"/>
        <v>-0.34013437099999999</v>
      </c>
      <c r="Q296" s="43">
        <f t="shared" si="54"/>
        <v>-0.34013437099999999</v>
      </c>
      <c r="R296" s="43">
        <f t="shared" si="55"/>
        <v>0.11569139033556564</v>
      </c>
    </row>
    <row r="297" spans="1:18" ht="15.75" customHeight="1" x14ac:dyDescent="0.3">
      <c r="A297" s="47">
        <v>38279</v>
      </c>
      <c r="B297" s="48">
        <v>0</v>
      </c>
      <c r="C297" s="49">
        <v>0</v>
      </c>
      <c r="D297" s="10">
        <f t="shared" si="47"/>
        <v>-0.38980777739764078</v>
      </c>
      <c r="E297" s="10">
        <f t="shared" si="48"/>
        <v>-0.68571147540983624</v>
      </c>
      <c r="F297" s="10">
        <f t="shared" si="59"/>
        <v>0.15195010331968867</v>
      </c>
      <c r="G297" s="10">
        <f t="shared" si="59"/>
        <v>0.47020022750873447</v>
      </c>
      <c r="H297" s="11">
        <f t="shared" si="56"/>
        <v>0.26729566616556527</v>
      </c>
      <c r="I297" s="12">
        <f t="shared" si="57"/>
        <v>0</v>
      </c>
      <c r="J297" s="28">
        <f t="shared" si="58"/>
        <v>0</v>
      </c>
      <c r="K297" s="30">
        <f t="shared" si="49"/>
        <v>0</v>
      </c>
      <c r="L297" s="5"/>
      <c r="M297" s="30">
        <f t="shared" si="50"/>
        <v>0</v>
      </c>
      <c r="N297" s="42">
        <f t="shared" si="51"/>
        <v>0</v>
      </c>
      <c r="O297" s="43">
        <f t="shared" si="52"/>
        <v>0</v>
      </c>
      <c r="P297" s="43">
        <f t="shared" si="53"/>
        <v>-0.34013437099999999</v>
      </c>
      <c r="Q297" s="43">
        <f t="shared" si="54"/>
        <v>-0.34013437099999999</v>
      </c>
      <c r="R297" s="43">
        <f t="shared" si="55"/>
        <v>0.11569139033556564</v>
      </c>
    </row>
    <row r="298" spans="1:18" ht="15.75" customHeight="1" x14ac:dyDescent="0.3">
      <c r="A298" s="47">
        <v>38280</v>
      </c>
      <c r="B298" s="48">
        <v>0</v>
      </c>
      <c r="C298" s="49">
        <v>0</v>
      </c>
      <c r="D298" s="10">
        <f t="shared" si="47"/>
        <v>-0.38980777739764078</v>
      </c>
      <c r="E298" s="10">
        <f t="shared" si="48"/>
        <v>-0.68571147540983624</v>
      </c>
      <c r="F298" s="10">
        <f t="shared" si="59"/>
        <v>0.15195010331968867</v>
      </c>
      <c r="G298" s="10">
        <f t="shared" si="59"/>
        <v>0.47020022750873447</v>
      </c>
      <c r="H298" s="11">
        <f t="shared" si="56"/>
        <v>0.26729566616556527</v>
      </c>
      <c r="I298" s="12">
        <f t="shared" si="57"/>
        <v>0</v>
      </c>
      <c r="J298" s="28">
        <f t="shared" si="58"/>
        <v>0</v>
      </c>
      <c r="K298" s="30">
        <f t="shared" si="49"/>
        <v>0</v>
      </c>
      <c r="L298" s="5"/>
      <c r="M298" s="30">
        <f t="shared" si="50"/>
        <v>0</v>
      </c>
      <c r="N298" s="42">
        <f t="shared" si="51"/>
        <v>0</v>
      </c>
      <c r="O298" s="43">
        <f t="shared" si="52"/>
        <v>0</v>
      </c>
      <c r="P298" s="43">
        <f t="shared" si="53"/>
        <v>-0.34013437099999999</v>
      </c>
      <c r="Q298" s="43">
        <f t="shared" si="54"/>
        <v>-0.34013437099999999</v>
      </c>
      <c r="R298" s="43">
        <f t="shared" si="55"/>
        <v>0.11569139033556564</v>
      </c>
    </row>
    <row r="299" spans="1:18" ht="15.75" customHeight="1" x14ac:dyDescent="0.3">
      <c r="A299" s="47">
        <v>38281</v>
      </c>
      <c r="B299" s="48">
        <v>0</v>
      </c>
      <c r="C299" s="49">
        <v>0</v>
      </c>
      <c r="D299" s="10">
        <f t="shared" si="47"/>
        <v>-0.38980777739764078</v>
      </c>
      <c r="E299" s="10">
        <f t="shared" si="48"/>
        <v>-0.68571147540983624</v>
      </c>
      <c r="F299" s="10">
        <f t="shared" si="59"/>
        <v>0.15195010331968867</v>
      </c>
      <c r="G299" s="10">
        <f t="shared" si="59"/>
        <v>0.47020022750873447</v>
      </c>
      <c r="H299" s="11">
        <f t="shared" si="56"/>
        <v>0.26729566616556527</v>
      </c>
      <c r="I299" s="12">
        <f t="shared" si="57"/>
        <v>0</v>
      </c>
      <c r="J299" s="28">
        <f t="shared" si="58"/>
        <v>0</v>
      </c>
      <c r="K299" s="30">
        <f t="shared" si="49"/>
        <v>0</v>
      </c>
      <c r="L299" s="5"/>
      <c r="M299" s="30">
        <f t="shared" si="50"/>
        <v>0</v>
      </c>
      <c r="N299" s="42">
        <f t="shared" si="51"/>
        <v>0</v>
      </c>
      <c r="O299" s="43">
        <f t="shared" si="52"/>
        <v>0</v>
      </c>
      <c r="P299" s="43">
        <f t="shared" si="53"/>
        <v>-0.34013437099999999</v>
      </c>
      <c r="Q299" s="43">
        <f t="shared" si="54"/>
        <v>-0.34013437099999999</v>
      </c>
      <c r="R299" s="43">
        <f t="shared" si="55"/>
        <v>0.11569139033556564</v>
      </c>
    </row>
    <row r="300" spans="1:18" ht="15.75" customHeight="1" x14ac:dyDescent="0.3">
      <c r="A300" s="47">
        <v>38282</v>
      </c>
      <c r="B300" s="48">
        <v>0</v>
      </c>
      <c r="C300" s="49">
        <v>0</v>
      </c>
      <c r="D300" s="10">
        <f t="shared" si="47"/>
        <v>-0.38980777739764078</v>
      </c>
      <c r="E300" s="10">
        <f t="shared" si="48"/>
        <v>-0.68571147540983624</v>
      </c>
      <c r="F300" s="10">
        <f t="shared" si="59"/>
        <v>0.15195010331968867</v>
      </c>
      <c r="G300" s="10">
        <f t="shared" si="59"/>
        <v>0.47020022750873447</v>
      </c>
      <c r="H300" s="11">
        <f t="shared" si="56"/>
        <v>0.26729566616556527</v>
      </c>
      <c r="I300" s="12">
        <f t="shared" si="57"/>
        <v>0</v>
      </c>
      <c r="J300" s="28">
        <f t="shared" si="58"/>
        <v>0</v>
      </c>
      <c r="K300" s="30">
        <f t="shared" si="49"/>
        <v>0</v>
      </c>
      <c r="L300" s="5"/>
      <c r="M300" s="30">
        <f t="shared" si="50"/>
        <v>0</v>
      </c>
      <c r="N300" s="42">
        <f t="shared" si="51"/>
        <v>0</v>
      </c>
      <c r="O300" s="43">
        <f t="shared" si="52"/>
        <v>0</v>
      </c>
      <c r="P300" s="43">
        <f t="shared" si="53"/>
        <v>-0.34013437099999999</v>
      </c>
      <c r="Q300" s="43">
        <f t="shared" si="54"/>
        <v>-0.34013437099999999</v>
      </c>
      <c r="R300" s="43">
        <f t="shared" si="55"/>
        <v>0.11569139033556564</v>
      </c>
    </row>
    <row r="301" spans="1:18" ht="15.75" customHeight="1" x14ac:dyDescent="0.3">
      <c r="A301" s="47">
        <v>38283</v>
      </c>
      <c r="B301" s="48">
        <v>0</v>
      </c>
      <c r="C301" s="49">
        <v>0</v>
      </c>
      <c r="D301" s="10">
        <f t="shared" si="47"/>
        <v>-0.38980777739764078</v>
      </c>
      <c r="E301" s="10">
        <f t="shared" si="48"/>
        <v>-0.68571147540983624</v>
      </c>
      <c r="F301" s="10">
        <f t="shared" si="59"/>
        <v>0.15195010331968867</v>
      </c>
      <c r="G301" s="10">
        <f t="shared" si="59"/>
        <v>0.47020022750873447</v>
      </c>
      <c r="H301" s="11">
        <f t="shared" si="56"/>
        <v>0.26729566616556527</v>
      </c>
      <c r="I301" s="12">
        <f t="shared" si="57"/>
        <v>0</v>
      </c>
      <c r="J301" s="28">
        <f t="shared" si="58"/>
        <v>0</v>
      </c>
      <c r="K301" s="30">
        <f t="shared" si="49"/>
        <v>0</v>
      </c>
      <c r="L301" s="5"/>
      <c r="M301" s="30">
        <f t="shared" si="50"/>
        <v>0</v>
      </c>
      <c r="N301" s="42">
        <f t="shared" si="51"/>
        <v>0</v>
      </c>
      <c r="O301" s="43">
        <f t="shared" si="52"/>
        <v>0</v>
      </c>
      <c r="P301" s="43">
        <f t="shared" si="53"/>
        <v>-0.34013437099999999</v>
      </c>
      <c r="Q301" s="43">
        <f t="shared" si="54"/>
        <v>-0.34013437099999999</v>
      </c>
      <c r="R301" s="43">
        <f t="shared" si="55"/>
        <v>0.11569139033556564</v>
      </c>
    </row>
    <row r="302" spans="1:18" ht="15.75" customHeight="1" x14ac:dyDescent="0.3">
      <c r="A302" s="47">
        <v>38284</v>
      </c>
      <c r="B302" s="48">
        <v>0</v>
      </c>
      <c r="C302" s="49">
        <v>0</v>
      </c>
      <c r="D302" s="10">
        <f t="shared" si="47"/>
        <v>-0.38980777739764078</v>
      </c>
      <c r="E302" s="10">
        <f t="shared" si="48"/>
        <v>-0.68571147540983624</v>
      </c>
      <c r="F302" s="10">
        <f t="shared" si="59"/>
        <v>0.15195010331968867</v>
      </c>
      <c r="G302" s="10">
        <f t="shared" si="59"/>
        <v>0.47020022750873447</v>
      </c>
      <c r="H302" s="11">
        <f t="shared" si="56"/>
        <v>0.26729566616556527</v>
      </c>
      <c r="I302" s="12">
        <f t="shared" si="57"/>
        <v>0</v>
      </c>
      <c r="J302" s="28">
        <f t="shared" si="58"/>
        <v>0</v>
      </c>
      <c r="K302" s="30">
        <f t="shared" si="49"/>
        <v>0</v>
      </c>
      <c r="L302" s="5"/>
      <c r="M302" s="30">
        <f t="shared" si="50"/>
        <v>0</v>
      </c>
      <c r="N302" s="42">
        <f t="shared" si="51"/>
        <v>0</v>
      </c>
      <c r="O302" s="43">
        <f t="shared" si="52"/>
        <v>0</v>
      </c>
      <c r="P302" s="43">
        <f t="shared" si="53"/>
        <v>-0.34013437099999999</v>
      </c>
      <c r="Q302" s="43">
        <f t="shared" si="54"/>
        <v>-0.34013437099999999</v>
      </c>
      <c r="R302" s="43">
        <f t="shared" si="55"/>
        <v>0.11569139033556564</v>
      </c>
    </row>
    <row r="303" spans="1:18" ht="15.75" customHeight="1" x14ac:dyDescent="0.3">
      <c r="A303" s="47">
        <v>38285</v>
      </c>
      <c r="B303" s="48">
        <v>0</v>
      </c>
      <c r="C303" s="49">
        <v>0</v>
      </c>
      <c r="D303" s="10">
        <f t="shared" si="47"/>
        <v>-0.38980777739764078</v>
      </c>
      <c r="E303" s="10">
        <f t="shared" si="48"/>
        <v>-0.68571147540983624</v>
      </c>
      <c r="F303" s="10">
        <f t="shared" si="59"/>
        <v>0.15195010331968867</v>
      </c>
      <c r="G303" s="10">
        <f t="shared" si="59"/>
        <v>0.47020022750873447</v>
      </c>
      <c r="H303" s="11">
        <f t="shared" si="56"/>
        <v>0.26729566616556527</v>
      </c>
      <c r="I303" s="12">
        <f t="shared" si="57"/>
        <v>0</v>
      </c>
      <c r="J303" s="28">
        <f t="shared" si="58"/>
        <v>0</v>
      </c>
      <c r="K303" s="30">
        <f t="shared" si="49"/>
        <v>0</v>
      </c>
      <c r="L303" s="5"/>
      <c r="M303" s="30">
        <f t="shared" si="50"/>
        <v>0</v>
      </c>
      <c r="N303" s="42">
        <f t="shared" si="51"/>
        <v>0</v>
      </c>
      <c r="O303" s="43">
        <f t="shared" si="52"/>
        <v>0</v>
      </c>
      <c r="P303" s="43">
        <f t="shared" si="53"/>
        <v>-0.34013437099999999</v>
      </c>
      <c r="Q303" s="43">
        <f t="shared" si="54"/>
        <v>-0.34013437099999999</v>
      </c>
      <c r="R303" s="43">
        <f t="shared" si="55"/>
        <v>0.11569139033556564</v>
      </c>
    </row>
    <row r="304" spans="1:18" ht="15.75" customHeight="1" x14ac:dyDescent="0.3">
      <c r="A304" s="47">
        <v>38286</v>
      </c>
      <c r="B304" s="48">
        <v>0</v>
      </c>
      <c r="C304" s="49">
        <v>0</v>
      </c>
      <c r="D304" s="10">
        <f t="shared" si="47"/>
        <v>-0.38980777739764078</v>
      </c>
      <c r="E304" s="10">
        <f t="shared" si="48"/>
        <v>-0.68571147540983624</v>
      </c>
      <c r="F304" s="10">
        <f t="shared" si="59"/>
        <v>0.15195010331968867</v>
      </c>
      <c r="G304" s="10">
        <f t="shared" si="59"/>
        <v>0.47020022750873447</v>
      </c>
      <c r="H304" s="11">
        <f t="shared" si="56"/>
        <v>0.26729566616556527</v>
      </c>
      <c r="I304" s="12">
        <f t="shared" si="57"/>
        <v>0</v>
      </c>
      <c r="J304" s="28">
        <f t="shared" si="58"/>
        <v>0</v>
      </c>
      <c r="K304" s="30">
        <f t="shared" si="49"/>
        <v>0</v>
      </c>
      <c r="L304" s="5"/>
      <c r="M304" s="30">
        <f t="shared" si="50"/>
        <v>0</v>
      </c>
      <c r="N304" s="42">
        <f t="shared" si="51"/>
        <v>0</v>
      </c>
      <c r="O304" s="43">
        <f t="shared" si="52"/>
        <v>0</v>
      </c>
      <c r="P304" s="43">
        <f t="shared" si="53"/>
        <v>-0.34013437099999999</v>
      </c>
      <c r="Q304" s="43">
        <f t="shared" si="54"/>
        <v>-0.34013437099999999</v>
      </c>
      <c r="R304" s="43">
        <f t="shared" si="55"/>
        <v>0.11569139033556564</v>
      </c>
    </row>
    <row r="305" spans="1:18" ht="15.75" customHeight="1" x14ac:dyDescent="0.3">
      <c r="A305" s="47">
        <v>38287</v>
      </c>
      <c r="B305" s="48">
        <v>0</v>
      </c>
      <c r="C305" s="49">
        <v>0</v>
      </c>
      <c r="D305" s="10">
        <f t="shared" si="47"/>
        <v>-0.38980777739764078</v>
      </c>
      <c r="E305" s="10">
        <f t="shared" si="48"/>
        <v>-0.68571147540983624</v>
      </c>
      <c r="F305" s="10">
        <f t="shared" si="59"/>
        <v>0.15195010331968867</v>
      </c>
      <c r="G305" s="10">
        <f t="shared" si="59"/>
        <v>0.47020022750873447</v>
      </c>
      <c r="H305" s="11">
        <f t="shared" si="56"/>
        <v>0.26729566616556527</v>
      </c>
      <c r="I305" s="12">
        <f t="shared" si="57"/>
        <v>0</v>
      </c>
      <c r="J305" s="28">
        <f t="shared" si="58"/>
        <v>0</v>
      </c>
      <c r="K305" s="30">
        <f t="shared" si="49"/>
        <v>0</v>
      </c>
      <c r="L305" s="5"/>
      <c r="M305" s="30">
        <f t="shared" si="50"/>
        <v>0</v>
      </c>
      <c r="N305" s="42">
        <f t="shared" si="51"/>
        <v>0</v>
      </c>
      <c r="O305" s="43">
        <f t="shared" si="52"/>
        <v>0</v>
      </c>
      <c r="P305" s="43">
        <f t="shared" si="53"/>
        <v>-0.34013437099999999</v>
      </c>
      <c r="Q305" s="43">
        <f t="shared" si="54"/>
        <v>-0.34013437099999999</v>
      </c>
      <c r="R305" s="43">
        <f t="shared" si="55"/>
        <v>0.11569139033556564</v>
      </c>
    </row>
    <row r="306" spans="1:18" ht="15.75" customHeight="1" x14ac:dyDescent="0.3">
      <c r="A306" s="47">
        <v>38288</v>
      </c>
      <c r="B306" s="48">
        <v>0</v>
      </c>
      <c r="C306" s="49">
        <v>0</v>
      </c>
      <c r="D306" s="10">
        <f t="shared" si="47"/>
        <v>-0.38980777739764078</v>
      </c>
      <c r="E306" s="10">
        <f t="shared" si="48"/>
        <v>-0.68571147540983624</v>
      </c>
      <c r="F306" s="10">
        <f t="shared" si="59"/>
        <v>0.15195010331968867</v>
      </c>
      <c r="G306" s="10">
        <f t="shared" si="59"/>
        <v>0.47020022750873447</v>
      </c>
      <c r="H306" s="11">
        <f t="shared" si="56"/>
        <v>0.26729566616556527</v>
      </c>
      <c r="I306" s="12">
        <f t="shared" si="57"/>
        <v>0</v>
      </c>
      <c r="J306" s="28">
        <f t="shared" si="58"/>
        <v>0</v>
      </c>
      <c r="K306" s="30">
        <f t="shared" si="49"/>
        <v>0</v>
      </c>
      <c r="L306" s="5"/>
      <c r="M306" s="30">
        <f t="shared" si="50"/>
        <v>0</v>
      </c>
      <c r="N306" s="42">
        <f t="shared" si="51"/>
        <v>0</v>
      </c>
      <c r="O306" s="43">
        <f t="shared" si="52"/>
        <v>0</v>
      </c>
      <c r="P306" s="43">
        <f t="shared" si="53"/>
        <v>-0.34013437099999999</v>
      </c>
      <c r="Q306" s="43">
        <f t="shared" si="54"/>
        <v>-0.34013437099999999</v>
      </c>
      <c r="R306" s="43">
        <f t="shared" si="55"/>
        <v>0.11569139033556564</v>
      </c>
    </row>
    <row r="307" spans="1:18" ht="15.75" customHeight="1" x14ac:dyDescent="0.3">
      <c r="A307" s="47">
        <v>38289</v>
      </c>
      <c r="B307" s="48">
        <v>0</v>
      </c>
      <c r="C307" s="49">
        <v>0</v>
      </c>
      <c r="D307" s="10">
        <f t="shared" si="47"/>
        <v>-0.38980777739764078</v>
      </c>
      <c r="E307" s="10">
        <f t="shared" si="48"/>
        <v>-0.68571147540983624</v>
      </c>
      <c r="F307" s="10">
        <f t="shared" si="59"/>
        <v>0.15195010331968867</v>
      </c>
      <c r="G307" s="10">
        <f t="shared" si="59"/>
        <v>0.47020022750873447</v>
      </c>
      <c r="H307" s="11">
        <f t="shared" si="56"/>
        <v>0.26729566616556527</v>
      </c>
      <c r="I307" s="12">
        <f t="shared" si="57"/>
        <v>0</v>
      </c>
      <c r="J307" s="28">
        <f t="shared" si="58"/>
        <v>0</v>
      </c>
      <c r="K307" s="30">
        <f t="shared" si="49"/>
        <v>0</v>
      </c>
      <c r="L307" s="5"/>
      <c r="M307" s="30">
        <f t="shared" si="50"/>
        <v>0</v>
      </c>
      <c r="N307" s="42">
        <f t="shared" si="51"/>
        <v>0</v>
      </c>
      <c r="O307" s="43">
        <f t="shared" si="52"/>
        <v>0</v>
      </c>
      <c r="P307" s="43">
        <f t="shared" si="53"/>
        <v>-0.34013437099999999</v>
      </c>
      <c r="Q307" s="43">
        <f t="shared" si="54"/>
        <v>-0.34013437099999999</v>
      </c>
      <c r="R307" s="43">
        <f t="shared" si="55"/>
        <v>0.11569139033556564</v>
      </c>
    </row>
    <row r="308" spans="1:18" ht="15.75" customHeight="1" x14ac:dyDescent="0.3">
      <c r="A308" s="47">
        <v>38290</v>
      </c>
      <c r="B308" s="48">
        <v>0</v>
      </c>
      <c r="C308" s="49">
        <v>2.6766000000000001</v>
      </c>
      <c r="D308" s="10">
        <f t="shared" si="47"/>
        <v>-0.38980777739764078</v>
      </c>
      <c r="E308" s="10">
        <f t="shared" si="48"/>
        <v>1.9908885245901637</v>
      </c>
      <c r="F308" s="10">
        <f t="shared" si="59"/>
        <v>0.15195010331968867</v>
      </c>
      <c r="G308" s="10">
        <f t="shared" si="59"/>
        <v>3.9636371173447991</v>
      </c>
      <c r="H308" s="11">
        <f t="shared" si="56"/>
        <v>-0.77606383081696007</v>
      </c>
      <c r="I308" s="12">
        <f t="shared" si="57"/>
        <v>2.6766000000000001</v>
      </c>
      <c r="J308" s="28">
        <f t="shared" si="58"/>
        <v>7.1641875600000002</v>
      </c>
      <c r="K308" s="30">
        <f t="shared" si="49"/>
        <v>2.6766000000000001</v>
      </c>
      <c r="L308" s="5"/>
      <c r="M308" s="30">
        <f t="shared" si="50"/>
        <v>-2.6766000000000001</v>
      </c>
      <c r="N308" s="42">
        <f t="shared" si="51"/>
        <v>-2.6766000000000001</v>
      </c>
      <c r="O308" s="43">
        <f t="shared" si="52"/>
        <v>7.1641875600000002</v>
      </c>
      <c r="P308" s="43">
        <f t="shared" si="53"/>
        <v>-0.34013437099999999</v>
      </c>
      <c r="Q308" s="43">
        <f t="shared" si="54"/>
        <v>-0.34013437099999999</v>
      </c>
      <c r="R308" s="43">
        <f t="shared" si="55"/>
        <v>0.11569139033556564</v>
      </c>
    </row>
    <row r="309" spans="1:18" ht="15.75" customHeight="1" x14ac:dyDescent="0.3">
      <c r="A309" s="47">
        <v>38291</v>
      </c>
      <c r="B309" s="48">
        <v>0</v>
      </c>
      <c r="C309" s="49">
        <v>2.6766000000000001</v>
      </c>
      <c r="D309" s="10">
        <f t="shared" si="47"/>
        <v>-0.38980777739764078</v>
      </c>
      <c r="E309" s="10">
        <f t="shared" si="48"/>
        <v>1.9908885245901637</v>
      </c>
      <c r="F309" s="10">
        <f t="shared" si="59"/>
        <v>0.15195010331968867</v>
      </c>
      <c r="G309" s="10">
        <f t="shared" si="59"/>
        <v>3.9636371173447991</v>
      </c>
      <c r="H309" s="11">
        <f t="shared" si="56"/>
        <v>-0.77606383081696007</v>
      </c>
      <c r="I309" s="12">
        <f t="shared" si="57"/>
        <v>2.6766000000000001</v>
      </c>
      <c r="J309" s="28">
        <f t="shared" si="58"/>
        <v>7.1641875600000002</v>
      </c>
      <c r="K309" s="30">
        <f t="shared" si="49"/>
        <v>2.6766000000000001</v>
      </c>
      <c r="L309" s="5"/>
      <c r="M309" s="30">
        <f t="shared" si="50"/>
        <v>-2.6766000000000001</v>
      </c>
      <c r="N309" s="42">
        <f t="shared" si="51"/>
        <v>-2.6766000000000001</v>
      </c>
      <c r="O309" s="43">
        <f t="shared" si="52"/>
        <v>7.1641875600000002</v>
      </c>
      <c r="P309" s="43">
        <f t="shared" si="53"/>
        <v>-0.34013437099999999</v>
      </c>
      <c r="Q309" s="43">
        <f t="shared" si="54"/>
        <v>-0.34013437099999999</v>
      </c>
      <c r="R309" s="43">
        <f t="shared" si="55"/>
        <v>0.11569139033556564</v>
      </c>
    </row>
    <row r="310" spans="1:18" ht="15.75" customHeight="1" x14ac:dyDescent="0.3">
      <c r="A310" s="47">
        <v>38292</v>
      </c>
      <c r="B310" s="48">
        <v>0</v>
      </c>
      <c r="C310" s="49">
        <v>0</v>
      </c>
      <c r="D310" s="10">
        <f t="shared" si="47"/>
        <v>-0.38980777739764078</v>
      </c>
      <c r="E310" s="10">
        <f t="shared" si="48"/>
        <v>-0.68571147540983624</v>
      </c>
      <c r="F310" s="10">
        <f t="shared" si="59"/>
        <v>0.15195010331968867</v>
      </c>
      <c r="G310" s="10">
        <f t="shared" si="59"/>
        <v>0.47020022750873447</v>
      </c>
      <c r="H310" s="11">
        <f t="shared" si="56"/>
        <v>0.26729566616556527</v>
      </c>
      <c r="I310" s="12">
        <f t="shared" si="57"/>
        <v>0</v>
      </c>
      <c r="J310" s="28">
        <f t="shared" si="58"/>
        <v>0</v>
      </c>
      <c r="K310" s="30">
        <f t="shared" si="49"/>
        <v>0</v>
      </c>
      <c r="L310" s="5"/>
      <c r="M310" s="30">
        <f t="shared" si="50"/>
        <v>0</v>
      </c>
      <c r="N310" s="42">
        <f t="shared" si="51"/>
        <v>0</v>
      </c>
      <c r="O310" s="43">
        <f t="shared" si="52"/>
        <v>0</v>
      </c>
      <c r="P310" s="43">
        <f t="shared" si="53"/>
        <v>-0.34013437099999999</v>
      </c>
      <c r="Q310" s="43">
        <f t="shared" si="54"/>
        <v>-0.34013437099999999</v>
      </c>
      <c r="R310" s="43">
        <f t="shared" si="55"/>
        <v>0.11569139033556564</v>
      </c>
    </row>
    <row r="311" spans="1:18" ht="15.75" customHeight="1" x14ac:dyDescent="0.3">
      <c r="A311" s="47">
        <v>38293</v>
      </c>
      <c r="B311" s="48">
        <v>0</v>
      </c>
      <c r="C311" s="49">
        <v>0</v>
      </c>
      <c r="D311" s="10">
        <f t="shared" si="47"/>
        <v>-0.38980777739764078</v>
      </c>
      <c r="E311" s="10">
        <f t="shared" si="48"/>
        <v>-0.68571147540983624</v>
      </c>
      <c r="F311" s="10">
        <f t="shared" si="59"/>
        <v>0.15195010331968867</v>
      </c>
      <c r="G311" s="10">
        <f t="shared" si="59"/>
        <v>0.47020022750873447</v>
      </c>
      <c r="H311" s="11">
        <f t="shared" si="56"/>
        <v>0.26729566616556527</v>
      </c>
      <c r="I311" s="12">
        <f t="shared" si="57"/>
        <v>0</v>
      </c>
      <c r="J311" s="28">
        <f t="shared" si="58"/>
        <v>0</v>
      </c>
      <c r="K311" s="30">
        <f t="shared" si="49"/>
        <v>0</v>
      </c>
      <c r="L311" s="5"/>
      <c r="M311" s="30">
        <f t="shared" si="50"/>
        <v>0</v>
      </c>
      <c r="N311" s="42">
        <f t="shared" si="51"/>
        <v>0</v>
      </c>
      <c r="O311" s="43">
        <f t="shared" si="52"/>
        <v>0</v>
      </c>
      <c r="P311" s="43">
        <f t="shared" si="53"/>
        <v>-0.34013437099999999</v>
      </c>
      <c r="Q311" s="43">
        <f t="shared" si="54"/>
        <v>-0.34013437099999999</v>
      </c>
      <c r="R311" s="43">
        <f t="shared" si="55"/>
        <v>0.11569139033556564</v>
      </c>
    </row>
    <row r="312" spans="1:18" ht="15.75" customHeight="1" x14ac:dyDescent="0.3">
      <c r="A312" s="47">
        <v>38294</v>
      </c>
      <c r="B312" s="48">
        <v>0</v>
      </c>
      <c r="C312" s="49">
        <v>0</v>
      </c>
      <c r="D312" s="10">
        <f t="shared" si="47"/>
        <v>-0.38980777739764078</v>
      </c>
      <c r="E312" s="10">
        <f t="shared" si="48"/>
        <v>-0.68571147540983624</v>
      </c>
      <c r="F312" s="10">
        <f t="shared" si="59"/>
        <v>0.15195010331968867</v>
      </c>
      <c r="G312" s="10">
        <f t="shared" si="59"/>
        <v>0.47020022750873447</v>
      </c>
      <c r="H312" s="11">
        <f t="shared" si="56"/>
        <v>0.26729566616556527</v>
      </c>
      <c r="I312" s="12">
        <f t="shared" si="57"/>
        <v>0</v>
      </c>
      <c r="J312" s="28">
        <f t="shared" si="58"/>
        <v>0</v>
      </c>
      <c r="K312" s="30">
        <f t="shared" si="49"/>
        <v>0</v>
      </c>
      <c r="L312" s="5"/>
      <c r="M312" s="30">
        <f t="shared" si="50"/>
        <v>0</v>
      </c>
      <c r="N312" s="42">
        <f t="shared" si="51"/>
        <v>0</v>
      </c>
      <c r="O312" s="43">
        <f t="shared" si="52"/>
        <v>0</v>
      </c>
      <c r="P312" s="43">
        <f t="shared" si="53"/>
        <v>-0.34013437099999999</v>
      </c>
      <c r="Q312" s="43">
        <f t="shared" si="54"/>
        <v>-0.34013437099999999</v>
      </c>
      <c r="R312" s="43">
        <f t="shared" si="55"/>
        <v>0.11569139033556564</v>
      </c>
    </row>
    <row r="313" spans="1:18" ht="15.75" customHeight="1" x14ac:dyDescent="0.3">
      <c r="A313" s="47">
        <v>38295</v>
      </c>
      <c r="B313" s="48">
        <v>0</v>
      </c>
      <c r="C313" s="49">
        <v>0</v>
      </c>
      <c r="D313" s="10">
        <f t="shared" si="47"/>
        <v>-0.38980777739764078</v>
      </c>
      <c r="E313" s="10">
        <f t="shared" si="48"/>
        <v>-0.68571147540983624</v>
      </c>
      <c r="F313" s="10">
        <f t="shared" si="59"/>
        <v>0.15195010331968867</v>
      </c>
      <c r="G313" s="10">
        <f t="shared" si="59"/>
        <v>0.47020022750873447</v>
      </c>
      <c r="H313" s="11">
        <f t="shared" si="56"/>
        <v>0.26729566616556527</v>
      </c>
      <c r="I313" s="12">
        <f t="shared" si="57"/>
        <v>0</v>
      </c>
      <c r="J313" s="28">
        <f t="shared" si="58"/>
        <v>0</v>
      </c>
      <c r="K313" s="30">
        <f t="shared" si="49"/>
        <v>0</v>
      </c>
      <c r="L313" s="5"/>
      <c r="M313" s="30">
        <f t="shared" si="50"/>
        <v>0</v>
      </c>
      <c r="N313" s="42">
        <f t="shared" si="51"/>
        <v>0</v>
      </c>
      <c r="O313" s="43">
        <f t="shared" si="52"/>
        <v>0</v>
      </c>
      <c r="P313" s="43">
        <f t="shared" si="53"/>
        <v>-0.34013437099999999</v>
      </c>
      <c r="Q313" s="43">
        <f t="shared" si="54"/>
        <v>-0.34013437099999999</v>
      </c>
      <c r="R313" s="43">
        <f t="shared" si="55"/>
        <v>0.11569139033556564</v>
      </c>
    </row>
    <row r="314" spans="1:18" ht="15.75" customHeight="1" x14ac:dyDescent="0.3">
      <c r="A314" s="47">
        <v>38296</v>
      </c>
      <c r="B314" s="48">
        <v>0</v>
      </c>
      <c r="C314" s="49">
        <v>0</v>
      </c>
      <c r="D314" s="10">
        <f t="shared" si="47"/>
        <v>-0.38980777739764078</v>
      </c>
      <c r="E314" s="10">
        <f t="shared" si="48"/>
        <v>-0.68571147540983624</v>
      </c>
      <c r="F314" s="10">
        <f t="shared" si="59"/>
        <v>0.15195010331968867</v>
      </c>
      <c r="G314" s="10">
        <f t="shared" si="59"/>
        <v>0.47020022750873447</v>
      </c>
      <c r="H314" s="11">
        <f t="shared" si="56"/>
        <v>0.26729566616556527</v>
      </c>
      <c r="I314" s="12">
        <f t="shared" si="57"/>
        <v>0</v>
      </c>
      <c r="J314" s="28">
        <f t="shared" si="58"/>
        <v>0</v>
      </c>
      <c r="K314" s="30">
        <f t="shared" si="49"/>
        <v>0</v>
      </c>
      <c r="L314" s="5"/>
      <c r="M314" s="30">
        <f t="shared" si="50"/>
        <v>0</v>
      </c>
      <c r="N314" s="42">
        <f t="shared" si="51"/>
        <v>0</v>
      </c>
      <c r="O314" s="43">
        <f t="shared" si="52"/>
        <v>0</v>
      </c>
      <c r="P314" s="43">
        <f t="shared" si="53"/>
        <v>-0.34013437099999999</v>
      </c>
      <c r="Q314" s="43">
        <f t="shared" si="54"/>
        <v>-0.34013437099999999</v>
      </c>
      <c r="R314" s="43">
        <f t="shared" si="55"/>
        <v>0.11569139033556564</v>
      </c>
    </row>
    <row r="315" spans="1:18" ht="15.75" customHeight="1" x14ac:dyDescent="0.3">
      <c r="A315" s="47">
        <v>38297</v>
      </c>
      <c r="B315" s="48">
        <v>0</v>
      </c>
      <c r="C315" s="49">
        <v>0</v>
      </c>
      <c r="D315" s="10">
        <f t="shared" si="47"/>
        <v>-0.38980777739764078</v>
      </c>
      <c r="E315" s="10">
        <f t="shared" si="48"/>
        <v>-0.68571147540983624</v>
      </c>
      <c r="F315" s="10">
        <f t="shared" si="59"/>
        <v>0.15195010331968867</v>
      </c>
      <c r="G315" s="10">
        <f t="shared" si="59"/>
        <v>0.47020022750873447</v>
      </c>
      <c r="H315" s="11">
        <f t="shared" si="56"/>
        <v>0.26729566616556527</v>
      </c>
      <c r="I315" s="12">
        <f t="shared" si="57"/>
        <v>0</v>
      </c>
      <c r="J315" s="28">
        <f t="shared" si="58"/>
        <v>0</v>
      </c>
      <c r="K315" s="30">
        <f t="shared" si="49"/>
        <v>0</v>
      </c>
      <c r="L315" s="5"/>
      <c r="M315" s="30">
        <f t="shared" si="50"/>
        <v>0</v>
      </c>
      <c r="N315" s="42">
        <f t="shared" si="51"/>
        <v>0</v>
      </c>
      <c r="O315" s="43">
        <f t="shared" si="52"/>
        <v>0</v>
      </c>
      <c r="P315" s="43">
        <f t="shared" si="53"/>
        <v>-0.34013437099999999</v>
      </c>
      <c r="Q315" s="43">
        <f t="shared" si="54"/>
        <v>-0.34013437099999999</v>
      </c>
      <c r="R315" s="43">
        <f t="shared" si="55"/>
        <v>0.11569139033556564</v>
      </c>
    </row>
    <row r="316" spans="1:18" ht="15.75" customHeight="1" x14ac:dyDescent="0.3">
      <c r="A316" s="47">
        <v>38298</v>
      </c>
      <c r="B316" s="48">
        <v>0</v>
      </c>
      <c r="C316" s="49">
        <v>0</v>
      </c>
      <c r="D316" s="10">
        <f t="shared" si="47"/>
        <v>-0.38980777739764078</v>
      </c>
      <c r="E316" s="10">
        <f t="shared" si="48"/>
        <v>-0.68571147540983624</v>
      </c>
      <c r="F316" s="10">
        <f t="shared" si="59"/>
        <v>0.15195010331968867</v>
      </c>
      <c r="G316" s="10">
        <f t="shared" si="59"/>
        <v>0.47020022750873447</v>
      </c>
      <c r="H316" s="11">
        <f t="shared" si="56"/>
        <v>0.26729566616556527</v>
      </c>
      <c r="I316" s="12">
        <f t="shared" si="57"/>
        <v>0</v>
      </c>
      <c r="J316" s="28">
        <f t="shared" si="58"/>
        <v>0</v>
      </c>
      <c r="K316" s="30">
        <f t="shared" si="49"/>
        <v>0</v>
      </c>
      <c r="L316" s="5"/>
      <c r="M316" s="30">
        <f t="shared" si="50"/>
        <v>0</v>
      </c>
      <c r="N316" s="42">
        <f t="shared" si="51"/>
        <v>0</v>
      </c>
      <c r="O316" s="43">
        <f t="shared" si="52"/>
        <v>0</v>
      </c>
      <c r="P316" s="43">
        <f t="shared" si="53"/>
        <v>-0.34013437099999999</v>
      </c>
      <c r="Q316" s="43">
        <f t="shared" si="54"/>
        <v>-0.34013437099999999</v>
      </c>
      <c r="R316" s="43">
        <f t="shared" si="55"/>
        <v>0.11569139033556564</v>
      </c>
    </row>
    <row r="317" spans="1:18" ht="15.75" customHeight="1" x14ac:dyDescent="0.3">
      <c r="A317" s="47">
        <v>38299</v>
      </c>
      <c r="B317" s="48">
        <v>0</v>
      </c>
      <c r="C317" s="49">
        <v>0</v>
      </c>
      <c r="D317" s="10">
        <f t="shared" si="47"/>
        <v>-0.38980777739764078</v>
      </c>
      <c r="E317" s="10">
        <f t="shared" si="48"/>
        <v>-0.68571147540983624</v>
      </c>
      <c r="F317" s="10">
        <f t="shared" si="59"/>
        <v>0.15195010331968867</v>
      </c>
      <c r="G317" s="10">
        <f t="shared" si="59"/>
        <v>0.47020022750873447</v>
      </c>
      <c r="H317" s="11">
        <f t="shared" si="56"/>
        <v>0.26729566616556527</v>
      </c>
      <c r="I317" s="12">
        <f t="shared" si="57"/>
        <v>0</v>
      </c>
      <c r="J317" s="28">
        <f t="shared" si="58"/>
        <v>0</v>
      </c>
      <c r="K317" s="30">
        <f t="shared" si="49"/>
        <v>0</v>
      </c>
      <c r="L317" s="5"/>
      <c r="M317" s="30">
        <f t="shared" si="50"/>
        <v>0</v>
      </c>
      <c r="N317" s="42">
        <f t="shared" si="51"/>
        <v>0</v>
      </c>
      <c r="O317" s="43">
        <f t="shared" si="52"/>
        <v>0</v>
      </c>
      <c r="P317" s="43">
        <f t="shared" si="53"/>
        <v>-0.34013437099999999</v>
      </c>
      <c r="Q317" s="43">
        <f t="shared" si="54"/>
        <v>-0.34013437099999999</v>
      </c>
      <c r="R317" s="43">
        <f t="shared" si="55"/>
        <v>0.11569139033556564</v>
      </c>
    </row>
    <row r="318" spans="1:18" ht="15.75" customHeight="1" x14ac:dyDescent="0.3">
      <c r="A318" s="47">
        <v>38300</v>
      </c>
      <c r="B318" s="48">
        <v>0</v>
      </c>
      <c r="C318" s="49">
        <v>0</v>
      </c>
      <c r="D318" s="10">
        <f t="shared" si="47"/>
        <v>-0.38980777739764078</v>
      </c>
      <c r="E318" s="10">
        <f t="shared" si="48"/>
        <v>-0.68571147540983624</v>
      </c>
      <c r="F318" s="10">
        <f t="shared" si="59"/>
        <v>0.15195010331968867</v>
      </c>
      <c r="G318" s="10">
        <f t="shared" si="59"/>
        <v>0.47020022750873447</v>
      </c>
      <c r="H318" s="11">
        <f t="shared" si="56"/>
        <v>0.26729566616556527</v>
      </c>
      <c r="I318" s="12">
        <f t="shared" si="57"/>
        <v>0</v>
      </c>
      <c r="J318" s="28">
        <f t="shared" si="58"/>
        <v>0</v>
      </c>
      <c r="K318" s="30">
        <f t="shared" si="49"/>
        <v>0</v>
      </c>
      <c r="L318" s="5"/>
      <c r="M318" s="30">
        <f t="shared" si="50"/>
        <v>0</v>
      </c>
      <c r="N318" s="42">
        <f t="shared" si="51"/>
        <v>0</v>
      </c>
      <c r="O318" s="43">
        <f t="shared" si="52"/>
        <v>0</v>
      </c>
      <c r="P318" s="43">
        <f t="shared" si="53"/>
        <v>-0.34013437099999999</v>
      </c>
      <c r="Q318" s="43">
        <f t="shared" si="54"/>
        <v>-0.34013437099999999</v>
      </c>
      <c r="R318" s="43">
        <f t="shared" si="55"/>
        <v>0.11569139033556564</v>
      </c>
    </row>
    <row r="319" spans="1:18" ht="15.75" customHeight="1" x14ac:dyDescent="0.3">
      <c r="A319" s="47">
        <v>38301</v>
      </c>
      <c r="B319" s="48">
        <v>0</v>
      </c>
      <c r="C319" s="49">
        <v>0</v>
      </c>
      <c r="D319" s="10">
        <f t="shared" si="47"/>
        <v>-0.38980777739764078</v>
      </c>
      <c r="E319" s="10">
        <f t="shared" si="48"/>
        <v>-0.68571147540983624</v>
      </c>
      <c r="F319" s="10">
        <f t="shared" si="59"/>
        <v>0.15195010331968867</v>
      </c>
      <c r="G319" s="10">
        <f t="shared" si="59"/>
        <v>0.47020022750873447</v>
      </c>
      <c r="H319" s="11">
        <f t="shared" si="56"/>
        <v>0.26729566616556527</v>
      </c>
      <c r="I319" s="12">
        <f t="shared" si="57"/>
        <v>0</v>
      </c>
      <c r="J319" s="28">
        <f t="shared" si="58"/>
        <v>0</v>
      </c>
      <c r="K319" s="30">
        <f t="shared" si="49"/>
        <v>0</v>
      </c>
      <c r="L319" s="5"/>
      <c r="M319" s="30">
        <f t="shared" si="50"/>
        <v>0</v>
      </c>
      <c r="N319" s="42">
        <f t="shared" si="51"/>
        <v>0</v>
      </c>
      <c r="O319" s="43">
        <f t="shared" si="52"/>
        <v>0</v>
      </c>
      <c r="P319" s="43">
        <f t="shared" si="53"/>
        <v>-0.34013437099999999</v>
      </c>
      <c r="Q319" s="43">
        <f t="shared" si="54"/>
        <v>-0.34013437099999999</v>
      </c>
      <c r="R319" s="43">
        <f t="shared" si="55"/>
        <v>0.11569139033556564</v>
      </c>
    </row>
    <row r="320" spans="1:18" ht="15.75" customHeight="1" x14ac:dyDescent="0.3">
      <c r="A320" s="47">
        <v>38302</v>
      </c>
      <c r="B320" s="48">
        <v>0</v>
      </c>
      <c r="C320" s="49">
        <v>0</v>
      </c>
      <c r="D320" s="10">
        <f t="shared" si="47"/>
        <v>-0.38980777739764078</v>
      </c>
      <c r="E320" s="10">
        <f t="shared" si="48"/>
        <v>-0.68571147540983624</v>
      </c>
      <c r="F320" s="10">
        <f t="shared" si="59"/>
        <v>0.15195010331968867</v>
      </c>
      <c r="G320" s="10">
        <f t="shared" si="59"/>
        <v>0.47020022750873447</v>
      </c>
      <c r="H320" s="11">
        <f t="shared" si="56"/>
        <v>0.26729566616556527</v>
      </c>
      <c r="I320" s="12">
        <f t="shared" si="57"/>
        <v>0</v>
      </c>
      <c r="J320" s="28">
        <f t="shared" si="58"/>
        <v>0</v>
      </c>
      <c r="K320" s="30">
        <f t="shared" si="49"/>
        <v>0</v>
      </c>
      <c r="L320" s="5"/>
      <c r="M320" s="30">
        <f t="shared" si="50"/>
        <v>0</v>
      </c>
      <c r="N320" s="42">
        <f t="shared" si="51"/>
        <v>0</v>
      </c>
      <c r="O320" s="43">
        <f t="shared" si="52"/>
        <v>0</v>
      </c>
      <c r="P320" s="43">
        <f t="shared" si="53"/>
        <v>-0.34013437099999999</v>
      </c>
      <c r="Q320" s="43">
        <f t="shared" si="54"/>
        <v>-0.34013437099999999</v>
      </c>
      <c r="R320" s="43">
        <f t="shared" si="55"/>
        <v>0.11569139033556564</v>
      </c>
    </row>
    <row r="321" spans="1:18" ht="15.75" customHeight="1" x14ac:dyDescent="0.3">
      <c r="A321" s="47">
        <v>38303</v>
      </c>
      <c r="B321" s="48">
        <v>0</v>
      </c>
      <c r="C321" s="49">
        <v>0</v>
      </c>
      <c r="D321" s="10">
        <f t="shared" si="47"/>
        <v>-0.38980777739764078</v>
      </c>
      <c r="E321" s="10">
        <f t="shared" si="48"/>
        <v>-0.68571147540983624</v>
      </c>
      <c r="F321" s="10">
        <f t="shared" si="59"/>
        <v>0.15195010331968867</v>
      </c>
      <c r="G321" s="10">
        <f t="shared" si="59"/>
        <v>0.47020022750873447</v>
      </c>
      <c r="H321" s="11">
        <f t="shared" si="56"/>
        <v>0.26729566616556527</v>
      </c>
      <c r="I321" s="12">
        <f t="shared" si="57"/>
        <v>0</v>
      </c>
      <c r="J321" s="28">
        <f t="shared" si="58"/>
        <v>0</v>
      </c>
      <c r="K321" s="30">
        <f t="shared" si="49"/>
        <v>0</v>
      </c>
      <c r="L321" s="5"/>
      <c r="M321" s="30">
        <f t="shared" si="50"/>
        <v>0</v>
      </c>
      <c r="N321" s="42">
        <f t="shared" si="51"/>
        <v>0</v>
      </c>
      <c r="O321" s="43">
        <f t="shared" si="52"/>
        <v>0</v>
      </c>
      <c r="P321" s="43">
        <f t="shared" si="53"/>
        <v>-0.34013437099999999</v>
      </c>
      <c r="Q321" s="43">
        <f t="shared" si="54"/>
        <v>-0.34013437099999999</v>
      </c>
      <c r="R321" s="43">
        <f t="shared" si="55"/>
        <v>0.11569139033556564</v>
      </c>
    </row>
    <row r="322" spans="1:18" ht="15.75" customHeight="1" x14ac:dyDescent="0.3">
      <c r="A322" s="47">
        <v>38304</v>
      </c>
      <c r="B322" s="48">
        <v>0</v>
      </c>
      <c r="C322" s="49">
        <v>0</v>
      </c>
      <c r="D322" s="10">
        <f t="shared" si="47"/>
        <v>-0.38980777739764078</v>
      </c>
      <c r="E322" s="10">
        <f t="shared" si="48"/>
        <v>-0.68571147540983624</v>
      </c>
      <c r="F322" s="10">
        <f t="shared" si="59"/>
        <v>0.15195010331968867</v>
      </c>
      <c r="G322" s="10">
        <f t="shared" si="59"/>
        <v>0.47020022750873447</v>
      </c>
      <c r="H322" s="11">
        <f t="shared" si="56"/>
        <v>0.26729566616556527</v>
      </c>
      <c r="I322" s="12">
        <f t="shared" si="57"/>
        <v>0</v>
      </c>
      <c r="J322" s="28">
        <f t="shared" si="58"/>
        <v>0</v>
      </c>
      <c r="K322" s="30">
        <f t="shared" si="49"/>
        <v>0</v>
      </c>
      <c r="L322" s="5"/>
      <c r="M322" s="30">
        <f t="shared" si="50"/>
        <v>0</v>
      </c>
      <c r="N322" s="42">
        <f t="shared" si="51"/>
        <v>0</v>
      </c>
      <c r="O322" s="43">
        <f t="shared" si="52"/>
        <v>0</v>
      </c>
      <c r="P322" s="43">
        <f t="shared" si="53"/>
        <v>-0.34013437099999999</v>
      </c>
      <c r="Q322" s="43">
        <f t="shared" si="54"/>
        <v>-0.34013437099999999</v>
      </c>
      <c r="R322" s="43">
        <f t="shared" si="55"/>
        <v>0.11569139033556564</v>
      </c>
    </row>
    <row r="323" spans="1:18" ht="15.75" customHeight="1" x14ac:dyDescent="0.3">
      <c r="A323" s="47">
        <v>38305</v>
      </c>
      <c r="B323" s="48">
        <v>0</v>
      </c>
      <c r="C323" s="49">
        <v>5.4896000000000003</v>
      </c>
      <c r="D323" s="10">
        <f t="shared" si="47"/>
        <v>-0.38980777739764078</v>
      </c>
      <c r="E323" s="10">
        <f t="shared" si="48"/>
        <v>4.8038885245901639</v>
      </c>
      <c r="F323" s="10">
        <f t="shared" si="59"/>
        <v>0.15195010331968867</v>
      </c>
      <c r="G323" s="10">
        <f t="shared" si="59"/>
        <v>23.07734495668906</v>
      </c>
      <c r="H323" s="11">
        <f t="shared" si="56"/>
        <v>-1.8725931086365235</v>
      </c>
      <c r="I323" s="12">
        <f t="shared" si="57"/>
        <v>5.4896000000000003</v>
      </c>
      <c r="J323" s="28">
        <f t="shared" si="58"/>
        <v>30.135708160000004</v>
      </c>
      <c r="K323" s="30">
        <f t="shared" si="49"/>
        <v>5.4896000000000003</v>
      </c>
      <c r="L323" s="5"/>
      <c r="M323" s="30">
        <f t="shared" si="50"/>
        <v>-5.4896000000000003</v>
      </c>
      <c r="N323" s="42">
        <f t="shared" si="51"/>
        <v>-5.4896000000000003</v>
      </c>
      <c r="O323" s="43">
        <f t="shared" si="52"/>
        <v>30.135708160000004</v>
      </c>
      <c r="P323" s="43">
        <f t="shared" si="53"/>
        <v>-0.34013437099999999</v>
      </c>
      <c r="Q323" s="43">
        <f t="shared" si="54"/>
        <v>-0.34013437099999999</v>
      </c>
      <c r="R323" s="43">
        <f t="shared" si="55"/>
        <v>0.11569139033556564</v>
      </c>
    </row>
    <row r="324" spans="1:18" ht="15.75" customHeight="1" x14ac:dyDescent="0.3">
      <c r="A324" s="47">
        <v>38306</v>
      </c>
      <c r="B324" s="48">
        <v>0</v>
      </c>
      <c r="C324" s="49">
        <v>0</v>
      </c>
      <c r="D324" s="10">
        <f t="shared" si="47"/>
        <v>-0.38980777739764078</v>
      </c>
      <c r="E324" s="10">
        <f t="shared" si="48"/>
        <v>-0.68571147540983624</v>
      </c>
      <c r="F324" s="10">
        <f t="shared" si="59"/>
        <v>0.15195010331968867</v>
      </c>
      <c r="G324" s="10">
        <f t="shared" si="59"/>
        <v>0.47020022750873447</v>
      </c>
      <c r="H324" s="11">
        <f t="shared" si="56"/>
        <v>0.26729566616556527</v>
      </c>
      <c r="I324" s="12">
        <f t="shared" si="57"/>
        <v>0</v>
      </c>
      <c r="J324" s="28">
        <f t="shared" si="58"/>
        <v>0</v>
      </c>
      <c r="K324" s="30">
        <f t="shared" si="49"/>
        <v>0</v>
      </c>
      <c r="L324" s="5"/>
      <c r="M324" s="30">
        <f t="shared" si="50"/>
        <v>0</v>
      </c>
      <c r="N324" s="42">
        <f t="shared" si="51"/>
        <v>0</v>
      </c>
      <c r="O324" s="43">
        <f t="shared" si="52"/>
        <v>0</v>
      </c>
      <c r="P324" s="43">
        <f t="shared" si="53"/>
        <v>-0.34013437099999999</v>
      </c>
      <c r="Q324" s="43">
        <f t="shared" si="54"/>
        <v>-0.34013437099999999</v>
      </c>
      <c r="R324" s="43">
        <f t="shared" si="55"/>
        <v>0.11569139033556564</v>
      </c>
    </row>
    <row r="325" spans="1:18" ht="15.75" customHeight="1" x14ac:dyDescent="0.3">
      <c r="A325" s="47">
        <v>38307</v>
      </c>
      <c r="B325" s="48">
        <v>0</v>
      </c>
      <c r="C325" s="49">
        <v>13.3062</v>
      </c>
      <c r="D325" s="10">
        <f t="shared" ref="D325:D370" si="60">B325-$C$375</f>
        <v>-0.38980777739764078</v>
      </c>
      <c r="E325" s="10">
        <f t="shared" ref="E325:E370" si="61">C325-$D$375</f>
        <v>12.620488524590165</v>
      </c>
      <c r="F325" s="10">
        <f t="shared" si="59"/>
        <v>0.15195010331968867</v>
      </c>
      <c r="G325" s="10">
        <f t="shared" si="59"/>
        <v>159.27673059931203</v>
      </c>
      <c r="H325" s="11">
        <f t="shared" si="56"/>
        <v>-4.9195645814429225</v>
      </c>
      <c r="I325" s="12">
        <f t="shared" si="57"/>
        <v>13.3062</v>
      </c>
      <c r="J325" s="28">
        <f t="shared" si="58"/>
        <v>177.05495844000001</v>
      </c>
      <c r="K325" s="30">
        <f t="shared" si="49"/>
        <v>13.3062</v>
      </c>
      <c r="L325" s="5"/>
      <c r="M325" s="30">
        <f t="shared" si="50"/>
        <v>-13.3062</v>
      </c>
      <c r="N325" s="42">
        <f t="shared" si="51"/>
        <v>-13.3062</v>
      </c>
      <c r="O325" s="43">
        <f t="shared" si="52"/>
        <v>177.05495844000001</v>
      </c>
      <c r="P325" s="43">
        <f t="shared" si="53"/>
        <v>-0.34013437099999999</v>
      </c>
      <c r="Q325" s="43">
        <f t="shared" si="54"/>
        <v>-0.34013437099999999</v>
      </c>
      <c r="R325" s="43">
        <f t="shared" si="55"/>
        <v>0.11569139033556564</v>
      </c>
    </row>
    <row r="326" spans="1:18" ht="15.75" customHeight="1" x14ac:dyDescent="0.3">
      <c r="A326" s="47">
        <v>38308</v>
      </c>
      <c r="B326" s="48">
        <v>0.79056966304779053</v>
      </c>
      <c r="C326" s="49">
        <v>0</v>
      </c>
      <c r="D326" s="10">
        <f t="shared" si="60"/>
        <v>0.40076188565014975</v>
      </c>
      <c r="E326" s="10">
        <f t="shared" si="61"/>
        <v>-0.68571147540983624</v>
      </c>
      <c r="F326" s="10">
        <f t="shared" si="59"/>
        <v>0.1606100889898637</v>
      </c>
      <c r="G326" s="10">
        <f t="shared" si="59"/>
        <v>0.47020022750873447</v>
      </c>
      <c r="H326" s="11">
        <f t="shared" si="56"/>
        <v>-0.27480702389719225</v>
      </c>
      <c r="I326" s="12">
        <f t="shared" si="57"/>
        <v>0.79056966304779053</v>
      </c>
      <c r="J326" s="28">
        <f t="shared" si="58"/>
        <v>0.62500039213149705</v>
      </c>
      <c r="K326" s="30">
        <f t="shared" ref="K326:K370" si="62">C326-B326</f>
        <v>-0.79056966304779053</v>
      </c>
      <c r="L326" s="5"/>
      <c r="M326" s="30">
        <f t="shared" ref="M326:M370" si="63">B326-C326</f>
        <v>0.79056966304779053</v>
      </c>
      <c r="N326" s="42">
        <f t="shared" ref="N326:N370" si="64">B326-C326</f>
        <v>0.79056966304779053</v>
      </c>
      <c r="O326" s="43">
        <f t="shared" ref="O326:O370" si="65">M326*N326</f>
        <v>0.62500039213149705</v>
      </c>
      <c r="P326" s="43">
        <f t="shared" ref="P326:P370" si="66">B326-0.340134371</f>
        <v>0.45043529204779054</v>
      </c>
      <c r="Q326" s="43">
        <f t="shared" ref="Q326:Q369" si="67">B326-0.340134371</f>
        <v>0.45043529204779054</v>
      </c>
      <c r="R326" s="43">
        <f t="shared" ref="R326:R370" si="68">P326*Q326</f>
        <v>0.20289195232217835</v>
      </c>
    </row>
    <row r="327" spans="1:18" ht="15.75" customHeight="1" x14ac:dyDescent="0.3">
      <c r="A327" s="47">
        <v>38309</v>
      </c>
      <c r="B327" s="48">
        <v>1.3718650341033936</v>
      </c>
      <c r="C327" s="49">
        <v>0</v>
      </c>
      <c r="D327" s="10">
        <f t="shared" si="60"/>
        <v>0.98205725670575283</v>
      </c>
      <c r="E327" s="10">
        <f t="shared" si="61"/>
        <v>-0.68571147540983624</v>
      </c>
      <c r="F327" s="10">
        <f t="shared" si="59"/>
        <v>0.96443645544842893</v>
      </c>
      <c r="G327" s="10">
        <f t="shared" si="59"/>
        <v>0.47020022750873447</v>
      </c>
      <c r="H327" s="11">
        <f t="shared" si="56"/>
        <v>-0.67340793043263802</v>
      </c>
      <c r="I327" s="12">
        <f t="shared" si="57"/>
        <v>1.3718650341033936</v>
      </c>
      <c r="J327" s="28">
        <f t="shared" si="58"/>
        <v>1.8820136717955052</v>
      </c>
      <c r="K327" s="30">
        <f t="shared" si="62"/>
        <v>-1.3718650341033936</v>
      </c>
      <c r="L327" s="5"/>
      <c r="M327" s="30">
        <f t="shared" si="63"/>
        <v>1.3718650341033936</v>
      </c>
      <c r="N327" s="42">
        <f t="shared" si="64"/>
        <v>1.3718650341033936</v>
      </c>
      <c r="O327" s="43">
        <f t="shared" si="65"/>
        <v>1.8820136717955052</v>
      </c>
      <c r="P327" s="43">
        <f t="shared" si="66"/>
        <v>1.0317306631033936</v>
      </c>
      <c r="Q327" s="43">
        <f t="shared" si="67"/>
        <v>1.0317306631033936</v>
      </c>
      <c r="R327" s="43">
        <f t="shared" si="68"/>
        <v>1.0644681611877682</v>
      </c>
    </row>
    <row r="328" spans="1:18" ht="15.75" customHeight="1" x14ac:dyDescent="0.3">
      <c r="A328" s="47">
        <v>38310</v>
      </c>
      <c r="B328" s="48">
        <v>0.62584877014160156</v>
      </c>
      <c r="C328" s="49">
        <v>0</v>
      </c>
      <c r="D328" s="10">
        <f t="shared" si="60"/>
        <v>0.23604099274396079</v>
      </c>
      <c r="E328" s="10">
        <f t="shared" si="61"/>
        <v>-0.68571147540983624</v>
      </c>
      <c r="F328" s="10">
        <f t="shared" si="59"/>
        <v>5.5715350255554547E-2</v>
      </c>
      <c r="G328" s="10">
        <f t="shared" si="59"/>
        <v>0.47020022750873447</v>
      </c>
      <c r="H328" s="11">
        <f t="shared" si="56"/>
        <v>-0.1618560173916638</v>
      </c>
      <c r="I328" s="12">
        <f t="shared" si="57"/>
        <v>0.62584877014160156</v>
      </c>
      <c r="J328" s="28">
        <f t="shared" si="58"/>
        <v>0.39168668308775523</v>
      </c>
      <c r="K328" s="30">
        <f t="shared" si="62"/>
        <v>-0.62584877014160156</v>
      </c>
      <c r="L328" s="5"/>
      <c r="M328" s="30">
        <f t="shared" si="63"/>
        <v>0.62584877014160156</v>
      </c>
      <c r="N328" s="42">
        <f t="shared" si="64"/>
        <v>0.62584877014160156</v>
      </c>
      <c r="O328" s="43">
        <f t="shared" si="65"/>
        <v>0.39168668308775523</v>
      </c>
      <c r="P328" s="43">
        <f t="shared" si="66"/>
        <v>0.28571439914160157</v>
      </c>
      <c r="Q328" s="43">
        <f t="shared" si="67"/>
        <v>0.28571439914160157</v>
      </c>
      <c r="R328" s="43">
        <f t="shared" si="68"/>
        <v>8.1632717876846422E-2</v>
      </c>
    </row>
    <row r="329" spans="1:18" ht="15.75" customHeight="1" x14ac:dyDescent="0.3">
      <c r="A329" s="47">
        <v>38311</v>
      </c>
      <c r="B329" s="48">
        <v>2.1065719127655029</v>
      </c>
      <c r="C329" s="49">
        <v>0</v>
      </c>
      <c r="D329" s="10">
        <f t="shared" si="60"/>
        <v>1.7167641353678622</v>
      </c>
      <c r="E329" s="10">
        <f t="shared" si="61"/>
        <v>-0.68571147540983624</v>
      </c>
      <c r="F329" s="10">
        <f t="shared" si="59"/>
        <v>2.9472790964853637</v>
      </c>
      <c r="G329" s="10">
        <f t="shared" si="59"/>
        <v>0.47020022750873447</v>
      </c>
      <c r="H329" s="11">
        <f t="shared" si="56"/>
        <v>-1.1772048681937886</v>
      </c>
      <c r="I329" s="12">
        <f t="shared" si="57"/>
        <v>2.1065719127655029</v>
      </c>
      <c r="J329" s="28">
        <f t="shared" si="58"/>
        <v>4.4376452236525097</v>
      </c>
      <c r="K329" s="30">
        <f t="shared" si="62"/>
        <v>-2.1065719127655029</v>
      </c>
      <c r="L329" s="5"/>
      <c r="M329" s="30">
        <f t="shared" si="63"/>
        <v>2.1065719127655029</v>
      </c>
      <c r="N329" s="42">
        <f t="shared" si="64"/>
        <v>2.1065719127655029</v>
      </c>
      <c r="O329" s="43">
        <f t="shared" si="65"/>
        <v>4.4376452236525097</v>
      </c>
      <c r="P329" s="43">
        <f t="shared" si="66"/>
        <v>1.7664375417655029</v>
      </c>
      <c r="Q329" s="43">
        <f t="shared" si="67"/>
        <v>1.7664375417655029</v>
      </c>
      <c r="R329" s="43">
        <f t="shared" si="68"/>
        <v>3.120301588958553</v>
      </c>
    </row>
    <row r="330" spans="1:18" ht="15.75" customHeight="1" x14ac:dyDescent="0.3">
      <c r="A330" s="47">
        <v>38312</v>
      </c>
      <c r="B330" s="48">
        <v>0</v>
      </c>
      <c r="C330" s="49">
        <v>0</v>
      </c>
      <c r="D330" s="10">
        <f t="shared" si="60"/>
        <v>-0.38980777739764078</v>
      </c>
      <c r="E330" s="10">
        <f t="shared" si="61"/>
        <v>-0.68571147540983624</v>
      </c>
      <c r="F330" s="10">
        <f t="shared" si="59"/>
        <v>0.15195010331968867</v>
      </c>
      <c r="G330" s="10">
        <f t="shared" si="59"/>
        <v>0.47020022750873447</v>
      </c>
      <c r="H330" s="11">
        <f t="shared" si="56"/>
        <v>0.26729566616556527</v>
      </c>
      <c r="I330" s="12">
        <f t="shared" si="57"/>
        <v>0</v>
      </c>
      <c r="J330" s="28">
        <f t="shared" si="58"/>
        <v>0</v>
      </c>
      <c r="K330" s="30">
        <f t="shared" si="62"/>
        <v>0</v>
      </c>
      <c r="L330" s="5"/>
      <c r="M330" s="30">
        <f t="shared" si="63"/>
        <v>0</v>
      </c>
      <c r="N330" s="42">
        <f t="shared" si="64"/>
        <v>0</v>
      </c>
      <c r="O330" s="43">
        <f t="shared" si="65"/>
        <v>0</v>
      </c>
      <c r="P330" s="43">
        <f t="shared" si="66"/>
        <v>-0.34013437099999999</v>
      </c>
      <c r="Q330" s="43">
        <f t="shared" si="67"/>
        <v>-0.34013437099999999</v>
      </c>
      <c r="R330" s="43">
        <f t="shared" si="68"/>
        <v>0.11569139033556564</v>
      </c>
    </row>
    <row r="331" spans="1:18" ht="15.75" customHeight="1" x14ac:dyDescent="0.3">
      <c r="A331" s="47">
        <v>38313</v>
      </c>
      <c r="B331" s="48">
        <v>2.4976737499237061</v>
      </c>
      <c r="C331" s="49">
        <v>0</v>
      </c>
      <c r="D331" s="10">
        <f t="shared" si="60"/>
        <v>2.1078659725260653</v>
      </c>
      <c r="E331" s="10">
        <f t="shared" si="61"/>
        <v>-0.68571147540983624</v>
      </c>
      <c r="F331" s="10">
        <f t="shared" si="59"/>
        <v>4.4430989581332554</v>
      </c>
      <c r="G331" s="10">
        <f t="shared" si="59"/>
        <v>0.47020022750873447</v>
      </c>
      <c r="H331" s="11">
        <f t="shared" ref="H331:H370" si="69">D331*E331</f>
        <v>-1.4453878859870375</v>
      </c>
      <c r="I331" s="12">
        <f t="shared" ref="I331:I370" si="70">ABS(C331-B331)</f>
        <v>2.4976737499237061</v>
      </c>
      <c r="J331" s="28">
        <f t="shared" ref="J331:J370" si="71">I331^2</f>
        <v>6.2383741610579477</v>
      </c>
      <c r="K331" s="30">
        <f t="shared" si="62"/>
        <v>-2.4976737499237061</v>
      </c>
      <c r="L331" s="5"/>
      <c r="M331" s="30">
        <f t="shared" si="63"/>
        <v>2.4976737499237061</v>
      </c>
      <c r="N331" s="42">
        <f t="shared" si="64"/>
        <v>2.4976737499237061</v>
      </c>
      <c r="O331" s="43">
        <f t="shared" si="65"/>
        <v>6.2383741610579477</v>
      </c>
      <c r="P331" s="43">
        <f t="shared" si="66"/>
        <v>2.1575393789237061</v>
      </c>
      <c r="Q331" s="43">
        <f t="shared" si="67"/>
        <v>2.1575393789237061</v>
      </c>
      <c r="R331" s="43">
        <f t="shared" si="68"/>
        <v>4.6549761716064912</v>
      </c>
    </row>
    <row r="332" spans="1:18" ht="15.75" customHeight="1" x14ac:dyDescent="0.3">
      <c r="A332" s="47">
        <v>38314</v>
      </c>
      <c r="B332" s="48">
        <v>6.097266674041748</v>
      </c>
      <c r="C332" s="49">
        <v>0</v>
      </c>
      <c r="D332" s="10">
        <f t="shared" si="60"/>
        <v>5.7074588966441073</v>
      </c>
      <c r="E332" s="10">
        <f t="shared" si="61"/>
        <v>-0.68571147540983624</v>
      </c>
      <c r="F332" s="10">
        <f t="shared" si="59"/>
        <v>32.575087056881969</v>
      </c>
      <c r="G332" s="10">
        <f t="shared" si="59"/>
        <v>0.47020022750873447</v>
      </c>
      <c r="H332" s="11">
        <f t="shared" si="69"/>
        <v>-3.9136700608588271</v>
      </c>
      <c r="I332" s="12">
        <f t="shared" si="70"/>
        <v>6.097266674041748</v>
      </c>
      <c r="J332" s="28">
        <f t="shared" si="71"/>
        <v>37.17666089438012</v>
      </c>
      <c r="K332" s="30">
        <f t="shared" si="62"/>
        <v>-6.097266674041748</v>
      </c>
      <c r="L332" s="5"/>
      <c r="M332" s="30">
        <f t="shared" si="63"/>
        <v>6.097266674041748</v>
      </c>
      <c r="N332" s="42">
        <f t="shared" si="64"/>
        <v>6.097266674041748</v>
      </c>
      <c r="O332" s="43">
        <f t="shared" si="65"/>
        <v>37.17666089438012</v>
      </c>
      <c r="P332" s="43">
        <f t="shared" si="66"/>
        <v>5.7571323030417485</v>
      </c>
      <c r="Q332" s="43">
        <f t="shared" si="67"/>
        <v>5.7571323030417485</v>
      </c>
      <c r="R332" s="43">
        <f t="shared" si="68"/>
        <v>33.14457235472679</v>
      </c>
    </row>
    <row r="333" spans="1:18" ht="15.75" customHeight="1" x14ac:dyDescent="0.3">
      <c r="A333" s="47">
        <v>38315</v>
      </c>
      <c r="B333" s="48">
        <v>8.8212884962558746E-2</v>
      </c>
      <c r="C333" s="49">
        <v>0</v>
      </c>
      <c r="D333" s="10">
        <f t="shared" si="60"/>
        <v>-0.30159489243508203</v>
      </c>
      <c r="E333" s="10">
        <f t="shared" si="61"/>
        <v>-0.68571147540983624</v>
      </c>
      <c r="F333" s="10">
        <f t="shared" si="59"/>
        <v>9.0959479142928693E-2</v>
      </c>
      <c r="G333" s="10">
        <f t="shared" si="59"/>
        <v>0.47020022750873447</v>
      </c>
      <c r="H333" s="11">
        <f t="shared" si="69"/>
        <v>0.20680707866773096</v>
      </c>
      <c r="I333" s="12">
        <f t="shared" si="70"/>
        <v>8.8212884962558746E-2</v>
      </c>
      <c r="J333" s="28">
        <f t="shared" si="71"/>
        <v>7.781513073417623E-3</v>
      </c>
      <c r="K333" s="30">
        <f t="shared" si="62"/>
        <v>-8.8212884962558746E-2</v>
      </c>
      <c r="L333" s="5"/>
      <c r="M333" s="30">
        <f t="shared" si="63"/>
        <v>8.8212884962558746E-2</v>
      </c>
      <c r="N333" s="42">
        <f t="shared" si="64"/>
        <v>8.8212884962558746E-2</v>
      </c>
      <c r="O333" s="43">
        <f t="shared" si="65"/>
        <v>7.781513073417623E-3</v>
      </c>
      <c r="P333" s="43">
        <f t="shared" si="66"/>
        <v>-0.25192148603744124</v>
      </c>
      <c r="Q333" s="43">
        <f t="shared" si="67"/>
        <v>-0.25192148603744124</v>
      </c>
      <c r="R333" s="43">
        <f t="shared" si="68"/>
        <v>6.3464435127312702E-2</v>
      </c>
    </row>
    <row r="334" spans="1:18" ht="15.75" customHeight="1" x14ac:dyDescent="0.3">
      <c r="A334" s="47">
        <v>38316</v>
      </c>
      <c r="B334" s="48">
        <v>0</v>
      </c>
      <c r="C334" s="49">
        <v>0</v>
      </c>
      <c r="D334" s="10">
        <f t="shared" si="60"/>
        <v>-0.38980777739764078</v>
      </c>
      <c r="E334" s="10">
        <f t="shared" si="61"/>
        <v>-0.68571147540983624</v>
      </c>
      <c r="F334" s="10">
        <f t="shared" si="59"/>
        <v>0.15195010331968867</v>
      </c>
      <c r="G334" s="10">
        <f t="shared" si="59"/>
        <v>0.47020022750873447</v>
      </c>
      <c r="H334" s="11">
        <f t="shared" si="69"/>
        <v>0.26729566616556527</v>
      </c>
      <c r="I334" s="12">
        <f t="shared" si="70"/>
        <v>0</v>
      </c>
      <c r="J334" s="28">
        <f t="shared" si="71"/>
        <v>0</v>
      </c>
      <c r="K334" s="30">
        <f t="shared" si="62"/>
        <v>0</v>
      </c>
      <c r="L334" s="5"/>
      <c r="M334" s="30">
        <f t="shared" si="63"/>
        <v>0</v>
      </c>
      <c r="N334" s="42">
        <f t="shared" si="64"/>
        <v>0</v>
      </c>
      <c r="O334" s="43">
        <f t="shared" si="65"/>
        <v>0</v>
      </c>
      <c r="P334" s="43">
        <f t="shared" si="66"/>
        <v>-0.34013437099999999</v>
      </c>
      <c r="Q334" s="43">
        <f t="shared" si="67"/>
        <v>-0.34013437099999999</v>
      </c>
      <c r="R334" s="43">
        <f t="shared" si="68"/>
        <v>0.11569139033556564</v>
      </c>
    </row>
    <row r="335" spans="1:18" ht="15.75" customHeight="1" x14ac:dyDescent="0.3">
      <c r="A335" s="47">
        <v>38317</v>
      </c>
      <c r="B335" s="48">
        <v>6.2949824333190918</v>
      </c>
      <c r="C335" s="49">
        <v>0</v>
      </c>
      <c r="D335" s="10">
        <f t="shared" si="60"/>
        <v>5.9051746559214511</v>
      </c>
      <c r="E335" s="10">
        <f t="shared" si="61"/>
        <v>-0.68571147540983624</v>
      </c>
      <c r="F335" s="10">
        <f t="shared" si="59"/>
        <v>34.871087716937026</v>
      </c>
      <c r="G335" s="10">
        <f t="shared" si="59"/>
        <v>0.47020022750873447</v>
      </c>
      <c r="H335" s="11">
        <f t="shared" si="69"/>
        <v>-4.0492460258646705</v>
      </c>
      <c r="I335" s="12">
        <f t="shared" si="70"/>
        <v>6.2949824333190918</v>
      </c>
      <c r="J335" s="28">
        <f t="shared" si="71"/>
        <v>39.626803835795954</v>
      </c>
      <c r="K335" s="30">
        <f t="shared" si="62"/>
        <v>-6.2949824333190918</v>
      </c>
      <c r="L335" s="5"/>
      <c r="M335" s="30">
        <f t="shared" si="63"/>
        <v>6.2949824333190918</v>
      </c>
      <c r="N335" s="42">
        <f t="shared" si="64"/>
        <v>6.2949824333190918</v>
      </c>
      <c r="O335" s="43">
        <f t="shared" si="65"/>
        <v>39.626803835795954</v>
      </c>
      <c r="P335" s="43">
        <f t="shared" si="66"/>
        <v>5.9548480623190923</v>
      </c>
      <c r="Q335" s="43">
        <f t="shared" si="67"/>
        <v>5.9548480623190923</v>
      </c>
      <c r="R335" s="43">
        <f t="shared" si="68"/>
        <v>35.460215445305451</v>
      </c>
    </row>
    <row r="336" spans="1:18" ht="15.75" customHeight="1" x14ac:dyDescent="0.3">
      <c r="A336" s="47">
        <v>38318</v>
      </c>
      <c r="B336" s="48">
        <v>3.6656863987445831E-2</v>
      </c>
      <c r="C336" s="49">
        <v>0</v>
      </c>
      <c r="D336" s="10">
        <f t="shared" si="60"/>
        <v>-0.35315091341019494</v>
      </c>
      <c r="E336" s="10">
        <f t="shared" si="61"/>
        <v>-0.68571147540983624</v>
      </c>
      <c r="F336" s="10">
        <f t="shared" si="59"/>
        <v>0.12471556764245501</v>
      </c>
      <c r="G336" s="10">
        <f t="shared" si="59"/>
        <v>0.47020022750873447</v>
      </c>
      <c r="H336" s="11">
        <f t="shared" si="69"/>
        <v>0.24215963387683609</v>
      </c>
      <c r="I336" s="12">
        <f t="shared" si="70"/>
        <v>3.6656863987445831E-2</v>
      </c>
      <c r="J336" s="28">
        <f t="shared" si="71"/>
        <v>1.3437256773941031E-3</v>
      </c>
      <c r="K336" s="30">
        <f t="shared" si="62"/>
        <v>-3.6656863987445831E-2</v>
      </c>
      <c r="L336" s="5"/>
      <c r="M336" s="30">
        <f t="shared" si="63"/>
        <v>3.6656863987445831E-2</v>
      </c>
      <c r="N336" s="42">
        <f t="shared" si="64"/>
        <v>3.6656863987445831E-2</v>
      </c>
      <c r="O336" s="43">
        <f t="shared" si="65"/>
        <v>1.3437256773941031E-3</v>
      </c>
      <c r="P336" s="43">
        <f t="shared" si="66"/>
        <v>-0.30347750701255416</v>
      </c>
      <c r="Q336" s="43">
        <f t="shared" si="67"/>
        <v>-0.30347750701255416</v>
      </c>
      <c r="R336" s="43">
        <f t="shared" si="68"/>
        <v>9.2098597262554857E-2</v>
      </c>
    </row>
    <row r="337" spans="1:18" ht="15.75" customHeight="1" x14ac:dyDescent="0.3">
      <c r="A337" s="47">
        <v>38319</v>
      </c>
      <c r="B337" s="48">
        <v>0</v>
      </c>
      <c r="C337" s="49">
        <v>10.0877</v>
      </c>
      <c r="D337" s="10">
        <f t="shared" si="60"/>
        <v>-0.38980777739764078</v>
      </c>
      <c r="E337" s="10">
        <f t="shared" si="61"/>
        <v>9.4019885245901644</v>
      </c>
      <c r="F337" s="10">
        <f t="shared" si="59"/>
        <v>0.15195010331968867</v>
      </c>
      <c r="G337" s="10">
        <f t="shared" si="59"/>
        <v>88.397388216525144</v>
      </c>
      <c r="H337" s="11">
        <f t="shared" si="69"/>
        <v>-3.664968249888616</v>
      </c>
      <c r="I337" s="12">
        <f t="shared" si="70"/>
        <v>10.0877</v>
      </c>
      <c r="J337" s="28">
        <f t="shared" si="71"/>
        <v>101.76169129</v>
      </c>
      <c r="K337" s="30">
        <f t="shared" si="62"/>
        <v>10.0877</v>
      </c>
      <c r="L337" s="5"/>
      <c r="M337" s="30">
        <f t="shared" si="63"/>
        <v>-10.0877</v>
      </c>
      <c r="N337" s="42">
        <f t="shared" si="64"/>
        <v>-10.0877</v>
      </c>
      <c r="O337" s="43">
        <f t="shared" si="65"/>
        <v>101.76169129</v>
      </c>
      <c r="P337" s="43">
        <f t="shared" si="66"/>
        <v>-0.34013437099999999</v>
      </c>
      <c r="Q337" s="43">
        <f t="shared" si="67"/>
        <v>-0.34013437099999999</v>
      </c>
      <c r="R337" s="43">
        <f t="shared" si="68"/>
        <v>0.11569139033556564</v>
      </c>
    </row>
    <row r="338" spans="1:18" ht="15.75" customHeight="1" x14ac:dyDescent="0.3">
      <c r="A338" s="47">
        <v>38320</v>
      </c>
      <c r="B338" s="48">
        <v>0</v>
      </c>
      <c r="C338" s="49">
        <v>10.0877</v>
      </c>
      <c r="D338" s="10">
        <f t="shared" si="60"/>
        <v>-0.38980777739764078</v>
      </c>
      <c r="E338" s="10">
        <f t="shared" si="61"/>
        <v>9.4019885245901644</v>
      </c>
      <c r="F338" s="10">
        <f t="shared" si="59"/>
        <v>0.15195010331968867</v>
      </c>
      <c r="G338" s="10">
        <f t="shared" si="59"/>
        <v>88.397388216525144</v>
      </c>
      <c r="H338" s="11">
        <f t="shared" si="69"/>
        <v>-3.664968249888616</v>
      </c>
      <c r="I338" s="12">
        <f t="shared" si="70"/>
        <v>10.0877</v>
      </c>
      <c r="J338" s="28">
        <f t="shared" si="71"/>
        <v>101.76169129</v>
      </c>
      <c r="K338" s="30">
        <f t="shared" si="62"/>
        <v>10.0877</v>
      </c>
      <c r="L338" s="5"/>
      <c r="M338" s="30">
        <f t="shared" si="63"/>
        <v>-10.0877</v>
      </c>
      <c r="N338" s="42">
        <f t="shared" si="64"/>
        <v>-10.0877</v>
      </c>
      <c r="O338" s="43">
        <f t="shared" si="65"/>
        <v>101.76169129</v>
      </c>
      <c r="P338" s="43">
        <f t="shared" si="66"/>
        <v>-0.34013437099999999</v>
      </c>
      <c r="Q338" s="43">
        <f t="shared" si="67"/>
        <v>-0.34013437099999999</v>
      </c>
      <c r="R338" s="43">
        <f t="shared" si="68"/>
        <v>0.11569139033556564</v>
      </c>
    </row>
    <row r="339" spans="1:18" ht="15.75" customHeight="1" x14ac:dyDescent="0.3">
      <c r="A339" s="47">
        <v>38321</v>
      </c>
      <c r="B339" s="48">
        <v>10.588039398193359</v>
      </c>
      <c r="C339" s="49">
        <v>0</v>
      </c>
      <c r="D339" s="10">
        <f t="shared" si="60"/>
        <v>10.198231620795719</v>
      </c>
      <c r="E339" s="10">
        <f t="shared" si="61"/>
        <v>-0.68571147540983624</v>
      </c>
      <c r="F339" s="10">
        <f t="shared" si="59"/>
        <v>104.00392819139768</v>
      </c>
      <c r="G339" s="10">
        <f t="shared" si="59"/>
        <v>0.47020022750873447</v>
      </c>
      <c r="H339" s="11">
        <f t="shared" si="69"/>
        <v>-6.9930444512670782</v>
      </c>
      <c r="I339" s="12">
        <f t="shared" si="70"/>
        <v>10.588039398193359</v>
      </c>
      <c r="J339" s="28">
        <f t="shared" si="71"/>
        <v>112.1065782976948</v>
      </c>
      <c r="K339" s="30">
        <f t="shared" si="62"/>
        <v>-10.588039398193359</v>
      </c>
      <c r="L339" s="5"/>
      <c r="M339" s="30">
        <f t="shared" si="63"/>
        <v>10.588039398193359</v>
      </c>
      <c r="N339" s="42">
        <f t="shared" si="64"/>
        <v>10.588039398193359</v>
      </c>
      <c r="O339" s="43">
        <f t="shared" si="65"/>
        <v>112.1065782976948</v>
      </c>
      <c r="P339" s="43">
        <f t="shared" si="66"/>
        <v>10.24790502719336</v>
      </c>
      <c r="Q339" s="43">
        <f t="shared" si="67"/>
        <v>10.24790502719336</v>
      </c>
      <c r="R339" s="43">
        <f t="shared" si="68"/>
        <v>105.01955744637493</v>
      </c>
    </row>
    <row r="340" spans="1:18" ht="15.75" customHeight="1" x14ac:dyDescent="0.3">
      <c r="A340" s="47">
        <v>38322</v>
      </c>
      <c r="B340" s="48">
        <v>0</v>
      </c>
      <c r="C340" s="49">
        <v>0</v>
      </c>
      <c r="D340" s="10">
        <f t="shared" si="60"/>
        <v>-0.38980777739764078</v>
      </c>
      <c r="E340" s="10">
        <f t="shared" si="61"/>
        <v>-0.68571147540983624</v>
      </c>
      <c r="F340" s="10">
        <f t="shared" si="59"/>
        <v>0.15195010331968867</v>
      </c>
      <c r="G340" s="10">
        <f t="shared" si="59"/>
        <v>0.47020022750873447</v>
      </c>
      <c r="H340" s="11">
        <f t="shared" si="69"/>
        <v>0.26729566616556527</v>
      </c>
      <c r="I340" s="12">
        <f t="shared" si="70"/>
        <v>0</v>
      </c>
      <c r="J340" s="28">
        <f t="shared" si="71"/>
        <v>0</v>
      </c>
      <c r="K340" s="30">
        <f t="shared" si="62"/>
        <v>0</v>
      </c>
      <c r="L340" s="5"/>
      <c r="M340" s="30">
        <f t="shared" si="63"/>
        <v>0</v>
      </c>
      <c r="N340" s="42">
        <f t="shared" si="64"/>
        <v>0</v>
      </c>
      <c r="O340" s="43">
        <f t="shared" si="65"/>
        <v>0</v>
      </c>
      <c r="P340" s="43">
        <f t="shared" si="66"/>
        <v>-0.34013437099999999</v>
      </c>
      <c r="Q340" s="43">
        <f t="shared" si="67"/>
        <v>-0.34013437099999999</v>
      </c>
      <c r="R340" s="43">
        <f t="shared" si="68"/>
        <v>0.11569139033556564</v>
      </c>
    </row>
    <row r="341" spans="1:18" ht="15.75" customHeight="1" x14ac:dyDescent="0.3">
      <c r="A341" s="47">
        <v>38323</v>
      </c>
      <c r="B341" s="48">
        <v>0</v>
      </c>
      <c r="C341" s="49">
        <v>0</v>
      </c>
      <c r="D341" s="10">
        <f t="shared" si="60"/>
        <v>-0.38980777739764078</v>
      </c>
      <c r="E341" s="10">
        <f t="shared" si="61"/>
        <v>-0.68571147540983624</v>
      </c>
      <c r="F341" s="10">
        <f t="shared" ref="F341:G370" si="72">D341^2</f>
        <v>0.15195010331968867</v>
      </c>
      <c r="G341" s="10">
        <f t="shared" si="72"/>
        <v>0.47020022750873447</v>
      </c>
      <c r="H341" s="11">
        <f t="shared" si="69"/>
        <v>0.26729566616556527</v>
      </c>
      <c r="I341" s="12">
        <f t="shared" si="70"/>
        <v>0</v>
      </c>
      <c r="J341" s="28">
        <f t="shared" si="71"/>
        <v>0</v>
      </c>
      <c r="K341" s="30">
        <f t="shared" si="62"/>
        <v>0</v>
      </c>
      <c r="L341" s="5"/>
      <c r="M341" s="30">
        <f t="shared" si="63"/>
        <v>0</v>
      </c>
      <c r="N341" s="42">
        <f t="shared" si="64"/>
        <v>0</v>
      </c>
      <c r="O341" s="43">
        <f t="shared" si="65"/>
        <v>0</v>
      </c>
      <c r="P341" s="43">
        <f t="shared" si="66"/>
        <v>-0.34013437099999999</v>
      </c>
      <c r="Q341" s="43">
        <f t="shared" si="67"/>
        <v>-0.34013437099999999</v>
      </c>
      <c r="R341" s="43">
        <f t="shared" si="68"/>
        <v>0.11569139033556564</v>
      </c>
    </row>
    <row r="342" spans="1:18" ht="15.75" customHeight="1" x14ac:dyDescent="0.3">
      <c r="A342" s="47">
        <v>38324</v>
      </c>
      <c r="B342" s="48">
        <v>0</v>
      </c>
      <c r="C342" s="49">
        <v>0</v>
      </c>
      <c r="D342" s="10">
        <f t="shared" si="60"/>
        <v>-0.38980777739764078</v>
      </c>
      <c r="E342" s="10">
        <f t="shared" si="61"/>
        <v>-0.68571147540983624</v>
      </c>
      <c r="F342" s="10">
        <f t="shared" si="72"/>
        <v>0.15195010331968867</v>
      </c>
      <c r="G342" s="10">
        <f t="shared" si="72"/>
        <v>0.47020022750873447</v>
      </c>
      <c r="H342" s="11">
        <f t="shared" si="69"/>
        <v>0.26729566616556527</v>
      </c>
      <c r="I342" s="12">
        <f t="shared" si="70"/>
        <v>0</v>
      </c>
      <c r="J342" s="28">
        <f t="shared" si="71"/>
        <v>0</v>
      </c>
      <c r="K342" s="30">
        <f t="shared" si="62"/>
        <v>0</v>
      </c>
      <c r="L342" s="5"/>
      <c r="M342" s="30">
        <f t="shared" si="63"/>
        <v>0</v>
      </c>
      <c r="N342" s="42">
        <f t="shared" si="64"/>
        <v>0</v>
      </c>
      <c r="O342" s="43">
        <f t="shared" si="65"/>
        <v>0</v>
      </c>
      <c r="P342" s="43">
        <f t="shared" si="66"/>
        <v>-0.34013437099999999</v>
      </c>
      <c r="Q342" s="43">
        <f t="shared" si="67"/>
        <v>-0.34013437099999999</v>
      </c>
      <c r="R342" s="43">
        <f t="shared" si="68"/>
        <v>0.11569139033556564</v>
      </c>
    </row>
    <row r="343" spans="1:18" ht="15.75" customHeight="1" x14ac:dyDescent="0.3">
      <c r="A343" s="47">
        <v>38325</v>
      </c>
      <c r="B343" s="48">
        <v>0</v>
      </c>
      <c r="C343" s="49">
        <v>0</v>
      </c>
      <c r="D343" s="10">
        <f t="shared" si="60"/>
        <v>-0.38980777739764078</v>
      </c>
      <c r="E343" s="10">
        <f t="shared" si="61"/>
        <v>-0.68571147540983624</v>
      </c>
      <c r="F343" s="10">
        <f t="shared" si="72"/>
        <v>0.15195010331968867</v>
      </c>
      <c r="G343" s="10">
        <f t="shared" si="72"/>
        <v>0.47020022750873447</v>
      </c>
      <c r="H343" s="11">
        <f t="shared" si="69"/>
        <v>0.26729566616556527</v>
      </c>
      <c r="I343" s="12">
        <f t="shared" si="70"/>
        <v>0</v>
      </c>
      <c r="J343" s="28">
        <f t="shared" si="71"/>
        <v>0</v>
      </c>
      <c r="K343" s="30">
        <f t="shared" si="62"/>
        <v>0</v>
      </c>
      <c r="L343" s="5"/>
      <c r="M343" s="30">
        <f t="shared" si="63"/>
        <v>0</v>
      </c>
      <c r="N343" s="42">
        <f t="shared" si="64"/>
        <v>0</v>
      </c>
      <c r="O343" s="43">
        <f t="shared" si="65"/>
        <v>0</v>
      </c>
      <c r="P343" s="43">
        <f t="shared" si="66"/>
        <v>-0.34013437099999999</v>
      </c>
      <c r="Q343" s="43">
        <f t="shared" si="67"/>
        <v>-0.34013437099999999</v>
      </c>
      <c r="R343" s="43">
        <f t="shared" si="68"/>
        <v>0.11569139033556564</v>
      </c>
    </row>
    <row r="344" spans="1:18" ht="13.5" customHeight="1" x14ac:dyDescent="0.3">
      <c r="A344" s="47">
        <v>38326</v>
      </c>
      <c r="B344" s="48">
        <v>0</v>
      </c>
      <c r="C344" s="49">
        <v>0</v>
      </c>
      <c r="D344" s="10">
        <f t="shared" si="60"/>
        <v>-0.38980777739764078</v>
      </c>
      <c r="E344" s="10">
        <f t="shared" si="61"/>
        <v>-0.68571147540983624</v>
      </c>
      <c r="F344" s="10">
        <f t="shared" si="72"/>
        <v>0.15195010331968867</v>
      </c>
      <c r="G344" s="10">
        <f t="shared" si="72"/>
        <v>0.47020022750873447</v>
      </c>
      <c r="H344" s="11">
        <f t="shared" si="69"/>
        <v>0.26729566616556527</v>
      </c>
      <c r="I344" s="12">
        <f t="shared" si="70"/>
        <v>0</v>
      </c>
      <c r="J344" s="28">
        <f t="shared" si="71"/>
        <v>0</v>
      </c>
      <c r="K344" s="30">
        <f t="shared" si="62"/>
        <v>0</v>
      </c>
      <c r="L344" s="5"/>
      <c r="M344" s="30">
        <f t="shared" si="63"/>
        <v>0</v>
      </c>
      <c r="N344" s="42">
        <f t="shared" si="64"/>
        <v>0</v>
      </c>
      <c r="O344" s="43">
        <f t="shared" si="65"/>
        <v>0</v>
      </c>
      <c r="P344" s="43">
        <f t="shared" si="66"/>
        <v>-0.34013437099999999</v>
      </c>
      <c r="Q344" s="43">
        <f t="shared" si="67"/>
        <v>-0.34013437099999999</v>
      </c>
      <c r="R344" s="43">
        <f t="shared" si="68"/>
        <v>0.11569139033556564</v>
      </c>
    </row>
    <row r="345" spans="1:18" ht="13.5" customHeight="1" x14ac:dyDescent="0.3">
      <c r="A345" s="47">
        <v>38327</v>
      </c>
      <c r="B345" s="48">
        <v>0</v>
      </c>
      <c r="C345" s="49">
        <v>0</v>
      </c>
      <c r="D345" s="10">
        <f t="shared" si="60"/>
        <v>-0.38980777739764078</v>
      </c>
      <c r="E345" s="10">
        <f t="shared" si="61"/>
        <v>-0.68571147540983624</v>
      </c>
      <c r="F345" s="10">
        <f t="shared" si="72"/>
        <v>0.15195010331968867</v>
      </c>
      <c r="G345" s="10">
        <f t="shared" si="72"/>
        <v>0.47020022750873447</v>
      </c>
      <c r="H345" s="11">
        <f t="shared" si="69"/>
        <v>0.26729566616556527</v>
      </c>
      <c r="I345" s="12">
        <f t="shared" si="70"/>
        <v>0</v>
      </c>
      <c r="J345" s="28">
        <f t="shared" si="71"/>
        <v>0</v>
      </c>
      <c r="K345" s="30">
        <f t="shared" si="62"/>
        <v>0</v>
      </c>
      <c r="L345" s="5"/>
      <c r="M345" s="30">
        <f t="shared" si="63"/>
        <v>0</v>
      </c>
      <c r="N345" s="42">
        <f t="shared" si="64"/>
        <v>0</v>
      </c>
      <c r="O345" s="43">
        <f t="shared" si="65"/>
        <v>0</v>
      </c>
      <c r="P345" s="43">
        <f t="shared" si="66"/>
        <v>-0.34013437099999999</v>
      </c>
      <c r="Q345" s="43">
        <f t="shared" si="67"/>
        <v>-0.34013437099999999</v>
      </c>
      <c r="R345" s="43">
        <f t="shared" si="68"/>
        <v>0.11569139033556564</v>
      </c>
    </row>
    <row r="346" spans="1:18" ht="13.5" customHeight="1" x14ac:dyDescent="0.3">
      <c r="A346" s="47">
        <v>38328</v>
      </c>
      <c r="B346" s="48">
        <v>0</v>
      </c>
      <c r="C346" s="49">
        <v>0</v>
      </c>
      <c r="D346" s="10">
        <f t="shared" si="60"/>
        <v>-0.38980777739764078</v>
      </c>
      <c r="E346" s="10">
        <f t="shared" si="61"/>
        <v>-0.68571147540983624</v>
      </c>
      <c r="F346" s="10">
        <f t="shared" si="72"/>
        <v>0.15195010331968867</v>
      </c>
      <c r="G346" s="10">
        <f t="shared" si="72"/>
        <v>0.47020022750873447</v>
      </c>
      <c r="H346" s="11">
        <f t="shared" si="69"/>
        <v>0.26729566616556527</v>
      </c>
      <c r="I346" s="12">
        <f t="shared" si="70"/>
        <v>0</v>
      </c>
      <c r="J346" s="28">
        <f t="shared" si="71"/>
        <v>0</v>
      </c>
      <c r="K346" s="30">
        <f t="shared" si="62"/>
        <v>0</v>
      </c>
      <c r="L346" s="5"/>
      <c r="M346" s="30">
        <f t="shared" si="63"/>
        <v>0</v>
      </c>
      <c r="N346" s="42">
        <f t="shared" si="64"/>
        <v>0</v>
      </c>
      <c r="O346" s="43">
        <f t="shared" si="65"/>
        <v>0</v>
      </c>
      <c r="P346" s="43">
        <f t="shared" si="66"/>
        <v>-0.34013437099999999</v>
      </c>
      <c r="Q346" s="43">
        <f t="shared" si="67"/>
        <v>-0.34013437099999999</v>
      </c>
      <c r="R346" s="43">
        <f t="shared" si="68"/>
        <v>0.11569139033556564</v>
      </c>
    </row>
    <row r="347" spans="1:18" ht="15.75" customHeight="1" x14ac:dyDescent="0.3">
      <c r="A347" s="47">
        <v>38329</v>
      </c>
      <c r="B347" s="48">
        <v>0</v>
      </c>
      <c r="C347" s="49">
        <v>9.5530000000000008</v>
      </c>
      <c r="D347" s="10">
        <f t="shared" si="60"/>
        <v>-0.38980777739764078</v>
      </c>
      <c r="E347" s="10">
        <f t="shared" si="61"/>
        <v>8.8672885245901654</v>
      </c>
      <c r="F347" s="10">
        <f t="shared" si="72"/>
        <v>0.15195010331968867</v>
      </c>
      <c r="G347" s="10">
        <f t="shared" si="72"/>
        <v>78.628805778328427</v>
      </c>
      <c r="H347" s="11">
        <f t="shared" si="69"/>
        <v>-3.4565380313140976</v>
      </c>
      <c r="I347" s="12">
        <f t="shared" si="70"/>
        <v>9.5530000000000008</v>
      </c>
      <c r="J347" s="28">
        <f t="shared" si="71"/>
        <v>91.259809000000018</v>
      </c>
      <c r="K347" s="30">
        <f t="shared" si="62"/>
        <v>9.5530000000000008</v>
      </c>
      <c r="L347" s="5"/>
      <c r="M347" s="30">
        <f t="shared" si="63"/>
        <v>-9.5530000000000008</v>
      </c>
      <c r="N347" s="42">
        <f t="shared" si="64"/>
        <v>-9.5530000000000008</v>
      </c>
      <c r="O347" s="43">
        <f t="shared" si="65"/>
        <v>91.259809000000018</v>
      </c>
      <c r="P347" s="43">
        <f t="shared" si="66"/>
        <v>-0.34013437099999999</v>
      </c>
      <c r="Q347" s="43">
        <f t="shared" si="67"/>
        <v>-0.34013437099999999</v>
      </c>
      <c r="R347" s="43">
        <f t="shared" si="68"/>
        <v>0.11569139033556564</v>
      </c>
    </row>
    <row r="348" spans="1:18" ht="15.75" customHeight="1" x14ac:dyDescent="0.3">
      <c r="A348" s="47">
        <v>38330</v>
      </c>
      <c r="B348" s="48">
        <v>0</v>
      </c>
      <c r="C348" s="49">
        <v>0</v>
      </c>
      <c r="D348" s="10">
        <f t="shared" si="60"/>
        <v>-0.38980777739764078</v>
      </c>
      <c r="E348" s="10">
        <f t="shared" si="61"/>
        <v>-0.68571147540983624</v>
      </c>
      <c r="F348" s="10">
        <f t="shared" si="72"/>
        <v>0.15195010331968867</v>
      </c>
      <c r="G348" s="10">
        <f t="shared" si="72"/>
        <v>0.47020022750873447</v>
      </c>
      <c r="H348" s="11">
        <f t="shared" si="69"/>
        <v>0.26729566616556527</v>
      </c>
      <c r="I348" s="12">
        <f t="shared" si="70"/>
        <v>0</v>
      </c>
      <c r="J348" s="28">
        <f t="shared" si="71"/>
        <v>0</v>
      </c>
      <c r="K348" s="30">
        <f t="shared" si="62"/>
        <v>0</v>
      </c>
      <c r="L348" s="5"/>
      <c r="M348" s="30">
        <f t="shared" si="63"/>
        <v>0</v>
      </c>
      <c r="N348" s="42">
        <f t="shared" si="64"/>
        <v>0</v>
      </c>
      <c r="O348" s="43">
        <f t="shared" si="65"/>
        <v>0</v>
      </c>
      <c r="P348" s="43">
        <f t="shared" si="66"/>
        <v>-0.34013437099999999</v>
      </c>
      <c r="Q348" s="43">
        <f t="shared" si="67"/>
        <v>-0.34013437099999999</v>
      </c>
      <c r="R348" s="43">
        <f t="shared" si="68"/>
        <v>0.11569139033556564</v>
      </c>
    </row>
    <row r="349" spans="1:18" ht="15.75" customHeight="1" x14ac:dyDescent="0.3">
      <c r="A349" s="47">
        <v>38331</v>
      </c>
      <c r="B349" s="48">
        <v>0</v>
      </c>
      <c r="C349" s="49">
        <v>0</v>
      </c>
      <c r="D349" s="10">
        <f t="shared" si="60"/>
        <v>-0.38980777739764078</v>
      </c>
      <c r="E349" s="10">
        <f t="shared" si="61"/>
        <v>-0.68571147540983624</v>
      </c>
      <c r="F349" s="10">
        <f t="shared" si="72"/>
        <v>0.15195010331968867</v>
      </c>
      <c r="G349" s="10">
        <f t="shared" si="72"/>
        <v>0.47020022750873447</v>
      </c>
      <c r="H349" s="11">
        <f t="shared" si="69"/>
        <v>0.26729566616556527</v>
      </c>
      <c r="I349" s="12">
        <f t="shared" si="70"/>
        <v>0</v>
      </c>
      <c r="J349" s="28">
        <f t="shared" si="71"/>
        <v>0</v>
      </c>
      <c r="K349" s="30">
        <f t="shared" si="62"/>
        <v>0</v>
      </c>
      <c r="L349" s="5"/>
      <c r="M349" s="30">
        <f t="shared" si="63"/>
        <v>0</v>
      </c>
      <c r="N349" s="42">
        <f t="shared" si="64"/>
        <v>0</v>
      </c>
      <c r="O349" s="43">
        <f t="shared" si="65"/>
        <v>0</v>
      </c>
      <c r="P349" s="43">
        <f t="shared" si="66"/>
        <v>-0.34013437099999999</v>
      </c>
      <c r="Q349" s="43">
        <f t="shared" si="67"/>
        <v>-0.34013437099999999</v>
      </c>
      <c r="R349" s="43">
        <f t="shared" si="68"/>
        <v>0.11569139033556564</v>
      </c>
    </row>
    <row r="350" spans="1:18" ht="15.75" customHeight="1" x14ac:dyDescent="0.3">
      <c r="A350" s="47">
        <v>38332</v>
      </c>
      <c r="B350" s="48">
        <v>0</v>
      </c>
      <c r="C350" s="49">
        <v>0</v>
      </c>
      <c r="D350" s="10">
        <f t="shared" si="60"/>
        <v>-0.38980777739764078</v>
      </c>
      <c r="E350" s="10">
        <f t="shared" si="61"/>
        <v>-0.68571147540983624</v>
      </c>
      <c r="F350" s="10">
        <f t="shared" si="72"/>
        <v>0.15195010331968867</v>
      </c>
      <c r="G350" s="10">
        <f t="shared" si="72"/>
        <v>0.47020022750873447</v>
      </c>
      <c r="H350" s="11">
        <f t="shared" si="69"/>
        <v>0.26729566616556527</v>
      </c>
      <c r="I350" s="12">
        <f t="shared" si="70"/>
        <v>0</v>
      </c>
      <c r="J350" s="28">
        <f t="shared" si="71"/>
        <v>0</v>
      </c>
      <c r="K350" s="30">
        <f t="shared" si="62"/>
        <v>0</v>
      </c>
      <c r="L350" s="5"/>
      <c r="M350" s="30">
        <f t="shared" si="63"/>
        <v>0</v>
      </c>
      <c r="N350" s="42">
        <f t="shared" si="64"/>
        <v>0</v>
      </c>
      <c r="O350" s="43">
        <f t="shared" si="65"/>
        <v>0</v>
      </c>
      <c r="P350" s="43">
        <f t="shared" si="66"/>
        <v>-0.34013437099999999</v>
      </c>
      <c r="Q350" s="43">
        <f t="shared" si="67"/>
        <v>-0.34013437099999999</v>
      </c>
      <c r="R350" s="43">
        <f t="shared" si="68"/>
        <v>0.11569139033556564</v>
      </c>
    </row>
    <row r="351" spans="1:18" ht="15.75" customHeight="1" x14ac:dyDescent="0.3">
      <c r="A351" s="47">
        <v>38333</v>
      </c>
      <c r="B351" s="48">
        <v>0</v>
      </c>
      <c r="C351" s="49">
        <v>0</v>
      </c>
      <c r="D351" s="10">
        <f t="shared" si="60"/>
        <v>-0.38980777739764078</v>
      </c>
      <c r="E351" s="10">
        <f t="shared" si="61"/>
        <v>-0.68571147540983624</v>
      </c>
      <c r="F351" s="10">
        <f t="shared" si="72"/>
        <v>0.15195010331968867</v>
      </c>
      <c r="G351" s="10">
        <f t="shared" si="72"/>
        <v>0.47020022750873447</v>
      </c>
      <c r="H351" s="11">
        <f t="shared" si="69"/>
        <v>0.26729566616556527</v>
      </c>
      <c r="I351" s="12">
        <f t="shared" si="70"/>
        <v>0</v>
      </c>
      <c r="J351" s="28">
        <f t="shared" si="71"/>
        <v>0</v>
      </c>
      <c r="K351" s="30">
        <f t="shared" si="62"/>
        <v>0</v>
      </c>
      <c r="L351" s="5"/>
      <c r="M351" s="30">
        <f t="shared" si="63"/>
        <v>0</v>
      </c>
      <c r="N351" s="42">
        <f t="shared" si="64"/>
        <v>0</v>
      </c>
      <c r="O351" s="43">
        <f t="shared" si="65"/>
        <v>0</v>
      </c>
      <c r="P351" s="43">
        <f t="shared" si="66"/>
        <v>-0.34013437099999999</v>
      </c>
      <c r="Q351" s="43">
        <f t="shared" si="67"/>
        <v>-0.34013437099999999</v>
      </c>
      <c r="R351" s="43">
        <f t="shared" si="68"/>
        <v>0.11569139033556564</v>
      </c>
    </row>
    <row r="352" spans="1:18" ht="15.75" customHeight="1" x14ac:dyDescent="0.3">
      <c r="A352" s="47">
        <v>38334</v>
      </c>
      <c r="B352" s="48">
        <v>0</v>
      </c>
      <c r="C352" s="49">
        <v>0</v>
      </c>
      <c r="D352" s="10">
        <f t="shared" si="60"/>
        <v>-0.38980777739764078</v>
      </c>
      <c r="E352" s="10">
        <f t="shared" si="61"/>
        <v>-0.68571147540983624</v>
      </c>
      <c r="F352" s="10">
        <f t="shared" si="72"/>
        <v>0.15195010331968867</v>
      </c>
      <c r="G352" s="10">
        <f t="shared" si="72"/>
        <v>0.47020022750873447</v>
      </c>
      <c r="H352" s="11">
        <f t="shared" si="69"/>
        <v>0.26729566616556527</v>
      </c>
      <c r="I352" s="12">
        <f t="shared" si="70"/>
        <v>0</v>
      </c>
      <c r="J352" s="28">
        <f t="shared" si="71"/>
        <v>0</v>
      </c>
      <c r="K352" s="30">
        <f t="shared" si="62"/>
        <v>0</v>
      </c>
      <c r="L352" s="5"/>
      <c r="M352" s="30">
        <f t="shared" si="63"/>
        <v>0</v>
      </c>
      <c r="N352" s="42">
        <f t="shared" si="64"/>
        <v>0</v>
      </c>
      <c r="O352" s="43">
        <f t="shared" si="65"/>
        <v>0</v>
      </c>
      <c r="P352" s="43">
        <f t="shared" si="66"/>
        <v>-0.34013437099999999</v>
      </c>
      <c r="Q352" s="43">
        <f t="shared" si="67"/>
        <v>-0.34013437099999999</v>
      </c>
      <c r="R352" s="43">
        <f t="shared" si="68"/>
        <v>0.11569139033556564</v>
      </c>
    </row>
    <row r="353" spans="1:18" ht="15.75" customHeight="1" x14ac:dyDescent="0.3">
      <c r="A353" s="47">
        <v>38335</v>
      </c>
      <c r="B353" s="48">
        <v>0</v>
      </c>
      <c r="C353" s="49">
        <v>9.1865000000000006</v>
      </c>
      <c r="D353" s="10">
        <f t="shared" si="60"/>
        <v>-0.38980777739764078</v>
      </c>
      <c r="E353" s="10">
        <f t="shared" si="61"/>
        <v>8.5007885245901651</v>
      </c>
      <c r="F353" s="10">
        <f t="shared" si="72"/>
        <v>0.15195010331968867</v>
      </c>
      <c r="G353" s="10">
        <f t="shared" si="72"/>
        <v>72.263405539803841</v>
      </c>
      <c r="H353" s="11">
        <f t="shared" si="69"/>
        <v>-3.3136734808978621</v>
      </c>
      <c r="I353" s="12">
        <f t="shared" si="70"/>
        <v>9.1865000000000006</v>
      </c>
      <c r="J353" s="28">
        <f t="shared" si="71"/>
        <v>84.391782250000006</v>
      </c>
      <c r="K353" s="30">
        <f t="shared" si="62"/>
        <v>9.1865000000000006</v>
      </c>
      <c r="L353" s="5"/>
      <c r="M353" s="30">
        <f t="shared" si="63"/>
        <v>-9.1865000000000006</v>
      </c>
      <c r="N353" s="42">
        <f t="shared" si="64"/>
        <v>-9.1865000000000006</v>
      </c>
      <c r="O353" s="43">
        <f t="shared" si="65"/>
        <v>84.391782250000006</v>
      </c>
      <c r="P353" s="43">
        <f t="shared" si="66"/>
        <v>-0.34013437099999999</v>
      </c>
      <c r="Q353" s="43">
        <f t="shared" si="67"/>
        <v>-0.34013437099999999</v>
      </c>
      <c r="R353" s="43">
        <f t="shared" si="68"/>
        <v>0.11569139033556564</v>
      </c>
    </row>
    <row r="354" spans="1:18" ht="15.75" customHeight="1" x14ac:dyDescent="0.3">
      <c r="A354" s="47">
        <v>38336</v>
      </c>
      <c r="B354" s="48">
        <v>2.2445321083068848</v>
      </c>
      <c r="C354" s="49">
        <v>7.08</v>
      </c>
      <c r="D354" s="10">
        <f t="shared" si="60"/>
        <v>1.854724330909244</v>
      </c>
      <c r="E354" s="10">
        <f t="shared" si="61"/>
        <v>6.3942885245901637</v>
      </c>
      <c r="F354" s="10">
        <f t="shared" si="72"/>
        <v>3.4400023436667428</v>
      </c>
      <c r="G354" s="10">
        <f t="shared" si="72"/>
        <v>40.886925735705454</v>
      </c>
      <c r="H354" s="11">
        <f t="shared" si="69"/>
        <v>11.859642505411149</v>
      </c>
      <c r="I354" s="12">
        <f t="shared" si="70"/>
        <v>4.8354678916931153</v>
      </c>
      <c r="J354" s="28">
        <f t="shared" si="71"/>
        <v>23.381749731595061</v>
      </c>
      <c r="K354" s="30">
        <f t="shared" si="62"/>
        <v>4.8354678916931153</v>
      </c>
      <c r="L354" s="5"/>
      <c r="M354" s="30">
        <f t="shared" si="63"/>
        <v>-4.8354678916931153</v>
      </c>
      <c r="N354" s="42">
        <f t="shared" si="64"/>
        <v>-4.8354678916931153</v>
      </c>
      <c r="O354" s="43">
        <f t="shared" si="65"/>
        <v>23.381749731595061</v>
      </c>
      <c r="P354" s="43">
        <f t="shared" si="66"/>
        <v>1.9043977373068848</v>
      </c>
      <c r="Q354" s="43">
        <f t="shared" si="67"/>
        <v>1.9043977373068848</v>
      </c>
      <c r="R354" s="43">
        <f t="shared" si="68"/>
        <v>3.6267307418595824</v>
      </c>
    </row>
    <row r="355" spans="1:18" ht="15.75" customHeight="1" x14ac:dyDescent="0.3">
      <c r="A355" s="47">
        <v>38337</v>
      </c>
      <c r="B355" s="48">
        <v>2.2093386650085449</v>
      </c>
      <c r="C355" s="49">
        <v>8.7276000000000007</v>
      </c>
      <c r="D355" s="10">
        <f t="shared" si="60"/>
        <v>1.8195308876109042</v>
      </c>
      <c r="E355" s="10">
        <f t="shared" si="61"/>
        <v>8.0418885245901652</v>
      </c>
      <c r="F355" s="10">
        <f t="shared" si="72"/>
        <v>3.3106926509701249</v>
      </c>
      <c r="G355" s="10">
        <f t="shared" si="72"/>
        <v>64.671971041934981</v>
      </c>
      <c r="H355" s="11">
        <f t="shared" si="69"/>
        <v>14.632464565215487</v>
      </c>
      <c r="I355" s="12">
        <f t="shared" si="70"/>
        <v>6.5182613349914558</v>
      </c>
      <c r="J355" s="28">
        <f t="shared" si="71"/>
        <v>42.487730831244598</v>
      </c>
      <c r="K355" s="30">
        <f t="shared" si="62"/>
        <v>6.5182613349914558</v>
      </c>
      <c r="L355" s="5"/>
      <c r="M355" s="30">
        <f t="shared" si="63"/>
        <v>-6.5182613349914558</v>
      </c>
      <c r="N355" s="42">
        <f t="shared" si="64"/>
        <v>-6.5182613349914558</v>
      </c>
      <c r="O355" s="43">
        <f t="shared" si="65"/>
        <v>42.487730831244598</v>
      </c>
      <c r="P355" s="43">
        <f t="shared" si="66"/>
        <v>1.8692042940085449</v>
      </c>
      <c r="Q355" s="43">
        <f t="shared" si="67"/>
        <v>1.8692042940085449</v>
      </c>
      <c r="R355" s="43">
        <f t="shared" si="68"/>
        <v>3.493924692739983</v>
      </c>
    </row>
    <row r="356" spans="1:18" ht="15.75" customHeight="1" x14ac:dyDescent="0.3">
      <c r="A356" s="47">
        <v>38338</v>
      </c>
      <c r="B356" s="48">
        <v>0.17496626079082489</v>
      </c>
      <c r="C356" s="49">
        <v>0</v>
      </c>
      <c r="D356" s="10">
        <f t="shared" si="60"/>
        <v>-0.21484151660681589</v>
      </c>
      <c r="E356" s="10">
        <f t="shared" si="61"/>
        <v>-0.68571147540983624</v>
      </c>
      <c r="F356" s="10">
        <f t="shared" si="72"/>
        <v>4.6156877257916742E-2</v>
      </c>
      <c r="G356" s="10">
        <f t="shared" si="72"/>
        <v>0.47020022750873447</v>
      </c>
      <c r="H356" s="11">
        <f t="shared" si="69"/>
        <v>0.14731929333174656</v>
      </c>
      <c r="I356" s="12">
        <f t="shared" si="70"/>
        <v>0.17496626079082489</v>
      </c>
      <c r="J356" s="28">
        <f t="shared" si="71"/>
        <v>3.0613192415122947E-2</v>
      </c>
      <c r="K356" s="30">
        <f t="shared" si="62"/>
        <v>-0.17496626079082489</v>
      </c>
      <c r="L356" s="5"/>
      <c r="M356" s="30">
        <f t="shared" si="63"/>
        <v>0.17496626079082489</v>
      </c>
      <c r="N356" s="42">
        <f t="shared" si="64"/>
        <v>0.17496626079082489</v>
      </c>
      <c r="O356" s="43">
        <f t="shared" si="65"/>
        <v>3.0613192415122947E-2</v>
      </c>
      <c r="P356" s="43">
        <f t="shared" si="66"/>
        <v>-0.1651681102091751</v>
      </c>
      <c r="Q356" s="43">
        <f t="shared" si="67"/>
        <v>-0.1651681102091751</v>
      </c>
      <c r="R356" s="43">
        <f t="shared" si="68"/>
        <v>2.7280504630070212E-2</v>
      </c>
    </row>
    <row r="357" spans="1:18" ht="15.75" customHeight="1" x14ac:dyDescent="0.3">
      <c r="A357" s="47">
        <v>38339</v>
      </c>
      <c r="B357" s="48">
        <v>0</v>
      </c>
      <c r="C357" s="49">
        <v>0</v>
      </c>
      <c r="D357" s="10">
        <f t="shared" si="60"/>
        <v>-0.38980777739764078</v>
      </c>
      <c r="E357" s="10">
        <f t="shared" si="61"/>
        <v>-0.68571147540983624</v>
      </c>
      <c r="F357" s="10">
        <f t="shared" si="72"/>
        <v>0.15195010331968867</v>
      </c>
      <c r="G357" s="10">
        <f t="shared" si="72"/>
        <v>0.47020022750873447</v>
      </c>
      <c r="H357" s="11">
        <f t="shared" si="69"/>
        <v>0.26729566616556527</v>
      </c>
      <c r="I357" s="12">
        <f t="shared" si="70"/>
        <v>0</v>
      </c>
      <c r="J357" s="28">
        <f t="shared" si="71"/>
        <v>0</v>
      </c>
      <c r="K357" s="30">
        <f t="shared" si="62"/>
        <v>0</v>
      </c>
      <c r="L357" s="5"/>
      <c r="M357" s="30">
        <f t="shared" si="63"/>
        <v>0</v>
      </c>
      <c r="N357" s="42">
        <f t="shared" si="64"/>
        <v>0</v>
      </c>
      <c r="O357" s="43">
        <f t="shared" si="65"/>
        <v>0</v>
      </c>
      <c r="P357" s="43">
        <f t="shared" si="66"/>
        <v>-0.34013437099999999</v>
      </c>
      <c r="Q357" s="43">
        <f>B357-0.340134371</f>
        <v>-0.34013437099999999</v>
      </c>
      <c r="R357" s="43">
        <f t="shared" si="68"/>
        <v>0.11569139033556564</v>
      </c>
    </row>
    <row r="358" spans="1:18" ht="15.75" customHeight="1" x14ac:dyDescent="0.3">
      <c r="A358" s="47">
        <v>38340</v>
      </c>
      <c r="B358" s="48">
        <v>0.28072753548622131</v>
      </c>
      <c r="C358" s="49">
        <v>0</v>
      </c>
      <c r="D358" s="10">
        <f t="shared" si="60"/>
        <v>-0.10908024191141946</v>
      </c>
      <c r="E358" s="10">
        <f t="shared" si="61"/>
        <v>-0.68571147540983624</v>
      </c>
      <c r="F358" s="10">
        <f t="shared" si="72"/>
        <v>1.189849917545379E-2</v>
      </c>
      <c r="G358" s="10">
        <f t="shared" si="72"/>
        <v>0.47020022750873447</v>
      </c>
      <c r="H358" s="11">
        <f t="shared" si="69"/>
        <v>7.47975736191413E-2</v>
      </c>
      <c r="I358" s="12">
        <f t="shared" si="70"/>
        <v>0.28072753548622131</v>
      </c>
      <c r="J358" s="28">
        <f t="shared" si="71"/>
        <v>7.8807949180167647E-2</v>
      </c>
      <c r="K358" s="30">
        <f t="shared" si="62"/>
        <v>-0.28072753548622131</v>
      </c>
      <c r="L358" s="5"/>
      <c r="M358" s="30">
        <f t="shared" si="63"/>
        <v>0.28072753548622131</v>
      </c>
      <c r="N358" s="42">
        <f t="shared" si="64"/>
        <v>0.28072753548622131</v>
      </c>
      <c r="O358" s="43">
        <f t="shared" si="65"/>
        <v>7.8807949180167647E-2</v>
      </c>
      <c r="P358" s="43">
        <f t="shared" si="66"/>
        <v>-5.9406835513778677E-2</v>
      </c>
      <c r="Q358" s="43">
        <f t="shared" si="67"/>
        <v>-5.9406835513778677E-2</v>
      </c>
      <c r="R358" s="43">
        <f t="shared" si="68"/>
        <v>3.5291721057611556E-3</v>
      </c>
    </row>
    <row r="359" spans="1:18" ht="15.75" customHeight="1" x14ac:dyDescent="0.3">
      <c r="A359" s="47">
        <v>38341</v>
      </c>
      <c r="B359" s="48">
        <v>0</v>
      </c>
      <c r="C359" s="49">
        <v>8.2888000000000002</v>
      </c>
      <c r="D359" s="10">
        <f t="shared" si="60"/>
        <v>-0.38980777739764078</v>
      </c>
      <c r="E359" s="10">
        <f t="shared" si="61"/>
        <v>7.6030885245901638</v>
      </c>
      <c r="F359" s="10">
        <f t="shared" si="72"/>
        <v>0.15195010331968867</v>
      </c>
      <c r="G359" s="10">
        <f t="shared" si="72"/>
        <v>57.806955112754636</v>
      </c>
      <c r="H359" s="11">
        <f t="shared" si="69"/>
        <v>-2.9637430391279995</v>
      </c>
      <c r="I359" s="12">
        <f t="shared" si="70"/>
        <v>8.2888000000000002</v>
      </c>
      <c r="J359" s="28">
        <f t="shared" si="71"/>
        <v>68.70420544000001</v>
      </c>
      <c r="K359" s="30">
        <f t="shared" si="62"/>
        <v>8.2888000000000002</v>
      </c>
      <c r="L359" s="5"/>
      <c r="M359" s="30">
        <f t="shared" si="63"/>
        <v>-8.2888000000000002</v>
      </c>
      <c r="N359" s="42">
        <f t="shared" si="64"/>
        <v>-8.2888000000000002</v>
      </c>
      <c r="O359" s="43">
        <f t="shared" si="65"/>
        <v>68.70420544000001</v>
      </c>
      <c r="P359" s="43">
        <f t="shared" si="66"/>
        <v>-0.34013437099999999</v>
      </c>
      <c r="Q359" s="43">
        <f t="shared" si="67"/>
        <v>-0.34013437099999999</v>
      </c>
      <c r="R359" s="43">
        <f t="shared" si="68"/>
        <v>0.11569139033556564</v>
      </c>
    </row>
    <row r="360" spans="1:18" ht="15.75" customHeight="1" x14ac:dyDescent="0.3">
      <c r="A360" s="47">
        <v>38342</v>
      </c>
      <c r="B360" s="48">
        <v>0.37087184190750122</v>
      </c>
      <c r="C360" s="49">
        <v>0</v>
      </c>
      <c r="D360" s="10">
        <f t="shared" si="60"/>
        <v>-1.8935935490139555E-2</v>
      </c>
      <c r="E360" s="10">
        <f t="shared" si="61"/>
        <v>-0.68571147540983624</v>
      </c>
      <c r="F360" s="10">
        <f t="shared" si="72"/>
        <v>3.5856965288672677E-4</v>
      </c>
      <c r="G360" s="10">
        <f t="shared" si="72"/>
        <v>0.47020022750873447</v>
      </c>
      <c r="H360" s="11">
        <f t="shared" si="69"/>
        <v>1.2984588263209074E-2</v>
      </c>
      <c r="I360" s="12">
        <f t="shared" si="70"/>
        <v>0.37087184190750122</v>
      </c>
      <c r="J360" s="28">
        <f t="shared" si="71"/>
        <v>0.13754592311986258</v>
      </c>
      <c r="K360" s="30">
        <f t="shared" si="62"/>
        <v>-0.37087184190750122</v>
      </c>
      <c r="L360" s="5"/>
      <c r="M360" s="30">
        <f t="shared" si="63"/>
        <v>0.37087184190750122</v>
      </c>
      <c r="N360" s="42">
        <f t="shared" si="64"/>
        <v>0.37087184190750122</v>
      </c>
      <c r="O360" s="43">
        <f t="shared" si="65"/>
        <v>0.13754592311986258</v>
      </c>
      <c r="P360" s="43">
        <f t="shared" si="66"/>
        <v>3.073747090750123E-2</v>
      </c>
      <c r="Q360" s="43">
        <f t="shared" si="67"/>
        <v>3.073747090750123E-2</v>
      </c>
      <c r="R360" s="43">
        <f t="shared" si="68"/>
        <v>9.4479211778948451E-4</v>
      </c>
    </row>
    <row r="361" spans="1:18" ht="15.75" customHeight="1" x14ac:dyDescent="0.3">
      <c r="A361" s="47">
        <v>38343</v>
      </c>
      <c r="B361" s="48">
        <v>0</v>
      </c>
      <c r="C361" s="49">
        <v>0</v>
      </c>
      <c r="D361" s="10">
        <f t="shared" si="60"/>
        <v>-0.38980777739764078</v>
      </c>
      <c r="E361" s="10">
        <f t="shared" si="61"/>
        <v>-0.68571147540983624</v>
      </c>
      <c r="F361" s="10">
        <f t="shared" si="72"/>
        <v>0.15195010331968867</v>
      </c>
      <c r="G361" s="10">
        <f t="shared" si="72"/>
        <v>0.47020022750873447</v>
      </c>
      <c r="H361" s="11">
        <f t="shared" si="69"/>
        <v>0.26729566616556527</v>
      </c>
      <c r="I361" s="12">
        <f t="shared" si="70"/>
        <v>0</v>
      </c>
      <c r="J361" s="28">
        <f t="shared" si="71"/>
        <v>0</v>
      </c>
      <c r="K361" s="30">
        <f t="shared" si="62"/>
        <v>0</v>
      </c>
      <c r="L361" s="5"/>
      <c r="M361" s="30">
        <f t="shared" si="63"/>
        <v>0</v>
      </c>
      <c r="N361" s="42">
        <f t="shared" si="64"/>
        <v>0</v>
      </c>
      <c r="O361" s="43">
        <f t="shared" si="65"/>
        <v>0</v>
      </c>
      <c r="P361" s="43">
        <f t="shared" si="66"/>
        <v>-0.34013437099999999</v>
      </c>
      <c r="Q361" s="43">
        <f t="shared" si="67"/>
        <v>-0.34013437099999999</v>
      </c>
      <c r="R361" s="43">
        <f t="shared" si="68"/>
        <v>0.11569139033556564</v>
      </c>
    </row>
    <row r="362" spans="1:18" ht="15.75" customHeight="1" x14ac:dyDescent="0.3">
      <c r="A362" s="47">
        <v>38344</v>
      </c>
      <c r="B362" s="48">
        <v>0</v>
      </c>
      <c r="C362" s="49">
        <v>5.4481999999999999</v>
      </c>
      <c r="D362" s="10">
        <f t="shared" si="60"/>
        <v>-0.38980777739764078</v>
      </c>
      <c r="E362" s="10">
        <f t="shared" si="61"/>
        <v>4.7624885245901636</v>
      </c>
      <c r="F362" s="10">
        <f t="shared" si="72"/>
        <v>0.15195010331968867</v>
      </c>
      <c r="G362" s="10">
        <f t="shared" si="72"/>
        <v>22.681296946852992</v>
      </c>
      <c r="H362" s="11">
        <f t="shared" si="69"/>
        <v>-1.8564550666522612</v>
      </c>
      <c r="I362" s="12">
        <f t="shared" si="70"/>
        <v>5.4481999999999999</v>
      </c>
      <c r="J362" s="28">
        <f t="shared" si="71"/>
        <v>29.682883239999999</v>
      </c>
      <c r="K362" s="30">
        <f t="shared" si="62"/>
        <v>5.4481999999999999</v>
      </c>
      <c r="L362" s="5"/>
      <c r="M362" s="30">
        <f t="shared" si="63"/>
        <v>-5.4481999999999999</v>
      </c>
      <c r="N362" s="42">
        <f t="shared" si="64"/>
        <v>-5.4481999999999999</v>
      </c>
      <c r="O362" s="43">
        <f t="shared" si="65"/>
        <v>29.682883239999999</v>
      </c>
      <c r="P362" s="43">
        <f t="shared" si="66"/>
        <v>-0.34013437099999999</v>
      </c>
      <c r="Q362" s="43">
        <f t="shared" si="67"/>
        <v>-0.34013437099999999</v>
      </c>
      <c r="R362" s="43">
        <f t="shared" si="68"/>
        <v>0.11569139033556564</v>
      </c>
    </row>
    <row r="363" spans="1:18" ht="15.75" customHeight="1" x14ac:dyDescent="0.3">
      <c r="A363" s="47">
        <v>38345</v>
      </c>
      <c r="B363" s="48">
        <v>7.6718888282775879</v>
      </c>
      <c r="C363" s="49">
        <v>16.075299999999999</v>
      </c>
      <c r="D363" s="10">
        <f t="shared" si="60"/>
        <v>7.2820810508799472</v>
      </c>
      <c r="E363" s="10">
        <f t="shared" si="61"/>
        <v>15.389588524590163</v>
      </c>
      <c r="F363" s="10">
        <f t="shared" si="72"/>
        <v>53.028704431584792</v>
      </c>
      <c r="G363" s="10">
        <f t="shared" si="72"/>
        <v>236.83943495619724</v>
      </c>
      <c r="H363" s="11">
        <f t="shared" si="69"/>
        <v>112.06823097575752</v>
      </c>
      <c r="I363" s="12">
        <f t="shared" si="70"/>
        <v>8.4034111717224107</v>
      </c>
      <c r="J363" s="28">
        <f t="shared" si="71"/>
        <v>70.617319321029015</v>
      </c>
      <c r="K363" s="30">
        <f t="shared" si="62"/>
        <v>8.4034111717224107</v>
      </c>
      <c r="L363" s="5"/>
      <c r="M363" s="30">
        <f t="shared" si="63"/>
        <v>-8.4034111717224107</v>
      </c>
      <c r="N363" s="42">
        <f t="shared" si="64"/>
        <v>-8.4034111717224107</v>
      </c>
      <c r="O363" s="43">
        <f t="shared" si="65"/>
        <v>70.617319321029015</v>
      </c>
      <c r="P363" s="43">
        <f t="shared" si="66"/>
        <v>7.3317544572775883</v>
      </c>
      <c r="Q363" s="43">
        <f>B363-0.340134371</f>
        <v>7.3317544572775883</v>
      </c>
      <c r="R363" s="43">
        <f t="shared" si="68"/>
        <v>53.754623421809782</v>
      </c>
    </row>
    <row r="364" spans="1:18" ht="15.75" customHeight="1" x14ac:dyDescent="0.3">
      <c r="A364" s="47">
        <v>38346</v>
      </c>
      <c r="B364" s="48">
        <v>10.013022422790527</v>
      </c>
      <c r="C364" s="49">
        <v>0</v>
      </c>
      <c r="D364" s="10">
        <f t="shared" si="60"/>
        <v>9.6232146453928866</v>
      </c>
      <c r="E364" s="10">
        <f t="shared" si="61"/>
        <v>-0.68571147540983624</v>
      </c>
      <c r="F364" s="10">
        <f t="shared" si="72"/>
        <v>92.606260111304138</v>
      </c>
      <c r="G364" s="10">
        <f t="shared" si="72"/>
        <v>0.47020022750873447</v>
      </c>
      <c r="H364" s="11">
        <f t="shared" si="69"/>
        <v>-6.5987487126779003</v>
      </c>
      <c r="I364" s="12">
        <f t="shared" si="70"/>
        <v>10.013022422790527</v>
      </c>
      <c r="J364" s="28">
        <f t="shared" si="71"/>
        <v>100.26061803930588</v>
      </c>
      <c r="K364" s="30">
        <f t="shared" si="62"/>
        <v>-10.013022422790527</v>
      </c>
      <c r="L364" s="5"/>
      <c r="M364" s="30">
        <f t="shared" si="63"/>
        <v>10.013022422790527</v>
      </c>
      <c r="N364" s="42">
        <f t="shared" si="64"/>
        <v>10.013022422790527</v>
      </c>
      <c r="O364" s="43">
        <f t="shared" si="65"/>
        <v>100.26061803930588</v>
      </c>
      <c r="P364" s="43">
        <f t="shared" si="66"/>
        <v>9.6728880517905278</v>
      </c>
      <c r="Q364" s="43">
        <f t="shared" si="67"/>
        <v>9.6728880517905278</v>
      </c>
      <c r="R364" s="43">
        <f t="shared" si="68"/>
        <v>93.564763262471956</v>
      </c>
    </row>
    <row r="365" spans="1:18" ht="15.75" customHeight="1" x14ac:dyDescent="0.3">
      <c r="A365" s="47">
        <v>38347</v>
      </c>
      <c r="B365" s="48">
        <v>0.660300612449646</v>
      </c>
      <c r="C365" s="49">
        <v>0</v>
      </c>
      <c r="D365" s="10">
        <f t="shared" si="60"/>
        <v>0.27049283505200522</v>
      </c>
      <c r="E365" s="10">
        <f t="shared" si="61"/>
        <v>-0.68571147540983624</v>
      </c>
      <c r="F365" s="10">
        <f t="shared" si="72"/>
        <v>7.3166373814471303E-2</v>
      </c>
      <c r="G365" s="10">
        <f t="shared" si="72"/>
        <v>0.47020022750873447</v>
      </c>
      <c r="H365" s="11">
        <f t="shared" si="69"/>
        <v>-0.18548004101129997</v>
      </c>
      <c r="I365" s="12">
        <f t="shared" si="70"/>
        <v>0.660300612449646</v>
      </c>
      <c r="J365" s="28">
        <f t="shared" si="71"/>
        <v>0.4359968988013776</v>
      </c>
      <c r="K365" s="30">
        <f t="shared" si="62"/>
        <v>-0.660300612449646</v>
      </c>
      <c r="L365" s="5"/>
      <c r="M365" s="30">
        <f t="shared" si="63"/>
        <v>0.660300612449646</v>
      </c>
      <c r="N365" s="42">
        <f t="shared" si="64"/>
        <v>0.660300612449646</v>
      </c>
      <c r="O365" s="43">
        <f t="shared" si="65"/>
        <v>0.4359968988013776</v>
      </c>
      <c r="P365" s="43">
        <f t="shared" si="66"/>
        <v>0.32016624144964601</v>
      </c>
      <c r="Q365" s="43">
        <f t="shared" si="67"/>
        <v>0.32016624144964601</v>
      </c>
      <c r="R365" s="43">
        <f t="shared" si="68"/>
        <v>0.10250642216399303</v>
      </c>
    </row>
    <row r="366" spans="1:18" ht="15.75" customHeight="1" x14ac:dyDescent="0.3">
      <c r="A366" s="47">
        <v>38348</v>
      </c>
      <c r="B366" s="48">
        <v>0</v>
      </c>
      <c r="C366" s="49">
        <v>0</v>
      </c>
      <c r="D366" s="10">
        <f t="shared" si="60"/>
        <v>-0.38980777739764078</v>
      </c>
      <c r="E366" s="10">
        <f t="shared" si="61"/>
        <v>-0.68571147540983624</v>
      </c>
      <c r="F366" s="10">
        <f t="shared" si="72"/>
        <v>0.15195010331968867</v>
      </c>
      <c r="G366" s="10">
        <f t="shared" si="72"/>
        <v>0.47020022750873447</v>
      </c>
      <c r="H366" s="11">
        <f t="shared" si="69"/>
        <v>0.26729566616556527</v>
      </c>
      <c r="I366" s="12">
        <f t="shared" si="70"/>
        <v>0</v>
      </c>
      <c r="J366" s="28">
        <f t="shared" si="71"/>
        <v>0</v>
      </c>
      <c r="K366" s="30">
        <f t="shared" si="62"/>
        <v>0</v>
      </c>
      <c r="L366" s="5"/>
      <c r="M366" s="30">
        <f t="shared" si="63"/>
        <v>0</v>
      </c>
      <c r="N366" s="42">
        <f t="shared" si="64"/>
        <v>0</v>
      </c>
      <c r="O366" s="43">
        <f t="shared" si="65"/>
        <v>0</v>
      </c>
      <c r="P366" s="43">
        <f t="shared" si="66"/>
        <v>-0.34013437099999999</v>
      </c>
      <c r="Q366" s="43">
        <f t="shared" si="67"/>
        <v>-0.34013437099999999</v>
      </c>
      <c r="R366" s="43">
        <f t="shared" si="68"/>
        <v>0.11569139033556564</v>
      </c>
    </row>
    <row r="367" spans="1:18" ht="15.75" customHeight="1" x14ac:dyDescent="0.3">
      <c r="A367" s="47">
        <v>38349</v>
      </c>
      <c r="B367" s="48">
        <v>0</v>
      </c>
      <c r="C367" s="49">
        <v>0</v>
      </c>
      <c r="D367" s="10">
        <f t="shared" si="60"/>
        <v>-0.38980777739764078</v>
      </c>
      <c r="E367" s="10">
        <f t="shared" si="61"/>
        <v>-0.68571147540983624</v>
      </c>
      <c r="F367" s="10">
        <f t="shared" si="72"/>
        <v>0.15195010331968867</v>
      </c>
      <c r="G367" s="10">
        <f t="shared" si="72"/>
        <v>0.47020022750873447</v>
      </c>
      <c r="H367" s="11">
        <f t="shared" si="69"/>
        <v>0.26729566616556527</v>
      </c>
      <c r="I367" s="12">
        <f t="shared" si="70"/>
        <v>0</v>
      </c>
      <c r="J367" s="28">
        <f t="shared" si="71"/>
        <v>0</v>
      </c>
      <c r="K367" s="30">
        <f t="shared" si="62"/>
        <v>0</v>
      </c>
      <c r="L367" s="5"/>
      <c r="M367" s="30">
        <f t="shared" si="63"/>
        <v>0</v>
      </c>
      <c r="N367" s="42">
        <f t="shared" si="64"/>
        <v>0</v>
      </c>
      <c r="O367" s="43">
        <f t="shared" si="65"/>
        <v>0</v>
      </c>
      <c r="P367" s="43">
        <f t="shared" si="66"/>
        <v>-0.34013437099999999</v>
      </c>
      <c r="Q367" s="43">
        <f t="shared" si="67"/>
        <v>-0.34013437099999999</v>
      </c>
      <c r="R367" s="43">
        <f t="shared" si="68"/>
        <v>0.11569139033556564</v>
      </c>
    </row>
    <row r="368" spans="1:18" ht="15.75" customHeight="1" x14ac:dyDescent="0.3">
      <c r="A368" s="47">
        <v>38350</v>
      </c>
      <c r="B368" s="48">
        <v>0</v>
      </c>
      <c r="C368" s="49">
        <v>0</v>
      </c>
      <c r="D368" s="10">
        <f t="shared" si="60"/>
        <v>-0.38980777739764078</v>
      </c>
      <c r="E368" s="10">
        <f t="shared" si="61"/>
        <v>-0.68571147540983624</v>
      </c>
      <c r="F368" s="10">
        <f t="shared" si="72"/>
        <v>0.15195010331968867</v>
      </c>
      <c r="G368" s="10">
        <f t="shared" si="72"/>
        <v>0.47020022750873447</v>
      </c>
      <c r="H368" s="11">
        <f t="shared" si="69"/>
        <v>0.26729566616556527</v>
      </c>
      <c r="I368" s="12">
        <f t="shared" si="70"/>
        <v>0</v>
      </c>
      <c r="J368" s="28">
        <f t="shared" si="71"/>
        <v>0</v>
      </c>
      <c r="K368" s="30">
        <f t="shared" si="62"/>
        <v>0</v>
      </c>
      <c r="L368" s="5"/>
      <c r="M368" s="30">
        <f t="shared" si="63"/>
        <v>0</v>
      </c>
      <c r="N368" s="42">
        <f t="shared" si="64"/>
        <v>0</v>
      </c>
      <c r="O368" s="43">
        <f t="shared" si="65"/>
        <v>0</v>
      </c>
      <c r="P368" s="43">
        <f t="shared" si="66"/>
        <v>-0.34013437099999999</v>
      </c>
      <c r="Q368" s="43">
        <f t="shared" si="67"/>
        <v>-0.34013437099999999</v>
      </c>
      <c r="R368" s="43">
        <f t="shared" si="68"/>
        <v>0.11569139033556564</v>
      </c>
    </row>
    <row r="369" spans="1:18" ht="15.75" customHeight="1" x14ac:dyDescent="0.3">
      <c r="A369" s="47">
        <v>38351</v>
      </c>
      <c r="B369" s="48">
        <v>0</v>
      </c>
      <c r="C369" s="49">
        <v>0</v>
      </c>
      <c r="D369" s="10">
        <f t="shared" si="60"/>
        <v>-0.38980777739764078</v>
      </c>
      <c r="E369" s="10">
        <f t="shared" si="61"/>
        <v>-0.68571147540983624</v>
      </c>
      <c r="F369" s="10">
        <f t="shared" si="72"/>
        <v>0.15195010331968867</v>
      </c>
      <c r="G369" s="10">
        <f t="shared" si="72"/>
        <v>0.47020022750873447</v>
      </c>
      <c r="H369" s="11">
        <f t="shared" si="69"/>
        <v>0.26729566616556527</v>
      </c>
      <c r="I369" s="12">
        <f t="shared" si="70"/>
        <v>0</v>
      </c>
      <c r="J369" s="28">
        <f t="shared" si="71"/>
        <v>0</v>
      </c>
      <c r="K369" s="30">
        <f t="shared" si="62"/>
        <v>0</v>
      </c>
      <c r="L369" s="5"/>
      <c r="M369" s="30">
        <f t="shared" si="63"/>
        <v>0</v>
      </c>
      <c r="N369" s="42">
        <f t="shared" si="64"/>
        <v>0</v>
      </c>
      <c r="O369" s="43">
        <f t="shared" si="65"/>
        <v>0</v>
      </c>
      <c r="P369" s="43">
        <f t="shared" si="66"/>
        <v>-0.34013437099999999</v>
      </c>
      <c r="Q369" s="43">
        <f t="shared" si="67"/>
        <v>-0.34013437099999999</v>
      </c>
      <c r="R369" s="43">
        <f t="shared" si="68"/>
        <v>0.11569139033556564</v>
      </c>
    </row>
    <row r="370" spans="1:18" ht="15.75" customHeight="1" x14ac:dyDescent="0.3">
      <c r="A370" s="47">
        <v>38352</v>
      </c>
      <c r="B370" s="48">
        <v>0</v>
      </c>
      <c r="C370" s="49">
        <v>0</v>
      </c>
      <c r="D370" s="10">
        <f t="shared" si="60"/>
        <v>-0.38980777739764078</v>
      </c>
      <c r="E370" s="35">
        <f t="shared" si="61"/>
        <v>-0.68571147540983624</v>
      </c>
      <c r="F370" s="10">
        <f t="shared" si="72"/>
        <v>0.15195010331968867</v>
      </c>
      <c r="G370" s="10">
        <f t="shared" si="72"/>
        <v>0.47020022750873447</v>
      </c>
      <c r="H370" s="11">
        <f t="shared" si="69"/>
        <v>0.26729566616556527</v>
      </c>
      <c r="I370" s="12">
        <f t="shared" si="70"/>
        <v>0</v>
      </c>
      <c r="J370" s="28">
        <f t="shared" si="71"/>
        <v>0</v>
      </c>
      <c r="K370" s="30">
        <f t="shared" si="62"/>
        <v>0</v>
      </c>
      <c r="L370" s="41" t="s">
        <v>28</v>
      </c>
      <c r="M370" s="30">
        <f t="shared" si="63"/>
        <v>0</v>
      </c>
      <c r="N370" s="42">
        <f t="shared" si="64"/>
        <v>0</v>
      </c>
      <c r="O370" s="43">
        <f t="shared" si="65"/>
        <v>0</v>
      </c>
      <c r="P370" s="43">
        <f t="shared" si="66"/>
        <v>-0.34013437099999999</v>
      </c>
      <c r="Q370" s="43">
        <f>B370-0.340134371</f>
        <v>-0.34013437099999999</v>
      </c>
      <c r="R370" s="43">
        <f t="shared" si="68"/>
        <v>0.11569139033556564</v>
      </c>
    </row>
    <row r="371" spans="1:18" ht="15.75" customHeight="1" x14ac:dyDescent="0.3">
      <c r="A371" s="4"/>
      <c r="B371" s="48">
        <v>0</v>
      </c>
      <c r="D371" s="13"/>
      <c r="E371" s="36" t="s">
        <v>7</v>
      </c>
      <c r="F371" s="34">
        <f>SUM(F5:F370)</f>
        <v>967.56014811576813</v>
      </c>
      <c r="G371" s="23">
        <f>SUM(G5:G370)</f>
        <v>5390.7436297118647</v>
      </c>
      <c r="H371" s="23">
        <f>SUM(H5:H370)</f>
        <v>291.25019756729671</v>
      </c>
      <c r="I371" s="14" t="s">
        <v>7</v>
      </c>
      <c r="J371" s="29">
        <f>SUM(J5:J370)</f>
        <v>5808.080667268674</v>
      </c>
      <c r="K371" s="30">
        <f>SUM(K5:K370)</f>
        <v>108.69056124986109</v>
      </c>
      <c r="L371" s="26">
        <f>SUM(B5:B370)</f>
        <v>142.27983875013888</v>
      </c>
      <c r="M371" s="24"/>
      <c r="N371" s="44" t="s">
        <v>31</v>
      </c>
      <c r="O371" s="43">
        <f>SUM(O5:O370)</f>
        <v>5808.080667268674</v>
      </c>
      <c r="P371" s="38"/>
      <c r="Q371" s="45" t="s">
        <v>34</v>
      </c>
      <c r="R371" s="43">
        <f>SUM(R5:R370)</f>
        <v>968.4245076684283</v>
      </c>
    </row>
    <row r="372" spans="1:18" ht="15.75" customHeight="1" x14ac:dyDescent="0.3">
      <c r="A372" s="4"/>
      <c r="B372" s="24" t="s">
        <v>8</v>
      </c>
      <c r="C372" s="5"/>
      <c r="D372" s="5"/>
      <c r="E372" s="5"/>
      <c r="F372" s="5"/>
      <c r="G372" s="5"/>
      <c r="H372" s="5"/>
      <c r="I372" s="33" t="s">
        <v>9</v>
      </c>
      <c r="J372" s="33">
        <v>366</v>
      </c>
      <c r="K372" s="13"/>
      <c r="L372" s="5"/>
      <c r="M372" s="24"/>
      <c r="N372" s="44" t="s">
        <v>32</v>
      </c>
      <c r="O372" s="43">
        <f>AVERAGE(B5:B370)</f>
        <v>0.38980777739764078</v>
      </c>
      <c r="P372" s="39"/>
      <c r="Q372" s="39"/>
      <c r="R372" s="39"/>
    </row>
    <row r="373" spans="1:18" ht="15.75" customHeight="1" x14ac:dyDescent="0.3">
      <c r="A373" s="4"/>
      <c r="B373" s="5"/>
      <c r="C373" s="5"/>
      <c r="D373" s="5"/>
      <c r="E373" s="5"/>
      <c r="F373" s="5"/>
      <c r="G373" s="5"/>
      <c r="H373" s="5"/>
      <c r="I373" s="15" t="s">
        <v>10</v>
      </c>
      <c r="J373" s="16">
        <f>SQRT(J371/J372)</f>
        <v>3.983600489681391</v>
      </c>
      <c r="K373" s="5"/>
      <c r="L373" s="5"/>
      <c r="M373" s="40"/>
      <c r="N373" s="38"/>
      <c r="O373" s="39"/>
      <c r="P373" s="39"/>
      <c r="Q373" s="39"/>
      <c r="R373" s="39"/>
    </row>
    <row r="374" spans="1:18" ht="15.75" customHeight="1" x14ac:dyDescent="0.35">
      <c r="A374" s="4"/>
      <c r="B374" s="5"/>
      <c r="C374" s="8" t="s">
        <v>11</v>
      </c>
      <c r="D374" s="8" t="s">
        <v>12</v>
      </c>
      <c r="E374" s="5"/>
      <c r="F374" s="5"/>
      <c r="G374" s="5"/>
      <c r="H374" s="5"/>
      <c r="I374" s="15" t="s">
        <v>13</v>
      </c>
      <c r="J374" s="22">
        <f>SUM(I5:I370)/J372</f>
        <v>0.90621204474771111</v>
      </c>
      <c r="K374" s="5"/>
      <c r="L374" s="5"/>
      <c r="M374" s="40"/>
      <c r="N374" s="39"/>
      <c r="O374" s="44" t="s">
        <v>35</v>
      </c>
      <c r="P374" s="43">
        <f>O371/R371</f>
        <v>5.99745320495055</v>
      </c>
      <c r="Q374" s="39"/>
      <c r="R374" s="39"/>
    </row>
    <row r="375" spans="1:18" ht="15.75" customHeight="1" x14ac:dyDescent="0.3">
      <c r="A375" s="4"/>
      <c r="B375" s="32" t="s">
        <v>14</v>
      </c>
      <c r="C375" s="17">
        <f>AVERAGE(B5:B370)</f>
        <v>0.38980777739764078</v>
      </c>
      <c r="D375" s="17">
        <f>AVERAGE(C5:C370)</f>
        <v>0.68571147540983624</v>
      </c>
      <c r="E375" s="5"/>
      <c r="F375" s="5"/>
      <c r="G375" s="5"/>
      <c r="H375" s="5"/>
      <c r="I375" s="25" t="s">
        <v>15</v>
      </c>
      <c r="J375" s="25">
        <f>1/J372*J371</f>
        <v>15.869072861389819</v>
      </c>
      <c r="K375" s="5"/>
      <c r="L375" s="5"/>
      <c r="M375" s="6"/>
    </row>
    <row r="376" spans="1:18" ht="15.75" customHeight="1" x14ac:dyDescent="0.3">
      <c r="A376" s="4"/>
      <c r="B376" s="5"/>
      <c r="C376" s="5"/>
      <c r="D376" s="5"/>
      <c r="E376" s="5"/>
      <c r="F376" s="5"/>
      <c r="G376" s="5"/>
      <c r="H376" s="5"/>
      <c r="I376" s="26" t="s">
        <v>27</v>
      </c>
      <c r="J376" s="26">
        <f>K371/L371</f>
        <v>0.76392103199340322</v>
      </c>
      <c r="K376" s="5"/>
      <c r="L376" s="5"/>
      <c r="M376" s="6"/>
    </row>
    <row r="377" spans="1:18" ht="15.75" customHeight="1" x14ac:dyDescent="0.3">
      <c r="A377" s="4"/>
      <c r="B377" s="5" t="s">
        <v>16</v>
      </c>
      <c r="C377" s="5"/>
      <c r="D377" s="5"/>
      <c r="E377" s="5"/>
      <c r="F377" s="5"/>
      <c r="G377" s="5"/>
      <c r="H377" s="5"/>
      <c r="I377" s="37" t="s">
        <v>36</v>
      </c>
      <c r="J377" s="26">
        <f>1-P374</f>
        <v>-4.99745320495055</v>
      </c>
      <c r="K377" s="5"/>
      <c r="L377" s="5"/>
      <c r="M377" s="6"/>
    </row>
    <row r="378" spans="1:18" ht="15.75" customHeight="1" x14ac:dyDescent="0.35">
      <c r="A378" s="4"/>
      <c r="B378" s="5" t="s">
        <v>17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"/>
    </row>
    <row r="379" spans="1:18" ht="15.75" customHeight="1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</row>
    <row r="380" spans="1:18" ht="15.75" customHeight="1" x14ac:dyDescent="0.3">
      <c r="A380" s="4"/>
      <c r="B380" s="57" t="s">
        <v>18</v>
      </c>
      <c r="C380" s="58"/>
      <c r="D380" s="59">
        <f>H371/SQRT((G371*F371))</f>
        <v>0.12752722317172099</v>
      </c>
      <c r="E380" s="60"/>
      <c r="F380" s="60"/>
      <c r="G380" s="60"/>
      <c r="H380" s="61"/>
      <c r="I380" s="5"/>
      <c r="J380" s="5"/>
      <c r="K380" s="5"/>
      <c r="L380" s="5"/>
      <c r="M380" s="6"/>
    </row>
    <row r="381" spans="1:18" ht="15.75" customHeight="1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</row>
    <row r="382" spans="1:18" ht="15.75" customHeight="1" x14ac:dyDescent="0.3">
      <c r="A382" s="4"/>
      <c r="B382" s="5" t="s">
        <v>19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"/>
    </row>
    <row r="383" spans="1:18" ht="15.75" customHeight="1" x14ac:dyDescent="0.3">
      <c r="A383" s="4"/>
      <c r="B383" s="5" t="s">
        <v>20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</row>
    <row r="384" spans="1:18" ht="15.75" customHeight="1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"/>
    </row>
    <row r="385" spans="1:13" ht="15.75" customHeight="1" x14ac:dyDescent="0.3">
      <c r="A385" s="4"/>
      <c r="B385" s="57" t="s">
        <v>21</v>
      </c>
      <c r="C385" s="58"/>
      <c r="D385" s="18">
        <f>D380^2</f>
        <v>1.6263192649889933E-2</v>
      </c>
      <c r="E385" s="5"/>
      <c r="F385" s="5"/>
      <c r="G385" s="5"/>
      <c r="H385" s="5"/>
      <c r="I385" s="5"/>
      <c r="J385" s="5"/>
      <c r="K385" s="5"/>
      <c r="L385" s="5"/>
      <c r="M385" s="6"/>
    </row>
    <row r="386" spans="1:13" ht="15.75" customHeight="1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"/>
    </row>
    <row r="387" spans="1:13" ht="15.75" customHeight="1" thickBot="1" x14ac:dyDescent="0.35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</row>
    <row r="388" spans="1:13" ht="15.75" customHeight="1" x14ac:dyDescent="0.3"/>
    <row r="389" spans="1:13" ht="15.75" customHeight="1" x14ac:dyDescent="0.3"/>
    <row r="390" spans="1:13" ht="15.75" customHeight="1" x14ac:dyDescent="0.3"/>
    <row r="391" spans="1:13" ht="15.75" customHeight="1" x14ac:dyDescent="0.3"/>
    <row r="392" spans="1:13" ht="15.75" customHeight="1" x14ac:dyDescent="0.3"/>
    <row r="393" spans="1:13" ht="15.75" customHeight="1" x14ac:dyDescent="0.3"/>
    <row r="394" spans="1:13" ht="15.75" customHeight="1" x14ac:dyDescent="0.3"/>
    <row r="395" spans="1:13" ht="15.75" customHeight="1" x14ac:dyDescent="0.3"/>
    <row r="396" spans="1:13" ht="15.75" customHeight="1" x14ac:dyDescent="0.3"/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</sheetData>
  <mergeCells count="4">
    <mergeCell ref="D1:I2"/>
    <mergeCell ref="B380:C380"/>
    <mergeCell ref="D380:H380"/>
    <mergeCell ref="B385:C38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0E14-AB00-4B05-A3C8-22AA62176CB0}">
  <dimension ref="A1:R408"/>
  <sheetViews>
    <sheetView tabSelected="1" topLeftCell="A108" workbookViewId="0">
      <selection activeCell="F6" sqref="F6"/>
    </sheetView>
  </sheetViews>
  <sheetFormatPr defaultColWidth="14.33203125" defaultRowHeight="14.4" x14ac:dyDescent="0.3"/>
  <cols>
    <col min="1" max="1" width="15" customWidth="1"/>
    <col min="2" max="2" width="15.6640625" customWidth="1"/>
    <col min="3" max="3" width="19.109375" customWidth="1"/>
    <col min="4" max="4" width="14" customWidth="1"/>
    <col min="5" max="5" width="18.21875" customWidth="1"/>
    <col min="6" max="6" width="18" customWidth="1"/>
    <col min="7" max="7" width="15.33203125" customWidth="1"/>
    <col min="8" max="8" width="14.77734375" customWidth="1"/>
    <col min="9" max="9" width="17.6640625" customWidth="1"/>
    <col min="10" max="10" width="23.33203125" customWidth="1"/>
    <col min="11" max="11" width="14.77734375" customWidth="1"/>
    <col min="12" max="12" width="14.109375" customWidth="1"/>
    <col min="13" max="13" width="18.21875" customWidth="1"/>
  </cols>
  <sheetData>
    <row r="1" spans="1:18" x14ac:dyDescent="0.3">
      <c r="A1" s="1"/>
      <c r="B1" s="2"/>
      <c r="C1" s="2"/>
      <c r="D1" s="51" t="s">
        <v>43</v>
      </c>
      <c r="E1" s="52"/>
      <c r="F1" s="52"/>
      <c r="G1" s="52"/>
      <c r="H1" s="52"/>
      <c r="I1" s="53"/>
      <c r="J1" s="2"/>
      <c r="K1" s="2"/>
      <c r="L1" s="2"/>
      <c r="M1" s="3"/>
    </row>
    <row r="2" spans="1:18" ht="15" thickBot="1" x14ac:dyDescent="0.35">
      <c r="A2" s="4"/>
      <c r="B2" s="5"/>
      <c r="C2" s="5"/>
      <c r="D2" s="54"/>
      <c r="E2" s="55"/>
      <c r="F2" s="55"/>
      <c r="G2" s="55"/>
      <c r="H2" s="55"/>
      <c r="I2" s="56"/>
      <c r="J2" s="5"/>
      <c r="K2" s="5"/>
      <c r="L2" s="5"/>
      <c r="M2" s="6"/>
    </row>
    <row r="3" spans="1:18" x14ac:dyDescent="0.3">
      <c r="A3" s="4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8" ht="16.8" x14ac:dyDescent="0.35">
      <c r="A4" s="7" t="s">
        <v>22</v>
      </c>
      <c r="B4" s="8" t="s">
        <v>23</v>
      </c>
      <c r="C4" s="8" t="s">
        <v>42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9" t="s">
        <v>5</v>
      </c>
      <c r="J4" s="27" t="s">
        <v>6</v>
      </c>
      <c r="K4" s="31" t="s">
        <v>26</v>
      </c>
      <c r="L4" s="5"/>
      <c r="M4" s="46" t="s">
        <v>29</v>
      </c>
      <c r="N4" s="46" t="s">
        <v>29</v>
      </c>
      <c r="O4" s="46" t="s">
        <v>30</v>
      </c>
      <c r="P4" s="46" t="s">
        <v>37</v>
      </c>
      <c r="Q4" s="46" t="s">
        <v>37</v>
      </c>
      <c r="R4" s="46" t="s">
        <v>33</v>
      </c>
    </row>
    <row r="5" spans="1:18" x14ac:dyDescent="0.3">
      <c r="A5" s="47">
        <v>37987</v>
      </c>
      <c r="B5" s="48">
        <v>0</v>
      </c>
      <c r="C5" s="50">
        <v>0</v>
      </c>
      <c r="D5" s="10">
        <f t="shared" ref="D5:D68" si="0">B5-$C$375</f>
        <v>-0.38980777739764078</v>
      </c>
      <c r="E5" s="10">
        <f t="shared" ref="E5:E68" si="1">C5-$D$375</f>
        <v>-0.48607599697214554</v>
      </c>
      <c r="F5" s="10">
        <f t="shared" ref="F5:G20" si="2">D5^2</f>
        <v>0.15195010331968867</v>
      </c>
      <c r="G5" s="10">
        <f t="shared" si="2"/>
        <v>0.23626987483246525</v>
      </c>
      <c r="H5" s="11">
        <f t="shared" ref="H5:H202" si="3">D5*E5</f>
        <v>0.18947620402605442</v>
      </c>
      <c r="I5" s="12">
        <f t="shared" ref="I5:I202" si="4">ABS(C5-B5)</f>
        <v>0</v>
      </c>
      <c r="J5" s="28">
        <f t="shared" ref="J5:J202" si="5">I5^2</f>
        <v>0</v>
      </c>
      <c r="K5" s="30">
        <f>C5-B5</f>
        <v>0</v>
      </c>
      <c r="L5" s="5"/>
      <c r="M5" s="30">
        <f>B5-C5</f>
        <v>0</v>
      </c>
      <c r="N5" s="42">
        <f>B5-C5</f>
        <v>0</v>
      </c>
      <c r="O5" s="43">
        <f>M5*N5</f>
        <v>0</v>
      </c>
      <c r="P5" s="43">
        <f>B5-0.340134371</f>
        <v>-0.34013437099999999</v>
      </c>
      <c r="Q5" s="43">
        <f>B5-0.340134371</f>
        <v>-0.34013437099999999</v>
      </c>
      <c r="R5" s="43">
        <f>P5*Q5</f>
        <v>0.11569139033556564</v>
      </c>
    </row>
    <row r="6" spans="1:18" x14ac:dyDescent="0.3">
      <c r="A6" s="47">
        <v>37988</v>
      </c>
      <c r="B6" s="48">
        <v>0</v>
      </c>
      <c r="C6" s="50">
        <v>0</v>
      </c>
      <c r="D6" s="10">
        <f t="shared" si="0"/>
        <v>-0.38980777739764078</v>
      </c>
      <c r="E6" s="10">
        <f t="shared" si="1"/>
        <v>-0.48607599697214554</v>
      </c>
      <c r="F6" s="10">
        <f t="shared" si="2"/>
        <v>0.15195010331968867</v>
      </c>
      <c r="G6" s="10">
        <f t="shared" si="2"/>
        <v>0.23626987483246525</v>
      </c>
      <c r="H6" s="11">
        <f t="shared" si="3"/>
        <v>0.18947620402605442</v>
      </c>
      <c r="I6" s="12">
        <f t="shared" si="4"/>
        <v>0</v>
      </c>
      <c r="J6" s="28">
        <f t="shared" si="5"/>
        <v>0</v>
      </c>
      <c r="K6" s="30">
        <f t="shared" ref="K6:K69" si="6">C6-B6</f>
        <v>0</v>
      </c>
      <c r="L6" s="5"/>
      <c r="M6" s="30">
        <f t="shared" ref="M6:M69" si="7">B6-C6</f>
        <v>0</v>
      </c>
      <c r="N6" s="42">
        <f t="shared" ref="N6:N69" si="8">B6-C6</f>
        <v>0</v>
      </c>
      <c r="O6" s="43">
        <f t="shared" ref="O6:O69" si="9">M6*N6</f>
        <v>0</v>
      </c>
      <c r="P6" s="43">
        <f t="shared" ref="P6:P69" si="10">B6-0.340134371</f>
        <v>-0.34013437099999999</v>
      </c>
      <c r="Q6" s="43">
        <f t="shared" ref="Q6:Q69" si="11">B6-0.340134371</f>
        <v>-0.34013437099999999</v>
      </c>
      <c r="R6" s="43">
        <f t="shared" ref="R6:R69" si="12">P6*Q6</f>
        <v>0.11569139033556564</v>
      </c>
    </row>
    <row r="7" spans="1:18" x14ac:dyDescent="0.3">
      <c r="A7" s="47">
        <v>37989</v>
      </c>
      <c r="B7" s="48">
        <v>0</v>
      </c>
      <c r="C7" s="50">
        <v>8.7033363524824381E-4</v>
      </c>
      <c r="D7" s="10">
        <f t="shared" si="0"/>
        <v>-0.38980777739764078</v>
      </c>
      <c r="E7" s="10">
        <f t="shared" si="1"/>
        <v>-0.4852056633368973</v>
      </c>
      <c r="F7" s="10">
        <f t="shared" si="2"/>
        <v>0.15195010331968867</v>
      </c>
      <c r="G7" s="10">
        <f t="shared" si="2"/>
        <v>0.23542453573419853</v>
      </c>
      <c r="H7" s="11">
        <f t="shared" si="3"/>
        <v>0.18913694120610389</v>
      </c>
      <c r="I7" s="12">
        <f t="shared" si="4"/>
        <v>8.7033363524824381E-4</v>
      </c>
      <c r="J7" s="28">
        <f t="shared" si="5"/>
        <v>7.574806366444231E-7</v>
      </c>
      <c r="K7" s="30">
        <f t="shared" si="6"/>
        <v>8.7033363524824381E-4</v>
      </c>
      <c r="L7" s="5"/>
      <c r="M7" s="30">
        <f t="shared" si="7"/>
        <v>-8.7033363524824381E-4</v>
      </c>
      <c r="N7" s="42">
        <f t="shared" si="8"/>
        <v>-8.7033363524824381E-4</v>
      </c>
      <c r="O7" s="43">
        <f t="shared" si="9"/>
        <v>7.574806366444231E-7</v>
      </c>
      <c r="P7" s="43">
        <f t="shared" si="10"/>
        <v>-0.34013437099999999</v>
      </c>
      <c r="Q7" s="43">
        <f t="shared" si="11"/>
        <v>-0.34013437099999999</v>
      </c>
      <c r="R7" s="43">
        <f t="shared" si="12"/>
        <v>0.11569139033556564</v>
      </c>
    </row>
    <row r="8" spans="1:18" x14ac:dyDescent="0.3">
      <c r="A8" s="47">
        <v>37990</v>
      </c>
      <c r="B8" s="48">
        <v>0</v>
      </c>
      <c r="C8" s="50">
        <v>3.3434480428695679E-7</v>
      </c>
      <c r="D8" s="10">
        <f t="shared" si="0"/>
        <v>-0.38980777739764078</v>
      </c>
      <c r="E8" s="10">
        <f t="shared" si="1"/>
        <v>-0.48607566262734125</v>
      </c>
      <c r="F8" s="10">
        <f t="shared" si="2"/>
        <v>0.15195010331968867</v>
      </c>
      <c r="G8" s="10">
        <f t="shared" si="2"/>
        <v>0.23626954979860887</v>
      </c>
      <c r="H8" s="11">
        <f t="shared" si="3"/>
        <v>0.18947607369584937</v>
      </c>
      <c r="I8" s="12">
        <f t="shared" si="4"/>
        <v>3.3434480428695679E-7</v>
      </c>
      <c r="J8" s="28">
        <f t="shared" si="5"/>
        <v>1.1178644815368344E-13</v>
      </c>
      <c r="K8" s="30">
        <f t="shared" si="6"/>
        <v>3.3434480428695679E-7</v>
      </c>
      <c r="L8" s="5"/>
      <c r="M8" s="30">
        <f t="shared" si="7"/>
        <v>-3.3434480428695679E-7</v>
      </c>
      <c r="N8" s="42">
        <f t="shared" si="8"/>
        <v>-3.3434480428695679E-7</v>
      </c>
      <c r="O8" s="43">
        <f t="shared" si="9"/>
        <v>1.1178644815368344E-13</v>
      </c>
      <c r="P8" s="43">
        <f t="shared" si="10"/>
        <v>-0.34013437099999999</v>
      </c>
      <c r="Q8" s="43">
        <f t="shared" si="11"/>
        <v>-0.34013437099999999</v>
      </c>
      <c r="R8" s="43">
        <f t="shared" si="12"/>
        <v>0.11569139033556564</v>
      </c>
    </row>
    <row r="9" spans="1:18" x14ac:dyDescent="0.3">
      <c r="A9" s="47">
        <v>37991</v>
      </c>
      <c r="B9" s="48">
        <v>0.37375363707542419</v>
      </c>
      <c r="C9" s="50">
        <v>0</v>
      </c>
      <c r="D9" s="10">
        <f t="shared" si="0"/>
        <v>-1.6054140322216581E-2</v>
      </c>
      <c r="E9" s="10">
        <f t="shared" si="1"/>
        <v>-0.48607599697214554</v>
      </c>
      <c r="F9" s="10">
        <f t="shared" si="2"/>
        <v>2.5773542148542033E-4</v>
      </c>
      <c r="G9" s="10">
        <f t="shared" si="2"/>
        <v>0.23626987483246525</v>
      </c>
      <c r="H9" s="11">
        <f t="shared" si="3"/>
        <v>7.8035322626521467E-3</v>
      </c>
      <c r="I9" s="12">
        <f t="shared" si="4"/>
        <v>0.37375363707542419</v>
      </c>
      <c r="J9" s="28">
        <f t="shared" si="5"/>
        <v>0.1396917812271079</v>
      </c>
      <c r="K9" s="30">
        <f t="shared" si="6"/>
        <v>-0.37375363707542419</v>
      </c>
      <c r="L9" s="5"/>
      <c r="M9" s="30">
        <f t="shared" si="7"/>
        <v>0.37375363707542419</v>
      </c>
      <c r="N9" s="42">
        <f t="shared" si="8"/>
        <v>0.37375363707542419</v>
      </c>
      <c r="O9" s="43">
        <f t="shared" si="9"/>
        <v>0.1396917812271079</v>
      </c>
      <c r="P9" s="43">
        <f t="shared" si="10"/>
        <v>3.3619266075424203E-2</v>
      </c>
      <c r="Q9" s="43">
        <f t="shared" si="11"/>
        <v>3.3619266075424203E-2</v>
      </c>
      <c r="R9" s="43">
        <f t="shared" si="12"/>
        <v>1.1302550514501687E-3</v>
      </c>
    </row>
    <row r="10" spans="1:18" x14ac:dyDescent="0.3">
      <c r="A10" s="47">
        <v>37992</v>
      </c>
      <c r="B10" s="48">
        <v>2.794851541519165</v>
      </c>
      <c r="C10" s="50">
        <v>1.2678993940353394</v>
      </c>
      <c r="D10" s="10">
        <f>B10-$C$375</f>
        <v>2.4050437641215243</v>
      </c>
      <c r="E10" s="10">
        <f t="shared" si="1"/>
        <v>0.78182339706319381</v>
      </c>
      <c r="F10" s="10">
        <f t="shared" si="2"/>
        <v>5.7842355073398304</v>
      </c>
      <c r="G10" s="10">
        <f t="shared" si="2"/>
        <v>0.61124782419543244</v>
      </c>
      <c r="H10" s="11">
        <f t="shared" si="3"/>
        <v>1.8803194857511407</v>
      </c>
      <c r="I10" s="12">
        <f t="shared" si="4"/>
        <v>1.5269521474838257</v>
      </c>
      <c r="J10" s="28">
        <f t="shared" si="5"/>
        <v>2.3315828607054669</v>
      </c>
      <c r="K10" s="30">
        <f t="shared" si="6"/>
        <v>-1.5269521474838257</v>
      </c>
      <c r="L10" s="5"/>
      <c r="M10" s="30">
        <f t="shared" si="7"/>
        <v>1.5269521474838257</v>
      </c>
      <c r="N10" s="42">
        <f t="shared" si="8"/>
        <v>1.5269521474838257</v>
      </c>
      <c r="O10" s="43">
        <f t="shared" si="9"/>
        <v>2.3315828607054669</v>
      </c>
      <c r="P10" s="43">
        <f t="shared" si="10"/>
        <v>2.454717170519165</v>
      </c>
      <c r="Q10" s="43">
        <f t="shared" si="11"/>
        <v>2.454717170519165</v>
      </c>
      <c r="R10" s="43">
        <f t="shared" si="12"/>
        <v>6.0256363872416152</v>
      </c>
    </row>
    <row r="11" spans="1:18" x14ac:dyDescent="0.3">
      <c r="A11" s="47">
        <v>37993</v>
      </c>
      <c r="B11" s="48">
        <v>3.1939265727996826</v>
      </c>
      <c r="C11" s="50">
        <v>0.21667450666427612</v>
      </c>
      <c r="D11" s="10">
        <f>B11-$C$375</f>
        <v>2.8041187954020419</v>
      </c>
      <c r="E11" s="10">
        <f t="shared" si="1"/>
        <v>-0.26940149030786942</v>
      </c>
      <c r="F11" s="10">
        <f t="shared" si="2"/>
        <v>7.8630822187269986</v>
      </c>
      <c r="G11" s="10">
        <f>E11^2</f>
        <v>7.2577162980101056E-2</v>
      </c>
      <c r="H11" s="11">
        <f>D11*E11</f>
        <v>-0.75543378248161763</v>
      </c>
      <c r="I11" s="12">
        <f t="shared" si="4"/>
        <v>2.9772520661354065</v>
      </c>
      <c r="J11" s="28">
        <f t="shared" si="5"/>
        <v>8.8640298653075469</v>
      </c>
      <c r="K11" s="30">
        <f t="shared" si="6"/>
        <v>-2.9772520661354065</v>
      </c>
      <c r="L11" s="5"/>
      <c r="M11" s="30">
        <f t="shared" si="7"/>
        <v>2.9772520661354065</v>
      </c>
      <c r="N11" s="42">
        <f t="shared" si="8"/>
        <v>2.9772520661354065</v>
      </c>
      <c r="O11" s="43">
        <f t="shared" si="9"/>
        <v>8.8640298653075469</v>
      </c>
      <c r="P11" s="43">
        <f t="shared" si="10"/>
        <v>2.8537922017996826</v>
      </c>
      <c r="Q11" s="43">
        <f t="shared" si="11"/>
        <v>2.8537922017996826</v>
      </c>
      <c r="R11" s="43">
        <f t="shared" si="12"/>
        <v>8.1441299310526798</v>
      </c>
    </row>
    <row r="12" spans="1:18" x14ac:dyDescent="0.3">
      <c r="A12" s="47">
        <v>37994</v>
      </c>
      <c r="B12" s="48">
        <v>2.9983377456665039</v>
      </c>
      <c r="C12" s="50">
        <v>1.8046081066131592E-2</v>
      </c>
      <c r="D12" s="10">
        <f t="shared" si="0"/>
        <v>2.6085299682688632</v>
      </c>
      <c r="E12" s="10">
        <f t="shared" si="1"/>
        <v>-0.46802991590601395</v>
      </c>
      <c r="F12" s="10">
        <f t="shared" si="2"/>
        <v>6.8044285953567565</v>
      </c>
      <c r="G12" s="10">
        <f t="shared" si="2"/>
        <v>0.21905200218299048</v>
      </c>
      <c r="H12" s="11">
        <f t="shared" si="3"/>
        <v>-1.2208700616871933</v>
      </c>
      <c r="I12" s="12">
        <f t="shared" si="4"/>
        <v>2.9802916646003723</v>
      </c>
      <c r="J12" s="28">
        <f t="shared" si="5"/>
        <v>8.8821384060864581</v>
      </c>
      <c r="K12" s="30">
        <f t="shared" si="6"/>
        <v>-2.9802916646003723</v>
      </c>
      <c r="L12" s="5"/>
      <c r="M12" s="30">
        <f t="shared" si="7"/>
        <v>2.9802916646003723</v>
      </c>
      <c r="N12" s="42">
        <f t="shared" si="8"/>
        <v>2.9802916646003723</v>
      </c>
      <c r="O12" s="43">
        <f t="shared" si="9"/>
        <v>8.8821384060864581</v>
      </c>
      <c r="P12" s="43">
        <f t="shared" si="10"/>
        <v>2.6582033746665039</v>
      </c>
      <c r="Q12" s="43">
        <f t="shared" si="11"/>
        <v>2.6582033746665039</v>
      </c>
      <c r="R12" s="43">
        <f t="shared" si="12"/>
        <v>7.0660451810883895</v>
      </c>
    </row>
    <row r="13" spans="1:18" x14ac:dyDescent="0.3">
      <c r="A13" s="47">
        <v>37995</v>
      </c>
      <c r="B13" s="48">
        <v>1.9908638000488281</v>
      </c>
      <c r="C13" s="50">
        <v>2.2060794830322266</v>
      </c>
      <c r="D13" s="10">
        <f t="shared" si="0"/>
        <v>1.6010560226511874</v>
      </c>
      <c r="E13" s="10">
        <f t="shared" si="1"/>
        <v>1.720003486060081</v>
      </c>
      <c r="F13" s="10">
        <f t="shared" si="2"/>
        <v>2.5633803876676393</v>
      </c>
      <c r="G13" s="10">
        <f t="shared" si="2"/>
        <v>2.9584119920588314</v>
      </c>
      <c r="H13" s="11">
        <f t="shared" si="3"/>
        <v>2.7538219403375304</v>
      </c>
      <c r="I13" s="12">
        <f t="shared" si="4"/>
        <v>0.21521568298339844</v>
      </c>
      <c r="J13" s="28">
        <f t="shared" si="5"/>
        <v>4.6317790202010656E-2</v>
      </c>
      <c r="K13" s="30">
        <f t="shared" si="6"/>
        <v>0.21521568298339844</v>
      </c>
      <c r="L13" s="5"/>
      <c r="M13" s="30">
        <f t="shared" si="7"/>
        <v>-0.21521568298339844</v>
      </c>
      <c r="N13" s="42">
        <f t="shared" si="8"/>
        <v>-0.21521568298339844</v>
      </c>
      <c r="O13" s="43">
        <f t="shared" si="9"/>
        <v>4.6317790202010656E-2</v>
      </c>
      <c r="P13" s="43">
        <f t="shared" si="10"/>
        <v>1.6507294290488281</v>
      </c>
      <c r="Q13" s="43">
        <f t="shared" si="11"/>
        <v>1.6507294290488281</v>
      </c>
      <c r="R13" s="43">
        <f t="shared" si="12"/>
        <v>2.72490764792787</v>
      </c>
    </row>
    <row r="14" spans="1:18" x14ac:dyDescent="0.3">
      <c r="A14" s="47">
        <v>37996</v>
      </c>
      <c r="B14" s="48">
        <v>0</v>
      </c>
      <c r="C14" s="50">
        <v>0.92605435848236084</v>
      </c>
      <c r="D14" s="10">
        <f t="shared" si="0"/>
        <v>-0.38980777739764078</v>
      </c>
      <c r="E14" s="10">
        <f t="shared" si="1"/>
        <v>0.4399783615102153</v>
      </c>
      <c r="F14" s="10">
        <f t="shared" si="2"/>
        <v>0.15195010331968867</v>
      </c>
      <c r="G14" s="10">
        <f t="shared" si="2"/>
        <v>0.19358095859721369</v>
      </c>
      <c r="H14" s="11">
        <f t="shared" si="3"/>
        <v>-0.17150698720335272</v>
      </c>
      <c r="I14" s="12">
        <f t="shared" si="4"/>
        <v>0.92605435848236084</v>
      </c>
      <c r="J14" s="28">
        <f t="shared" si="5"/>
        <v>0.85757667486417688</v>
      </c>
      <c r="K14" s="30">
        <f t="shared" si="6"/>
        <v>0.92605435848236084</v>
      </c>
      <c r="L14" s="5"/>
      <c r="M14" s="30">
        <f t="shared" si="7"/>
        <v>-0.92605435848236084</v>
      </c>
      <c r="N14" s="42">
        <f t="shared" si="8"/>
        <v>-0.92605435848236084</v>
      </c>
      <c r="O14" s="43">
        <f t="shared" si="9"/>
        <v>0.85757667486417688</v>
      </c>
      <c r="P14" s="43">
        <f t="shared" si="10"/>
        <v>-0.34013437099999999</v>
      </c>
      <c r="Q14" s="43">
        <f t="shared" si="11"/>
        <v>-0.34013437099999999</v>
      </c>
      <c r="R14" s="43">
        <f t="shared" si="12"/>
        <v>0.11569139033556564</v>
      </c>
    </row>
    <row r="15" spans="1:18" x14ac:dyDescent="0.3">
      <c r="A15" s="47">
        <v>37997</v>
      </c>
      <c r="B15" s="48">
        <v>2.6243629455566406</v>
      </c>
      <c r="C15" s="50">
        <v>4.4533696174621582</v>
      </c>
      <c r="D15" s="10">
        <f t="shared" si="0"/>
        <v>2.2345551681589999</v>
      </c>
      <c r="E15" s="10">
        <f t="shared" si="1"/>
        <v>3.9672936204900129</v>
      </c>
      <c r="F15" s="10">
        <f t="shared" si="2"/>
        <v>4.9932367995460964</v>
      </c>
      <c r="G15" s="10">
        <f t="shared" si="2"/>
        <v>15.739418671180754</v>
      </c>
      <c r="H15" s="11">
        <f t="shared" si="3"/>
        <v>8.8651364632701881</v>
      </c>
      <c r="I15" s="12">
        <f t="shared" si="4"/>
        <v>1.8290066719055176</v>
      </c>
      <c r="J15" s="28">
        <f t="shared" si="5"/>
        <v>3.3452654058748976</v>
      </c>
      <c r="K15" s="30">
        <f t="shared" si="6"/>
        <v>1.8290066719055176</v>
      </c>
      <c r="L15" s="5"/>
      <c r="M15" s="30">
        <f t="shared" si="7"/>
        <v>-1.8290066719055176</v>
      </c>
      <c r="N15" s="42">
        <f t="shared" si="8"/>
        <v>-1.8290066719055176</v>
      </c>
      <c r="O15" s="43">
        <f t="shared" si="9"/>
        <v>3.3452654058748976</v>
      </c>
      <c r="P15" s="43">
        <f t="shared" si="10"/>
        <v>2.2842285745566406</v>
      </c>
      <c r="Q15" s="43">
        <f t="shared" si="11"/>
        <v>2.2842285745566406</v>
      </c>
      <c r="R15" s="43">
        <f t="shared" si="12"/>
        <v>5.2177001808210628</v>
      </c>
    </row>
    <row r="16" spans="1:18" x14ac:dyDescent="0.3">
      <c r="A16" s="47">
        <v>37998</v>
      </c>
      <c r="B16" s="48">
        <v>7.5829873085021973</v>
      </c>
      <c r="C16" s="50">
        <v>5.1236238479614258</v>
      </c>
      <c r="D16" s="10">
        <f t="shared" si="0"/>
        <v>7.1931795311045565</v>
      </c>
      <c r="E16" s="10">
        <f t="shared" si="1"/>
        <v>4.6375478509892805</v>
      </c>
      <c r="F16" s="10">
        <f t="shared" si="2"/>
        <v>51.741831766701566</v>
      </c>
      <c r="G16" s="10">
        <f t="shared" si="2"/>
        <v>21.506850070215293</v>
      </c>
      <c r="H16" s="11">
        <f t="shared" si="3"/>
        <v>33.35871427625402</v>
      </c>
      <c r="I16" s="12">
        <f t="shared" si="4"/>
        <v>2.4593634605407715</v>
      </c>
      <c r="J16" s="28">
        <f t="shared" si="5"/>
        <v>6.0484686310430789</v>
      </c>
      <c r="K16" s="30">
        <f t="shared" si="6"/>
        <v>-2.4593634605407715</v>
      </c>
      <c r="L16" s="5"/>
      <c r="M16" s="30">
        <f t="shared" si="7"/>
        <v>2.4593634605407715</v>
      </c>
      <c r="N16" s="42">
        <f t="shared" si="8"/>
        <v>2.4593634605407715</v>
      </c>
      <c r="O16" s="43">
        <f t="shared" si="9"/>
        <v>6.0484686310430789</v>
      </c>
      <c r="P16" s="43">
        <f t="shared" si="10"/>
        <v>7.2428529375021977</v>
      </c>
      <c r="Q16" s="43">
        <f t="shared" si="11"/>
        <v>7.2428529375021977</v>
      </c>
      <c r="R16" s="43">
        <f t="shared" si="12"/>
        <v>52.458918674284213</v>
      </c>
    </row>
    <row r="17" spans="1:18" x14ac:dyDescent="0.3">
      <c r="A17" s="47">
        <v>37999</v>
      </c>
      <c r="B17" s="48">
        <v>13.223211288452148</v>
      </c>
      <c r="C17" s="50">
        <v>17.70557975769043</v>
      </c>
      <c r="D17" s="10">
        <f t="shared" si="0"/>
        <v>12.833403511054508</v>
      </c>
      <c r="E17" s="10">
        <f t="shared" si="1"/>
        <v>17.219503760718283</v>
      </c>
      <c r="F17" s="10">
        <f t="shared" si="2"/>
        <v>164.69624567754616</v>
      </c>
      <c r="G17" s="10">
        <f t="shared" si="2"/>
        <v>296.5113097653911</v>
      </c>
      <c r="H17" s="11">
        <f t="shared" si="3"/>
        <v>220.98484002141831</v>
      </c>
      <c r="I17" s="12">
        <f t="shared" si="4"/>
        <v>4.4823684692382813</v>
      </c>
      <c r="J17" s="28">
        <f t="shared" si="5"/>
        <v>20.091627094021533</v>
      </c>
      <c r="K17" s="30">
        <f t="shared" si="6"/>
        <v>4.4823684692382813</v>
      </c>
      <c r="L17" s="5"/>
      <c r="M17" s="30">
        <f t="shared" si="7"/>
        <v>-4.4823684692382813</v>
      </c>
      <c r="N17" s="42">
        <f t="shared" si="8"/>
        <v>-4.4823684692382813</v>
      </c>
      <c r="O17" s="43">
        <f t="shared" si="9"/>
        <v>20.091627094021533</v>
      </c>
      <c r="P17" s="43">
        <f t="shared" si="10"/>
        <v>12.883076917452149</v>
      </c>
      <c r="Q17" s="43">
        <f t="shared" si="11"/>
        <v>12.883076917452149</v>
      </c>
      <c r="R17" s="43">
        <f t="shared" si="12"/>
        <v>165.97367086098836</v>
      </c>
    </row>
    <row r="18" spans="1:18" x14ac:dyDescent="0.3">
      <c r="A18" s="47">
        <v>38000</v>
      </c>
      <c r="B18" s="48">
        <v>0</v>
      </c>
      <c r="C18" s="50">
        <v>2.2469567134976387E-2</v>
      </c>
      <c r="D18" s="10">
        <f t="shared" si="0"/>
        <v>-0.38980777739764078</v>
      </c>
      <c r="E18" s="10">
        <f t="shared" si="1"/>
        <v>-0.46360642983716915</v>
      </c>
      <c r="F18" s="10">
        <f t="shared" si="2"/>
        <v>0.15195010331968867</v>
      </c>
      <c r="G18" s="10">
        <f t="shared" si="2"/>
        <v>0.21493092178636605</v>
      </c>
      <c r="H18" s="11">
        <f t="shared" si="3"/>
        <v>0.1807173920020822</v>
      </c>
      <c r="I18" s="12">
        <f t="shared" si="4"/>
        <v>2.2469567134976387E-2</v>
      </c>
      <c r="J18" s="28">
        <f t="shared" si="5"/>
        <v>5.0488144723321096E-4</v>
      </c>
      <c r="K18" s="30">
        <f t="shared" si="6"/>
        <v>2.2469567134976387E-2</v>
      </c>
      <c r="L18" s="5"/>
      <c r="M18" s="30">
        <f t="shared" si="7"/>
        <v>-2.2469567134976387E-2</v>
      </c>
      <c r="N18" s="42">
        <f t="shared" si="8"/>
        <v>-2.2469567134976387E-2</v>
      </c>
      <c r="O18" s="43">
        <f t="shared" si="9"/>
        <v>5.0488144723321096E-4</v>
      </c>
      <c r="P18" s="43">
        <f t="shared" si="10"/>
        <v>-0.34013437099999999</v>
      </c>
      <c r="Q18" s="43">
        <f t="shared" si="11"/>
        <v>-0.34013437099999999</v>
      </c>
      <c r="R18" s="43">
        <f t="shared" si="12"/>
        <v>0.11569139033556564</v>
      </c>
    </row>
    <row r="19" spans="1:18" x14ac:dyDescent="0.3">
      <c r="A19" s="47">
        <v>38001</v>
      </c>
      <c r="B19" s="48">
        <v>0</v>
      </c>
      <c r="C19" s="50">
        <v>5.0661258399486542E-2</v>
      </c>
      <c r="D19" s="10">
        <f t="shared" si="0"/>
        <v>-0.38980777739764078</v>
      </c>
      <c r="E19" s="10">
        <f t="shared" si="1"/>
        <v>-0.435414738572659</v>
      </c>
      <c r="F19" s="10">
        <f t="shared" si="2"/>
        <v>0.15195010331968867</v>
      </c>
      <c r="G19" s="10">
        <f t="shared" si="2"/>
        <v>0.18958599456629699</v>
      </c>
      <c r="H19" s="11">
        <f t="shared" si="3"/>
        <v>0.16972805148918302</v>
      </c>
      <c r="I19" s="12">
        <f t="shared" si="4"/>
        <v>5.0661258399486542E-2</v>
      </c>
      <c r="J19" s="28">
        <f t="shared" si="5"/>
        <v>2.5665631026195457E-3</v>
      </c>
      <c r="K19" s="30">
        <f t="shared" si="6"/>
        <v>5.0661258399486542E-2</v>
      </c>
      <c r="L19" s="5"/>
      <c r="M19" s="30">
        <f t="shared" si="7"/>
        <v>-5.0661258399486542E-2</v>
      </c>
      <c r="N19" s="42">
        <f t="shared" si="8"/>
        <v>-5.0661258399486542E-2</v>
      </c>
      <c r="O19" s="43">
        <f t="shared" si="9"/>
        <v>2.5665631026195457E-3</v>
      </c>
      <c r="P19" s="43">
        <f t="shared" si="10"/>
        <v>-0.34013437099999999</v>
      </c>
      <c r="Q19" s="43">
        <f t="shared" si="11"/>
        <v>-0.34013437099999999</v>
      </c>
      <c r="R19" s="43">
        <f t="shared" si="12"/>
        <v>0.11569139033556564</v>
      </c>
    </row>
    <row r="20" spans="1:18" x14ac:dyDescent="0.3">
      <c r="A20" s="47">
        <v>38002</v>
      </c>
      <c r="B20" s="48">
        <v>0</v>
      </c>
      <c r="C20" s="50">
        <v>0.16811433434486389</v>
      </c>
      <c r="D20" s="10">
        <f t="shared" si="0"/>
        <v>-0.38980777739764078</v>
      </c>
      <c r="E20" s="10">
        <f t="shared" si="1"/>
        <v>-0.31796166262728165</v>
      </c>
      <c r="F20" s="10">
        <f t="shared" si="2"/>
        <v>0.15195010331968867</v>
      </c>
      <c r="G20" s="10">
        <f t="shared" si="2"/>
        <v>0.10109961890070528</v>
      </c>
      <c r="H20" s="11">
        <f t="shared" si="3"/>
        <v>0.12394392900639917</v>
      </c>
      <c r="I20" s="12">
        <f t="shared" si="4"/>
        <v>0.16811433434486389</v>
      </c>
      <c r="J20" s="28">
        <f t="shared" si="5"/>
        <v>2.8262429412216683E-2</v>
      </c>
      <c r="K20" s="30">
        <f t="shared" si="6"/>
        <v>0.16811433434486389</v>
      </c>
      <c r="L20" s="5"/>
      <c r="M20" s="30">
        <f t="shared" si="7"/>
        <v>-0.16811433434486389</v>
      </c>
      <c r="N20" s="42">
        <f t="shared" si="8"/>
        <v>-0.16811433434486389</v>
      </c>
      <c r="O20" s="43">
        <f t="shared" si="9"/>
        <v>2.8262429412216683E-2</v>
      </c>
      <c r="P20" s="43">
        <f t="shared" si="10"/>
        <v>-0.34013437099999999</v>
      </c>
      <c r="Q20" s="43">
        <f t="shared" si="11"/>
        <v>-0.34013437099999999</v>
      </c>
      <c r="R20" s="43">
        <f t="shared" si="12"/>
        <v>0.11569139033556564</v>
      </c>
    </row>
    <row r="21" spans="1:18" x14ac:dyDescent="0.3">
      <c r="A21" s="47">
        <v>38003</v>
      </c>
      <c r="B21" s="48">
        <v>0</v>
      </c>
      <c r="C21" s="50">
        <v>3.7915671709924936E-3</v>
      </c>
      <c r="D21" s="10">
        <f t="shared" si="0"/>
        <v>-0.38980777739764078</v>
      </c>
      <c r="E21" s="10">
        <f t="shared" si="1"/>
        <v>-0.48228442980115305</v>
      </c>
      <c r="F21" s="10">
        <f t="shared" ref="F21:G84" si="13">D21^2</f>
        <v>0.15195010331968867</v>
      </c>
      <c r="G21" s="10">
        <f t="shared" si="13"/>
        <v>0.23259827122862331</v>
      </c>
      <c r="H21" s="11">
        <f t="shared" si="3"/>
        <v>0.18799822165427599</v>
      </c>
      <c r="I21" s="12">
        <f t="shared" si="4"/>
        <v>3.7915671709924936E-3</v>
      </c>
      <c r="J21" s="28">
        <f t="shared" si="5"/>
        <v>1.4375981612148021E-5</v>
      </c>
      <c r="K21" s="30">
        <f t="shared" si="6"/>
        <v>3.7915671709924936E-3</v>
      </c>
      <c r="L21" s="5"/>
      <c r="M21" s="30">
        <f t="shared" si="7"/>
        <v>-3.7915671709924936E-3</v>
      </c>
      <c r="N21" s="42">
        <f t="shared" si="8"/>
        <v>-3.7915671709924936E-3</v>
      </c>
      <c r="O21" s="43">
        <f t="shared" si="9"/>
        <v>1.4375981612148021E-5</v>
      </c>
      <c r="P21" s="43">
        <f t="shared" si="10"/>
        <v>-0.34013437099999999</v>
      </c>
      <c r="Q21" s="43">
        <f t="shared" si="11"/>
        <v>-0.34013437099999999</v>
      </c>
      <c r="R21" s="43">
        <f t="shared" si="12"/>
        <v>0.11569139033556564</v>
      </c>
    </row>
    <row r="22" spans="1:18" x14ac:dyDescent="0.3">
      <c r="A22" s="47">
        <v>38004</v>
      </c>
      <c r="B22" s="48">
        <v>0</v>
      </c>
      <c r="C22" s="50">
        <v>0</v>
      </c>
      <c r="D22" s="10">
        <f t="shared" si="0"/>
        <v>-0.38980777739764078</v>
      </c>
      <c r="E22" s="10">
        <f t="shared" si="1"/>
        <v>-0.48607599697214554</v>
      </c>
      <c r="F22" s="10">
        <f t="shared" si="13"/>
        <v>0.15195010331968867</v>
      </c>
      <c r="G22" s="10">
        <f t="shared" si="13"/>
        <v>0.23626987483246525</v>
      </c>
      <c r="H22" s="11">
        <f t="shared" si="3"/>
        <v>0.18947620402605442</v>
      </c>
      <c r="I22" s="12">
        <f t="shared" si="4"/>
        <v>0</v>
      </c>
      <c r="J22" s="28">
        <f t="shared" si="5"/>
        <v>0</v>
      </c>
      <c r="K22" s="30">
        <f t="shared" si="6"/>
        <v>0</v>
      </c>
      <c r="L22" s="5"/>
      <c r="M22" s="30">
        <f t="shared" si="7"/>
        <v>0</v>
      </c>
      <c r="N22" s="42">
        <f t="shared" si="8"/>
        <v>0</v>
      </c>
      <c r="O22" s="43">
        <f t="shared" si="9"/>
        <v>0</v>
      </c>
      <c r="P22" s="43">
        <f t="shared" si="10"/>
        <v>-0.34013437099999999</v>
      </c>
      <c r="Q22" s="43">
        <f t="shared" si="11"/>
        <v>-0.34013437099999999</v>
      </c>
      <c r="R22" s="43">
        <f t="shared" si="12"/>
        <v>0.11569139033556564</v>
      </c>
    </row>
    <row r="23" spans="1:18" x14ac:dyDescent="0.3">
      <c r="A23" s="47">
        <v>38005</v>
      </c>
      <c r="B23" s="48">
        <v>0</v>
      </c>
      <c r="C23" s="50">
        <v>0</v>
      </c>
      <c r="D23" s="10">
        <f t="shared" si="0"/>
        <v>-0.38980777739764078</v>
      </c>
      <c r="E23" s="10">
        <f t="shared" si="1"/>
        <v>-0.48607599697214554</v>
      </c>
      <c r="F23" s="10">
        <f t="shared" si="13"/>
        <v>0.15195010331968867</v>
      </c>
      <c r="G23" s="10">
        <f t="shared" si="13"/>
        <v>0.23626987483246525</v>
      </c>
      <c r="H23" s="11">
        <f t="shared" si="3"/>
        <v>0.18947620402605442</v>
      </c>
      <c r="I23" s="12">
        <f t="shared" si="4"/>
        <v>0</v>
      </c>
      <c r="J23" s="28">
        <f t="shared" si="5"/>
        <v>0</v>
      </c>
      <c r="K23" s="30">
        <f t="shared" si="6"/>
        <v>0</v>
      </c>
      <c r="L23" s="5"/>
      <c r="M23" s="30">
        <f t="shared" si="7"/>
        <v>0</v>
      </c>
      <c r="N23" s="42">
        <f t="shared" si="8"/>
        <v>0</v>
      </c>
      <c r="O23" s="43">
        <f t="shared" si="9"/>
        <v>0</v>
      </c>
      <c r="P23" s="43">
        <f t="shared" si="10"/>
        <v>-0.34013437099999999</v>
      </c>
      <c r="Q23" s="43">
        <f t="shared" si="11"/>
        <v>-0.34013437099999999</v>
      </c>
      <c r="R23" s="43">
        <f t="shared" si="12"/>
        <v>0.11569139033556564</v>
      </c>
    </row>
    <row r="24" spans="1:18" x14ac:dyDescent="0.3">
      <c r="A24" s="47">
        <v>38006</v>
      </c>
      <c r="B24" s="48">
        <v>0</v>
      </c>
      <c r="C24" s="50">
        <v>0</v>
      </c>
      <c r="D24" s="10">
        <f t="shared" si="0"/>
        <v>-0.38980777739764078</v>
      </c>
      <c r="E24" s="10">
        <f t="shared" si="1"/>
        <v>-0.48607599697214554</v>
      </c>
      <c r="F24" s="10">
        <f t="shared" si="13"/>
        <v>0.15195010331968867</v>
      </c>
      <c r="G24" s="10">
        <f t="shared" si="13"/>
        <v>0.23626987483246525</v>
      </c>
      <c r="H24" s="11">
        <f t="shared" si="3"/>
        <v>0.18947620402605442</v>
      </c>
      <c r="I24" s="12">
        <f t="shared" si="4"/>
        <v>0</v>
      </c>
      <c r="J24" s="28">
        <f t="shared" si="5"/>
        <v>0</v>
      </c>
      <c r="K24" s="30">
        <f t="shared" si="6"/>
        <v>0</v>
      </c>
      <c r="L24" s="5"/>
      <c r="M24" s="30">
        <f t="shared" si="7"/>
        <v>0</v>
      </c>
      <c r="N24" s="42">
        <f t="shared" si="8"/>
        <v>0</v>
      </c>
      <c r="O24" s="43">
        <f t="shared" si="9"/>
        <v>0</v>
      </c>
      <c r="P24" s="43">
        <f t="shared" si="10"/>
        <v>-0.34013437099999999</v>
      </c>
      <c r="Q24" s="43">
        <f t="shared" si="11"/>
        <v>-0.34013437099999999</v>
      </c>
      <c r="R24" s="43">
        <f t="shared" si="12"/>
        <v>0.11569139033556564</v>
      </c>
    </row>
    <row r="25" spans="1:18" x14ac:dyDescent="0.3">
      <c r="A25" s="47">
        <v>38007</v>
      </c>
      <c r="B25" s="48">
        <v>1.2432469129562378</v>
      </c>
      <c r="C25" s="50">
        <v>3.087608814239502</v>
      </c>
      <c r="D25" s="10">
        <f t="shared" si="0"/>
        <v>0.85343913555859707</v>
      </c>
      <c r="E25" s="10">
        <f t="shared" si="1"/>
        <v>2.6015328172673566</v>
      </c>
      <c r="F25" s="10">
        <f t="shared" si="13"/>
        <v>0.72835835810300542</v>
      </c>
      <c r="G25" s="10">
        <f t="shared" si="13"/>
        <v>6.7679729993190296</v>
      </c>
      <c r="H25" s="11">
        <f t="shared" si="3"/>
        <v>2.2202499186959743</v>
      </c>
      <c r="I25" s="12">
        <f t="shared" si="4"/>
        <v>1.8443619012832642</v>
      </c>
      <c r="J25" s="28">
        <f t="shared" si="5"/>
        <v>3.4016708229052171</v>
      </c>
      <c r="K25" s="30">
        <f t="shared" si="6"/>
        <v>1.8443619012832642</v>
      </c>
      <c r="L25" s="5"/>
      <c r="M25" s="30">
        <f t="shared" si="7"/>
        <v>-1.8443619012832642</v>
      </c>
      <c r="N25" s="42">
        <f t="shared" si="8"/>
        <v>-1.8443619012832642</v>
      </c>
      <c r="O25" s="43">
        <f t="shared" si="9"/>
        <v>3.4016708229052171</v>
      </c>
      <c r="P25" s="43">
        <f t="shared" si="10"/>
        <v>0.9031125419562378</v>
      </c>
      <c r="Q25" s="43">
        <f t="shared" si="11"/>
        <v>0.9031125419562378</v>
      </c>
      <c r="R25" s="43">
        <f t="shared" si="12"/>
        <v>0.81561226343865734</v>
      </c>
    </row>
    <row r="26" spans="1:18" x14ac:dyDescent="0.3">
      <c r="A26" s="47">
        <v>38008</v>
      </c>
      <c r="B26" s="48">
        <v>3.0027130618691444E-2</v>
      </c>
      <c r="C26" s="50">
        <v>23.805257797241211</v>
      </c>
      <c r="D26" s="10">
        <f t="shared" si="0"/>
        <v>-0.35978064677894933</v>
      </c>
      <c r="E26" s="10">
        <f t="shared" si="1"/>
        <v>23.319181800269064</v>
      </c>
      <c r="F26" s="10">
        <f t="shared" si="13"/>
        <v>0.12944211379667911</v>
      </c>
      <c r="G26" s="10">
        <f t="shared" si="13"/>
        <v>543.78423983399989</v>
      </c>
      <c r="H26" s="11">
        <f t="shared" si="3"/>
        <v>-8.3897903104567071</v>
      </c>
      <c r="I26" s="12">
        <f t="shared" si="4"/>
        <v>23.775230666622519</v>
      </c>
      <c r="J26" s="28">
        <f t="shared" si="5"/>
        <v>565.26159325110791</v>
      </c>
      <c r="K26" s="30">
        <f t="shared" si="6"/>
        <v>23.775230666622519</v>
      </c>
      <c r="L26" s="5"/>
      <c r="M26" s="30">
        <f t="shared" si="7"/>
        <v>-23.775230666622519</v>
      </c>
      <c r="N26" s="42">
        <f t="shared" si="8"/>
        <v>-23.775230666622519</v>
      </c>
      <c r="O26" s="43">
        <f t="shared" si="9"/>
        <v>565.26159325110791</v>
      </c>
      <c r="P26" s="43">
        <f t="shared" si="10"/>
        <v>-0.31010724038130855</v>
      </c>
      <c r="Q26" s="43">
        <f t="shared" si="11"/>
        <v>-0.31010724038130855</v>
      </c>
      <c r="R26" s="43">
        <f t="shared" si="12"/>
        <v>9.6166500536910685E-2</v>
      </c>
    </row>
    <row r="27" spans="1:18" x14ac:dyDescent="0.3">
      <c r="A27" s="47">
        <v>38009</v>
      </c>
      <c r="B27" s="48">
        <v>4.8039083480834961</v>
      </c>
      <c r="C27" s="50">
        <v>1.0957119464874268</v>
      </c>
      <c r="D27" s="10">
        <f t="shared" si="0"/>
        <v>4.4141005706858554</v>
      </c>
      <c r="E27" s="10">
        <f t="shared" si="1"/>
        <v>0.60963594951528122</v>
      </c>
      <c r="F27" s="10">
        <f t="shared" si="13"/>
        <v>19.484283848129195</v>
      </c>
      <c r="G27" s="10">
        <f t="shared" si="13"/>
        <v>0.37165599094139851</v>
      </c>
      <c r="H27" s="11">
        <f t="shared" si="3"/>
        <v>2.690994392666016</v>
      </c>
      <c r="I27" s="12">
        <f t="shared" si="4"/>
        <v>3.7081964015960693</v>
      </c>
      <c r="J27" s="28">
        <f t="shared" si="5"/>
        <v>13.750720552810037</v>
      </c>
      <c r="K27" s="30">
        <f t="shared" si="6"/>
        <v>-3.7081964015960693</v>
      </c>
      <c r="L27" s="5"/>
      <c r="M27" s="30">
        <f t="shared" si="7"/>
        <v>3.7081964015960693</v>
      </c>
      <c r="N27" s="42">
        <f t="shared" si="8"/>
        <v>3.7081964015960693</v>
      </c>
      <c r="O27" s="43">
        <f t="shared" si="9"/>
        <v>13.750720552810037</v>
      </c>
      <c r="P27" s="43">
        <f t="shared" si="10"/>
        <v>4.4637739770834965</v>
      </c>
      <c r="Q27" s="43">
        <f t="shared" si="11"/>
        <v>4.4637739770834965</v>
      </c>
      <c r="R27" s="43">
        <f t="shared" si="12"/>
        <v>19.925278118487817</v>
      </c>
    </row>
    <row r="28" spans="1:18" x14ac:dyDescent="0.3">
      <c r="A28" s="47">
        <v>38010</v>
      </c>
      <c r="B28" s="48">
        <v>0.4056854248046875</v>
      </c>
      <c r="C28" s="50">
        <v>1.4091880321502686</v>
      </c>
      <c r="D28" s="10">
        <f t="shared" si="0"/>
        <v>1.5877647407046724E-2</v>
      </c>
      <c r="E28" s="10">
        <f t="shared" si="1"/>
        <v>0.92311203517812301</v>
      </c>
      <c r="F28" s="10">
        <f t="shared" si="13"/>
        <v>2.5209968718249758E-4</v>
      </c>
      <c r="G28" s="10">
        <f t="shared" si="13"/>
        <v>0.85213582949069622</v>
      </c>
      <c r="H28" s="11">
        <f t="shared" si="3"/>
        <v>1.4656847411759549E-2</v>
      </c>
      <c r="I28" s="12">
        <f t="shared" si="4"/>
        <v>1.0035026073455811</v>
      </c>
      <c r="J28" s="28">
        <f t="shared" si="5"/>
        <v>1.0070174829493794</v>
      </c>
      <c r="K28" s="30">
        <f t="shared" si="6"/>
        <v>1.0035026073455811</v>
      </c>
      <c r="L28" s="5"/>
      <c r="M28" s="30">
        <f t="shared" si="7"/>
        <v>-1.0035026073455811</v>
      </c>
      <c r="N28" s="42">
        <f t="shared" si="8"/>
        <v>-1.0035026073455811</v>
      </c>
      <c r="O28" s="43">
        <f t="shared" si="9"/>
        <v>1.0070174829493794</v>
      </c>
      <c r="P28" s="43">
        <f t="shared" si="10"/>
        <v>6.5551053804687509E-2</v>
      </c>
      <c r="Q28" s="43">
        <f t="shared" si="11"/>
        <v>6.5551053804687509E-2</v>
      </c>
      <c r="R28" s="43">
        <f t="shared" si="12"/>
        <v>4.2969406549050364E-3</v>
      </c>
    </row>
    <row r="29" spans="1:18" x14ac:dyDescent="0.3">
      <c r="A29" s="47">
        <v>38011</v>
      </c>
      <c r="B29" s="48">
        <v>3.0185763835906982</v>
      </c>
      <c r="C29" s="50">
        <v>1.0440438985824585</v>
      </c>
      <c r="D29" s="10">
        <f t="shared" si="0"/>
        <v>2.6287686061930575</v>
      </c>
      <c r="E29" s="10">
        <f t="shared" si="1"/>
        <v>0.55796790161031296</v>
      </c>
      <c r="F29" s="10">
        <f t="shared" si="13"/>
        <v>6.9104243849061904</v>
      </c>
      <c r="G29" s="10">
        <f t="shared" si="13"/>
        <v>0.3113281792274159</v>
      </c>
      <c r="H29" s="11">
        <f t="shared" si="3"/>
        <v>1.4667685030166075</v>
      </c>
      <c r="I29" s="12">
        <f t="shared" si="4"/>
        <v>1.9745324850082397</v>
      </c>
      <c r="J29" s="28">
        <f t="shared" si="5"/>
        <v>3.8987785343528145</v>
      </c>
      <c r="K29" s="30">
        <f t="shared" si="6"/>
        <v>-1.9745324850082397</v>
      </c>
      <c r="L29" s="5"/>
      <c r="M29" s="30">
        <f t="shared" si="7"/>
        <v>1.9745324850082397</v>
      </c>
      <c r="N29" s="42">
        <f t="shared" si="8"/>
        <v>1.9745324850082397</v>
      </c>
      <c r="O29" s="43">
        <f t="shared" si="9"/>
        <v>3.8987785343528145</v>
      </c>
      <c r="P29" s="43">
        <f t="shared" si="10"/>
        <v>2.6784420125906983</v>
      </c>
      <c r="Q29" s="43">
        <f t="shared" si="11"/>
        <v>2.6784420125906983</v>
      </c>
      <c r="R29" s="43">
        <f t="shared" si="12"/>
        <v>7.1740516148109101</v>
      </c>
    </row>
    <row r="30" spans="1:18" x14ac:dyDescent="0.3">
      <c r="A30" s="47">
        <v>38012</v>
      </c>
      <c r="B30" s="48">
        <v>1.5622665882110596</v>
      </c>
      <c r="C30" s="50">
        <v>0.69823914766311646</v>
      </c>
      <c r="D30" s="10">
        <f t="shared" si="0"/>
        <v>1.1724588108134189</v>
      </c>
      <c r="E30" s="10">
        <f t="shared" si="1"/>
        <v>0.21216315069097091</v>
      </c>
      <c r="F30" s="10">
        <f t="shared" si="13"/>
        <v>1.3746596630540162</v>
      </c>
      <c r="G30" s="10">
        <f t="shared" si="13"/>
        <v>4.5013202511119635E-2</v>
      </c>
      <c r="H30" s="11">
        <f t="shared" si="3"/>
        <v>0.24875255535756394</v>
      </c>
      <c r="I30" s="12">
        <f t="shared" si="4"/>
        <v>0.86402744054794312</v>
      </c>
      <c r="J30" s="28">
        <f t="shared" si="5"/>
        <v>0.74654341801982937</v>
      </c>
      <c r="K30" s="30">
        <f t="shared" si="6"/>
        <v>-0.86402744054794312</v>
      </c>
      <c r="L30" s="5"/>
      <c r="M30" s="30">
        <f t="shared" si="7"/>
        <v>0.86402744054794312</v>
      </c>
      <c r="N30" s="42">
        <f t="shared" si="8"/>
        <v>0.86402744054794312</v>
      </c>
      <c r="O30" s="43">
        <f t="shared" si="9"/>
        <v>0.74654341801982937</v>
      </c>
      <c r="P30" s="43">
        <f t="shared" si="10"/>
        <v>1.2221322172110596</v>
      </c>
      <c r="Q30" s="43">
        <f t="shared" si="11"/>
        <v>1.2221322172110596</v>
      </c>
      <c r="R30" s="43">
        <f t="shared" si="12"/>
        <v>1.4936071563452205</v>
      </c>
    </row>
    <row r="31" spans="1:18" x14ac:dyDescent="0.3">
      <c r="A31" s="47">
        <v>38013</v>
      </c>
      <c r="B31" s="48">
        <v>0</v>
      </c>
      <c r="C31" s="50">
        <v>2.1112120151519775</v>
      </c>
      <c r="D31" s="10">
        <f t="shared" si="0"/>
        <v>-0.38980777739764078</v>
      </c>
      <c r="E31" s="10">
        <f t="shared" si="1"/>
        <v>1.625136018179832</v>
      </c>
      <c r="F31" s="10">
        <f t="shared" si="13"/>
        <v>0.15195010331968867</v>
      </c>
      <c r="G31" s="10">
        <f t="shared" si="13"/>
        <v>2.641067077585399</v>
      </c>
      <c r="H31" s="11">
        <f t="shared" si="3"/>
        <v>-0.63349065921553227</v>
      </c>
      <c r="I31" s="12">
        <f t="shared" si="4"/>
        <v>2.1112120151519775</v>
      </c>
      <c r="J31" s="28">
        <f t="shared" si="5"/>
        <v>4.4572161729220738</v>
      </c>
      <c r="K31" s="30">
        <f t="shared" si="6"/>
        <v>2.1112120151519775</v>
      </c>
      <c r="L31" s="5"/>
      <c r="M31" s="30">
        <f t="shared" si="7"/>
        <v>-2.1112120151519775</v>
      </c>
      <c r="N31" s="42">
        <f t="shared" si="8"/>
        <v>-2.1112120151519775</v>
      </c>
      <c r="O31" s="43">
        <f t="shared" si="9"/>
        <v>4.4572161729220738</v>
      </c>
      <c r="P31" s="43">
        <f t="shared" si="10"/>
        <v>-0.34013437099999999</v>
      </c>
      <c r="Q31" s="43">
        <f t="shared" si="11"/>
        <v>-0.34013437099999999</v>
      </c>
      <c r="R31" s="43">
        <f t="shared" si="12"/>
        <v>0.11569139033556564</v>
      </c>
    </row>
    <row r="32" spans="1:18" x14ac:dyDescent="0.3">
      <c r="A32" s="47">
        <v>38014</v>
      </c>
      <c r="B32" s="48">
        <v>0</v>
      </c>
      <c r="C32" s="50">
        <v>7.8921020030975342E-2</v>
      </c>
      <c r="D32" s="10">
        <f t="shared" si="0"/>
        <v>-0.38980777739764078</v>
      </c>
      <c r="E32" s="10">
        <f t="shared" si="1"/>
        <v>-0.4071549769411702</v>
      </c>
      <c r="F32" s="10">
        <f t="shared" si="13"/>
        <v>0.15195010331968867</v>
      </c>
      <c r="G32" s="10">
        <f t="shared" si="13"/>
        <v>0.16577517524796484</v>
      </c>
      <c r="H32" s="11">
        <f t="shared" si="3"/>
        <v>0.15871217661782525</v>
      </c>
      <c r="I32" s="12">
        <f t="shared" si="4"/>
        <v>7.8921020030975342E-2</v>
      </c>
      <c r="J32" s="28">
        <f t="shared" si="5"/>
        <v>6.2285274027296111E-3</v>
      </c>
      <c r="K32" s="30">
        <f t="shared" si="6"/>
        <v>7.8921020030975342E-2</v>
      </c>
      <c r="L32" s="5"/>
      <c r="M32" s="30">
        <f t="shared" si="7"/>
        <v>-7.8921020030975342E-2</v>
      </c>
      <c r="N32" s="42">
        <f t="shared" si="8"/>
        <v>-7.8921020030975342E-2</v>
      </c>
      <c r="O32" s="43">
        <f t="shared" si="9"/>
        <v>6.2285274027296111E-3</v>
      </c>
      <c r="P32" s="43">
        <f t="shared" si="10"/>
        <v>-0.34013437099999999</v>
      </c>
      <c r="Q32" s="43">
        <f t="shared" si="11"/>
        <v>-0.34013437099999999</v>
      </c>
      <c r="R32" s="43">
        <f t="shared" si="12"/>
        <v>0.11569139033556564</v>
      </c>
    </row>
    <row r="33" spans="1:18" x14ac:dyDescent="0.3">
      <c r="A33" s="47">
        <v>38015</v>
      </c>
      <c r="B33" s="48">
        <v>0</v>
      </c>
      <c r="C33" s="50">
        <v>0</v>
      </c>
      <c r="D33" s="10">
        <f t="shared" si="0"/>
        <v>-0.38980777739764078</v>
      </c>
      <c r="E33" s="10">
        <f t="shared" si="1"/>
        <v>-0.48607599697214554</v>
      </c>
      <c r="F33" s="10">
        <f t="shared" si="13"/>
        <v>0.15195010331968867</v>
      </c>
      <c r="G33" s="10">
        <f t="shared" si="13"/>
        <v>0.23626987483246525</v>
      </c>
      <c r="H33" s="11">
        <f t="shared" si="3"/>
        <v>0.18947620402605442</v>
      </c>
      <c r="I33" s="12">
        <f t="shared" si="4"/>
        <v>0</v>
      </c>
      <c r="J33" s="28">
        <f t="shared" si="5"/>
        <v>0</v>
      </c>
      <c r="K33" s="30">
        <f t="shared" si="6"/>
        <v>0</v>
      </c>
      <c r="L33" s="5"/>
      <c r="M33" s="30">
        <f t="shared" si="7"/>
        <v>0</v>
      </c>
      <c r="N33" s="42">
        <f t="shared" si="8"/>
        <v>0</v>
      </c>
      <c r="O33" s="43">
        <f t="shared" si="9"/>
        <v>0</v>
      </c>
      <c r="P33" s="43">
        <f t="shared" si="10"/>
        <v>-0.34013437099999999</v>
      </c>
      <c r="Q33" s="43">
        <f t="shared" si="11"/>
        <v>-0.34013437099999999</v>
      </c>
      <c r="R33" s="43">
        <f t="shared" si="12"/>
        <v>0.11569139033556564</v>
      </c>
    </row>
    <row r="34" spans="1:18" x14ac:dyDescent="0.3">
      <c r="A34" s="47">
        <v>38016</v>
      </c>
      <c r="B34" s="48">
        <v>0</v>
      </c>
      <c r="C34" s="50">
        <v>0</v>
      </c>
      <c r="D34" s="10">
        <f t="shared" si="0"/>
        <v>-0.38980777739764078</v>
      </c>
      <c r="E34" s="10">
        <f t="shared" si="1"/>
        <v>-0.48607599697214554</v>
      </c>
      <c r="F34" s="10">
        <f t="shared" si="13"/>
        <v>0.15195010331968867</v>
      </c>
      <c r="G34" s="10">
        <f t="shared" si="13"/>
        <v>0.23626987483246525</v>
      </c>
      <c r="H34" s="11">
        <f t="shared" si="3"/>
        <v>0.18947620402605442</v>
      </c>
      <c r="I34" s="12">
        <f t="shared" si="4"/>
        <v>0</v>
      </c>
      <c r="J34" s="28">
        <f t="shared" si="5"/>
        <v>0</v>
      </c>
      <c r="K34" s="30">
        <f t="shared" si="6"/>
        <v>0</v>
      </c>
      <c r="L34" s="5"/>
      <c r="M34" s="30">
        <f t="shared" si="7"/>
        <v>0</v>
      </c>
      <c r="N34" s="42">
        <f t="shared" si="8"/>
        <v>0</v>
      </c>
      <c r="O34" s="43">
        <f t="shared" si="9"/>
        <v>0</v>
      </c>
      <c r="P34" s="43">
        <f t="shared" si="10"/>
        <v>-0.34013437099999999</v>
      </c>
      <c r="Q34" s="43">
        <f t="shared" si="11"/>
        <v>-0.34013437099999999</v>
      </c>
      <c r="R34" s="43">
        <f t="shared" si="12"/>
        <v>0.11569139033556564</v>
      </c>
    </row>
    <row r="35" spans="1:18" x14ac:dyDescent="0.3">
      <c r="A35" s="47">
        <v>38017</v>
      </c>
      <c r="B35" s="48">
        <v>1.9000275135040283</v>
      </c>
      <c r="C35" s="50">
        <v>1.5558692216873169</v>
      </c>
      <c r="D35" s="10">
        <f t="shared" si="0"/>
        <v>1.5102197361063876</v>
      </c>
      <c r="E35" s="10">
        <f t="shared" si="1"/>
        <v>1.0697932247151714</v>
      </c>
      <c r="F35" s="10">
        <f t="shared" si="13"/>
        <v>2.2807636513252469</v>
      </c>
      <c r="G35" s="10">
        <f t="shared" si="13"/>
        <v>1.1444575436464852</v>
      </c>
      <c r="H35" s="11">
        <f t="shared" si="3"/>
        <v>1.6156228415177476</v>
      </c>
      <c r="I35" s="12">
        <f t="shared" si="4"/>
        <v>0.34415829181671143</v>
      </c>
      <c r="J35" s="28">
        <f t="shared" si="5"/>
        <v>0.1184449298261967</v>
      </c>
      <c r="K35" s="30">
        <f t="shared" si="6"/>
        <v>-0.34415829181671143</v>
      </c>
      <c r="L35" s="5"/>
      <c r="M35" s="30">
        <f t="shared" si="7"/>
        <v>0.34415829181671143</v>
      </c>
      <c r="N35" s="42">
        <f t="shared" si="8"/>
        <v>0.34415829181671143</v>
      </c>
      <c r="O35" s="43">
        <f t="shared" si="9"/>
        <v>0.1184449298261967</v>
      </c>
      <c r="P35" s="43">
        <f t="shared" si="10"/>
        <v>1.5598931425040283</v>
      </c>
      <c r="Q35" s="43">
        <f t="shared" si="11"/>
        <v>1.5598931425040283</v>
      </c>
      <c r="R35" s="43">
        <f t="shared" si="12"/>
        <v>2.433266616031093</v>
      </c>
    </row>
    <row r="36" spans="1:18" x14ac:dyDescent="0.3">
      <c r="A36" s="47">
        <v>38018</v>
      </c>
      <c r="B36" s="48">
        <v>0</v>
      </c>
      <c r="C36" s="50">
        <v>0</v>
      </c>
      <c r="D36" s="10">
        <f t="shared" si="0"/>
        <v>-0.38980777739764078</v>
      </c>
      <c r="E36" s="10">
        <f t="shared" si="1"/>
        <v>-0.48607599697214554</v>
      </c>
      <c r="F36" s="10">
        <f t="shared" si="13"/>
        <v>0.15195010331968867</v>
      </c>
      <c r="G36" s="10">
        <f t="shared" si="13"/>
        <v>0.23626987483246525</v>
      </c>
      <c r="H36" s="11">
        <f t="shared" si="3"/>
        <v>0.18947620402605442</v>
      </c>
      <c r="I36" s="12">
        <f t="shared" si="4"/>
        <v>0</v>
      </c>
      <c r="J36" s="28">
        <f t="shared" si="5"/>
        <v>0</v>
      </c>
      <c r="K36" s="30">
        <f t="shared" si="6"/>
        <v>0</v>
      </c>
      <c r="L36" s="5"/>
      <c r="M36" s="30">
        <f t="shared" si="7"/>
        <v>0</v>
      </c>
      <c r="N36" s="42">
        <f t="shared" si="8"/>
        <v>0</v>
      </c>
      <c r="O36" s="43">
        <f t="shared" si="9"/>
        <v>0</v>
      </c>
      <c r="P36" s="43">
        <f t="shared" si="10"/>
        <v>-0.34013437099999999</v>
      </c>
      <c r="Q36" s="43">
        <f t="shared" si="11"/>
        <v>-0.34013437099999999</v>
      </c>
      <c r="R36" s="43">
        <f t="shared" si="12"/>
        <v>0.11569139033556564</v>
      </c>
    </row>
    <row r="37" spans="1:18" x14ac:dyDescent="0.3">
      <c r="A37" s="47">
        <v>38019</v>
      </c>
      <c r="B37" s="48">
        <v>0</v>
      </c>
      <c r="C37" s="50">
        <v>0</v>
      </c>
      <c r="D37" s="10">
        <f t="shared" si="0"/>
        <v>-0.38980777739764078</v>
      </c>
      <c r="E37" s="10">
        <f t="shared" si="1"/>
        <v>-0.48607599697214554</v>
      </c>
      <c r="F37" s="10">
        <f t="shared" si="13"/>
        <v>0.15195010331968867</v>
      </c>
      <c r="G37" s="10">
        <f t="shared" si="13"/>
        <v>0.23626987483246525</v>
      </c>
      <c r="H37" s="11">
        <f t="shared" si="3"/>
        <v>0.18947620402605442</v>
      </c>
      <c r="I37" s="12">
        <f t="shared" si="4"/>
        <v>0</v>
      </c>
      <c r="J37" s="28">
        <f t="shared" si="5"/>
        <v>0</v>
      </c>
      <c r="K37" s="30">
        <f t="shared" si="6"/>
        <v>0</v>
      </c>
      <c r="L37" s="5"/>
      <c r="M37" s="30">
        <f t="shared" si="7"/>
        <v>0</v>
      </c>
      <c r="N37" s="42">
        <f t="shared" si="8"/>
        <v>0</v>
      </c>
      <c r="O37" s="43">
        <f t="shared" si="9"/>
        <v>0</v>
      </c>
      <c r="P37" s="43">
        <f t="shared" si="10"/>
        <v>-0.34013437099999999</v>
      </c>
      <c r="Q37" s="43">
        <f t="shared" si="11"/>
        <v>-0.34013437099999999</v>
      </c>
      <c r="R37" s="43">
        <f t="shared" si="12"/>
        <v>0.11569139033556564</v>
      </c>
    </row>
    <row r="38" spans="1:18" x14ac:dyDescent="0.3">
      <c r="A38" s="47">
        <v>38020</v>
      </c>
      <c r="B38" s="48">
        <v>0</v>
      </c>
      <c r="C38" s="50">
        <v>0</v>
      </c>
      <c r="D38" s="10">
        <f t="shared" si="0"/>
        <v>-0.38980777739764078</v>
      </c>
      <c r="E38" s="10">
        <f t="shared" si="1"/>
        <v>-0.48607599697214554</v>
      </c>
      <c r="F38" s="10">
        <f t="shared" si="13"/>
        <v>0.15195010331968867</v>
      </c>
      <c r="G38" s="10">
        <f t="shared" si="13"/>
        <v>0.23626987483246525</v>
      </c>
      <c r="H38" s="11">
        <f t="shared" si="3"/>
        <v>0.18947620402605442</v>
      </c>
      <c r="I38" s="12">
        <f t="shared" si="4"/>
        <v>0</v>
      </c>
      <c r="J38" s="28">
        <f t="shared" si="5"/>
        <v>0</v>
      </c>
      <c r="K38" s="30">
        <f t="shared" si="6"/>
        <v>0</v>
      </c>
      <c r="L38" s="5"/>
      <c r="M38" s="30">
        <f t="shared" si="7"/>
        <v>0</v>
      </c>
      <c r="N38" s="42">
        <f t="shared" si="8"/>
        <v>0</v>
      </c>
      <c r="O38" s="43">
        <f t="shared" si="9"/>
        <v>0</v>
      </c>
      <c r="P38" s="43">
        <f t="shared" si="10"/>
        <v>-0.34013437099999999</v>
      </c>
      <c r="Q38" s="43">
        <f t="shared" si="11"/>
        <v>-0.34013437099999999</v>
      </c>
      <c r="R38" s="43">
        <f t="shared" si="12"/>
        <v>0.11569139033556564</v>
      </c>
    </row>
    <row r="39" spans="1:18" x14ac:dyDescent="0.3">
      <c r="A39" s="47">
        <v>38021</v>
      </c>
      <c r="B39" s="48">
        <v>10.30665397644043</v>
      </c>
      <c r="C39" s="50">
        <v>16.574726104736328</v>
      </c>
      <c r="D39" s="10">
        <f t="shared" si="0"/>
        <v>9.916846199042789</v>
      </c>
      <c r="E39" s="10">
        <f t="shared" si="1"/>
        <v>16.088650107764181</v>
      </c>
      <c r="F39" s="10">
        <f t="shared" si="13"/>
        <v>98.343838535469416</v>
      </c>
      <c r="G39" s="10">
        <f t="shared" si="13"/>
        <v>258.8446622900604</v>
      </c>
      <c r="H39" s="11">
        <f t="shared" si="3"/>
        <v>159.54866866891058</v>
      </c>
      <c r="I39" s="12">
        <f t="shared" si="4"/>
        <v>6.2680721282958984</v>
      </c>
      <c r="J39" s="28">
        <f t="shared" si="5"/>
        <v>39.288728205519874</v>
      </c>
      <c r="K39" s="30">
        <f t="shared" si="6"/>
        <v>6.2680721282958984</v>
      </c>
      <c r="L39" s="5"/>
      <c r="M39" s="30">
        <f t="shared" si="7"/>
        <v>-6.2680721282958984</v>
      </c>
      <c r="N39" s="42">
        <f t="shared" si="8"/>
        <v>-6.2680721282958984</v>
      </c>
      <c r="O39" s="43">
        <f t="shared" si="9"/>
        <v>39.288728205519874</v>
      </c>
      <c r="P39" s="43">
        <f t="shared" si="10"/>
        <v>9.9665196054404301</v>
      </c>
      <c r="Q39" s="43">
        <f t="shared" si="11"/>
        <v>9.9665196054404301</v>
      </c>
      <c r="R39" s="43">
        <f t="shared" si="12"/>
        <v>99.331513045628469</v>
      </c>
    </row>
    <row r="40" spans="1:18" x14ac:dyDescent="0.3">
      <c r="A40" s="47">
        <v>38022</v>
      </c>
      <c r="B40" s="48">
        <v>5.659782886505127</v>
      </c>
      <c r="C40" s="50">
        <v>8.9812507629394531</v>
      </c>
      <c r="D40" s="10">
        <f t="shared" si="0"/>
        <v>5.2699751091074862</v>
      </c>
      <c r="E40" s="10">
        <f t="shared" si="1"/>
        <v>8.4951747659673078</v>
      </c>
      <c r="F40" s="10">
        <f t="shared" si="13"/>
        <v>27.772637650612463</v>
      </c>
      <c r="G40" s="10">
        <f t="shared" si="13"/>
        <v>72.167994304327706</v>
      </c>
      <c r="H40" s="11">
        <f t="shared" si="3"/>
        <v>44.769359564165725</v>
      </c>
      <c r="I40" s="12">
        <f t="shared" si="4"/>
        <v>3.3214678764343262</v>
      </c>
      <c r="J40" s="28">
        <f t="shared" si="5"/>
        <v>11.032148854185152</v>
      </c>
      <c r="K40" s="30">
        <f t="shared" si="6"/>
        <v>3.3214678764343262</v>
      </c>
      <c r="L40" s="5"/>
      <c r="M40" s="30">
        <f t="shared" si="7"/>
        <v>-3.3214678764343262</v>
      </c>
      <c r="N40" s="42">
        <f t="shared" si="8"/>
        <v>-3.3214678764343262</v>
      </c>
      <c r="O40" s="43">
        <f t="shared" si="9"/>
        <v>11.032148854185152</v>
      </c>
      <c r="P40" s="43">
        <f t="shared" si="10"/>
        <v>5.3196485155051274</v>
      </c>
      <c r="Q40" s="43">
        <f t="shared" si="11"/>
        <v>5.3196485155051274</v>
      </c>
      <c r="R40" s="43">
        <f t="shared" si="12"/>
        <v>28.298660328515904</v>
      </c>
    </row>
    <row r="41" spans="1:18" x14ac:dyDescent="0.3">
      <c r="A41" s="47">
        <v>38023</v>
      </c>
      <c r="B41" s="48">
        <v>0</v>
      </c>
      <c r="C41" s="50">
        <v>0</v>
      </c>
      <c r="D41" s="10">
        <f t="shared" si="0"/>
        <v>-0.38980777739764078</v>
      </c>
      <c r="E41" s="10">
        <f t="shared" si="1"/>
        <v>-0.48607599697214554</v>
      </c>
      <c r="F41" s="10">
        <f t="shared" si="13"/>
        <v>0.15195010331968867</v>
      </c>
      <c r="G41" s="10">
        <f t="shared" si="13"/>
        <v>0.23626987483246525</v>
      </c>
      <c r="H41" s="11">
        <f t="shared" si="3"/>
        <v>0.18947620402605442</v>
      </c>
      <c r="I41" s="12">
        <f t="shared" si="4"/>
        <v>0</v>
      </c>
      <c r="J41" s="28">
        <f t="shared" si="5"/>
        <v>0</v>
      </c>
      <c r="K41" s="30">
        <f t="shared" si="6"/>
        <v>0</v>
      </c>
      <c r="L41" s="5"/>
      <c r="M41" s="30">
        <f t="shared" si="7"/>
        <v>0</v>
      </c>
      <c r="N41" s="42">
        <f t="shared" si="8"/>
        <v>0</v>
      </c>
      <c r="O41" s="43">
        <f t="shared" si="9"/>
        <v>0</v>
      </c>
      <c r="P41" s="43">
        <f t="shared" si="10"/>
        <v>-0.34013437099999999</v>
      </c>
      <c r="Q41" s="43">
        <f t="shared" si="11"/>
        <v>-0.34013437099999999</v>
      </c>
      <c r="R41" s="43">
        <f t="shared" si="12"/>
        <v>0.11569139033556564</v>
      </c>
    </row>
    <row r="42" spans="1:18" x14ac:dyDescent="0.3">
      <c r="A42" s="47">
        <v>38024</v>
      </c>
      <c r="B42" s="48">
        <v>0</v>
      </c>
      <c r="C42" s="50">
        <v>0</v>
      </c>
      <c r="D42" s="10">
        <f t="shared" si="0"/>
        <v>-0.38980777739764078</v>
      </c>
      <c r="E42" s="10">
        <f t="shared" si="1"/>
        <v>-0.48607599697214554</v>
      </c>
      <c r="F42" s="10">
        <f t="shared" si="13"/>
        <v>0.15195010331968867</v>
      </c>
      <c r="G42" s="10">
        <f t="shared" si="13"/>
        <v>0.23626987483246525</v>
      </c>
      <c r="H42" s="11">
        <f t="shared" si="3"/>
        <v>0.18947620402605442</v>
      </c>
      <c r="I42" s="12">
        <f t="shared" si="4"/>
        <v>0</v>
      </c>
      <c r="J42" s="28">
        <f t="shared" si="5"/>
        <v>0</v>
      </c>
      <c r="K42" s="30">
        <f t="shared" si="6"/>
        <v>0</v>
      </c>
      <c r="L42" s="5"/>
      <c r="M42" s="30">
        <f t="shared" si="7"/>
        <v>0</v>
      </c>
      <c r="N42" s="42">
        <f t="shared" si="8"/>
        <v>0</v>
      </c>
      <c r="O42" s="43">
        <f t="shared" si="9"/>
        <v>0</v>
      </c>
      <c r="P42" s="43">
        <f t="shared" si="10"/>
        <v>-0.34013437099999999</v>
      </c>
      <c r="Q42" s="43">
        <f t="shared" si="11"/>
        <v>-0.34013437099999999</v>
      </c>
      <c r="R42" s="43">
        <f t="shared" si="12"/>
        <v>0.11569139033556564</v>
      </c>
    </row>
    <row r="43" spans="1:18" x14ac:dyDescent="0.3">
      <c r="A43" s="47">
        <v>38025</v>
      </c>
      <c r="B43" s="48">
        <v>0</v>
      </c>
      <c r="C43" s="50">
        <v>0</v>
      </c>
      <c r="D43" s="10">
        <f t="shared" si="0"/>
        <v>-0.38980777739764078</v>
      </c>
      <c r="E43" s="10">
        <f t="shared" si="1"/>
        <v>-0.48607599697214554</v>
      </c>
      <c r="F43" s="10">
        <f t="shared" si="13"/>
        <v>0.15195010331968867</v>
      </c>
      <c r="G43" s="10">
        <f t="shared" si="13"/>
        <v>0.23626987483246525</v>
      </c>
      <c r="H43" s="11">
        <f t="shared" si="3"/>
        <v>0.18947620402605442</v>
      </c>
      <c r="I43" s="12">
        <f t="shared" si="4"/>
        <v>0</v>
      </c>
      <c r="J43" s="28">
        <f t="shared" si="5"/>
        <v>0</v>
      </c>
      <c r="K43" s="30">
        <f t="shared" si="6"/>
        <v>0</v>
      </c>
      <c r="L43" s="5"/>
      <c r="M43" s="30">
        <f t="shared" si="7"/>
        <v>0</v>
      </c>
      <c r="N43" s="42">
        <f t="shared" si="8"/>
        <v>0</v>
      </c>
      <c r="O43" s="43">
        <f t="shared" si="9"/>
        <v>0</v>
      </c>
      <c r="P43" s="43">
        <f t="shared" si="10"/>
        <v>-0.34013437099999999</v>
      </c>
      <c r="Q43" s="43">
        <f t="shared" si="11"/>
        <v>-0.34013437099999999</v>
      </c>
      <c r="R43" s="43">
        <f t="shared" si="12"/>
        <v>0.11569139033556564</v>
      </c>
    </row>
    <row r="44" spans="1:18" x14ac:dyDescent="0.3">
      <c r="A44" s="47">
        <v>38026</v>
      </c>
      <c r="B44" s="48">
        <v>0</v>
      </c>
      <c r="C44" s="50">
        <v>0</v>
      </c>
      <c r="D44" s="10">
        <f t="shared" si="0"/>
        <v>-0.38980777739764078</v>
      </c>
      <c r="E44" s="10">
        <f t="shared" si="1"/>
        <v>-0.48607599697214554</v>
      </c>
      <c r="F44" s="10">
        <f t="shared" si="13"/>
        <v>0.15195010331968867</v>
      </c>
      <c r="G44" s="10">
        <f t="shared" si="13"/>
        <v>0.23626987483246525</v>
      </c>
      <c r="H44" s="11">
        <f t="shared" si="3"/>
        <v>0.18947620402605442</v>
      </c>
      <c r="I44" s="12">
        <f t="shared" si="4"/>
        <v>0</v>
      </c>
      <c r="J44" s="28">
        <f t="shared" si="5"/>
        <v>0</v>
      </c>
      <c r="K44" s="30">
        <f t="shared" si="6"/>
        <v>0</v>
      </c>
      <c r="L44" s="5"/>
      <c r="M44" s="30">
        <f t="shared" si="7"/>
        <v>0</v>
      </c>
      <c r="N44" s="42">
        <f t="shared" si="8"/>
        <v>0</v>
      </c>
      <c r="O44" s="43">
        <f t="shared" si="9"/>
        <v>0</v>
      </c>
      <c r="P44" s="43">
        <f t="shared" si="10"/>
        <v>-0.34013437099999999</v>
      </c>
      <c r="Q44" s="43">
        <f t="shared" si="11"/>
        <v>-0.34013437099999999</v>
      </c>
      <c r="R44" s="43">
        <f t="shared" si="12"/>
        <v>0.11569139033556564</v>
      </c>
    </row>
    <row r="45" spans="1:18" x14ac:dyDescent="0.3">
      <c r="A45" s="47">
        <v>38027</v>
      </c>
      <c r="B45" s="48">
        <v>9.1667555272579193E-2</v>
      </c>
      <c r="C45" s="50">
        <v>0.60816335678100586</v>
      </c>
      <c r="D45" s="10">
        <f t="shared" si="0"/>
        <v>-0.29814022212506158</v>
      </c>
      <c r="E45" s="10">
        <f t="shared" si="1"/>
        <v>0.12208735980886032</v>
      </c>
      <c r="F45" s="10">
        <f t="shared" si="13"/>
        <v>8.8887592048781064E-2</v>
      </c>
      <c r="G45" s="10">
        <f t="shared" si="13"/>
        <v>1.4905323425098121E-2</v>
      </c>
      <c r="H45" s="11">
        <f t="shared" si="3"/>
        <v>-3.6399152572075932E-2</v>
      </c>
      <c r="I45" s="12">
        <f t="shared" si="4"/>
        <v>0.51649580150842667</v>
      </c>
      <c r="J45" s="28">
        <f t="shared" si="5"/>
        <v>0.26676791297583208</v>
      </c>
      <c r="K45" s="30">
        <f t="shared" si="6"/>
        <v>0.51649580150842667</v>
      </c>
      <c r="L45" s="5"/>
      <c r="M45" s="30">
        <f t="shared" si="7"/>
        <v>-0.51649580150842667</v>
      </c>
      <c r="N45" s="42">
        <f t="shared" si="8"/>
        <v>-0.51649580150842667</v>
      </c>
      <c r="O45" s="43">
        <f t="shared" si="9"/>
        <v>0.26676791297583208</v>
      </c>
      <c r="P45" s="43">
        <f t="shared" si="10"/>
        <v>-0.2484668157274208</v>
      </c>
      <c r="Q45" s="43">
        <f t="shared" si="11"/>
        <v>-0.2484668157274208</v>
      </c>
      <c r="R45" s="43">
        <f t="shared" si="12"/>
        <v>6.1735758517724081E-2</v>
      </c>
    </row>
    <row r="46" spans="1:18" x14ac:dyDescent="0.3">
      <c r="A46" s="47">
        <v>38028</v>
      </c>
      <c r="B46" s="48">
        <v>0</v>
      </c>
      <c r="C46" s="50">
        <v>0</v>
      </c>
      <c r="D46" s="10">
        <f t="shared" si="0"/>
        <v>-0.38980777739764078</v>
      </c>
      <c r="E46" s="10">
        <f t="shared" si="1"/>
        <v>-0.48607599697214554</v>
      </c>
      <c r="F46" s="10">
        <f t="shared" si="13"/>
        <v>0.15195010331968867</v>
      </c>
      <c r="G46" s="10">
        <f t="shared" si="13"/>
        <v>0.23626987483246525</v>
      </c>
      <c r="H46" s="11">
        <f t="shared" si="3"/>
        <v>0.18947620402605442</v>
      </c>
      <c r="I46" s="12">
        <f t="shared" si="4"/>
        <v>0</v>
      </c>
      <c r="J46" s="28">
        <f t="shared" si="5"/>
        <v>0</v>
      </c>
      <c r="K46" s="30">
        <f t="shared" si="6"/>
        <v>0</v>
      </c>
      <c r="L46" s="5"/>
      <c r="M46" s="30">
        <f t="shared" si="7"/>
        <v>0</v>
      </c>
      <c r="N46" s="42">
        <f t="shared" si="8"/>
        <v>0</v>
      </c>
      <c r="O46" s="43">
        <f t="shared" si="9"/>
        <v>0</v>
      </c>
      <c r="P46" s="43">
        <f t="shared" si="10"/>
        <v>-0.34013437099999999</v>
      </c>
      <c r="Q46" s="43">
        <f t="shared" si="11"/>
        <v>-0.34013437099999999</v>
      </c>
      <c r="R46" s="43">
        <f t="shared" si="12"/>
        <v>0.11569139033556564</v>
      </c>
    </row>
    <row r="47" spans="1:18" x14ac:dyDescent="0.3">
      <c r="A47" s="47">
        <v>38029</v>
      </c>
      <c r="B47" s="48">
        <v>0</v>
      </c>
      <c r="C47" s="50">
        <v>1.4602872543036938E-3</v>
      </c>
      <c r="D47" s="10">
        <f t="shared" si="0"/>
        <v>-0.38980777739764078</v>
      </c>
      <c r="E47" s="10">
        <f t="shared" si="1"/>
        <v>-0.48461570971784185</v>
      </c>
      <c r="F47" s="10">
        <f t="shared" si="13"/>
        <v>0.15195010331968867</v>
      </c>
      <c r="G47" s="10">
        <f t="shared" si="13"/>
        <v>0.23485238610532755</v>
      </c>
      <c r="H47" s="11">
        <f t="shared" si="3"/>
        <v>0.1889069726970922</v>
      </c>
      <c r="I47" s="12">
        <f t="shared" si="4"/>
        <v>1.4602872543036938E-3</v>
      </c>
      <c r="J47" s="28">
        <f t="shared" si="5"/>
        <v>2.1324388650818208E-6</v>
      </c>
      <c r="K47" s="30">
        <f t="shared" si="6"/>
        <v>1.4602872543036938E-3</v>
      </c>
      <c r="L47" s="5"/>
      <c r="M47" s="30">
        <f t="shared" si="7"/>
        <v>-1.4602872543036938E-3</v>
      </c>
      <c r="N47" s="42">
        <f t="shared" si="8"/>
        <v>-1.4602872543036938E-3</v>
      </c>
      <c r="O47" s="43">
        <f t="shared" si="9"/>
        <v>2.1324388650818208E-6</v>
      </c>
      <c r="P47" s="43">
        <f t="shared" si="10"/>
        <v>-0.34013437099999999</v>
      </c>
      <c r="Q47" s="43">
        <f t="shared" si="11"/>
        <v>-0.34013437099999999</v>
      </c>
      <c r="R47" s="43">
        <f t="shared" si="12"/>
        <v>0.11569139033556564</v>
      </c>
    </row>
    <row r="48" spans="1:18" x14ac:dyDescent="0.3">
      <c r="A48" s="47">
        <v>38030</v>
      </c>
      <c r="B48" s="48">
        <v>7.5338869094848633</v>
      </c>
      <c r="C48" s="50">
        <v>0.70387470722198486</v>
      </c>
      <c r="D48" s="10">
        <f t="shared" si="0"/>
        <v>7.1440791320872226</v>
      </c>
      <c r="E48" s="10">
        <f t="shared" si="1"/>
        <v>0.21779871024983932</v>
      </c>
      <c r="F48" s="10">
        <f t="shared" si="13"/>
        <v>51.037866645524126</v>
      </c>
      <c r="G48" s="10">
        <f t="shared" si="13"/>
        <v>4.7436278186493465E-2</v>
      </c>
      <c r="H48" s="11">
        <f t="shared" si="3"/>
        <v>1.5559712208913885</v>
      </c>
      <c r="I48" s="12">
        <f t="shared" si="4"/>
        <v>6.8300122022628784</v>
      </c>
      <c r="J48" s="28">
        <f t="shared" si="5"/>
        <v>46.649066683059814</v>
      </c>
      <c r="K48" s="30">
        <f t="shared" si="6"/>
        <v>-6.8300122022628784</v>
      </c>
      <c r="L48" s="5"/>
      <c r="M48" s="30">
        <f t="shared" si="7"/>
        <v>6.8300122022628784</v>
      </c>
      <c r="N48" s="42">
        <f t="shared" si="8"/>
        <v>6.8300122022628784</v>
      </c>
      <c r="O48" s="43">
        <f t="shared" si="9"/>
        <v>46.649066683059814</v>
      </c>
      <c r="P48" s="43">
        <f t="shared" si="10"/>
        <v>7.1937525384848637</v>
      </c>
      <c r="Q48" s="43">
        <f t="shared" si="11"/>
        <v>7.1937525384848637</v>
      </c>
      <c r="R48" s="43">
        <f t="shared" si="12"/>
        <v>51.750075584957422</v>
      </c>
    </row>
    <row r="49" spans="1:18" x14ac:dyDescent="0.3">
      <c r="A49" s="47">
        <v>38031</v>
      </c>
      <c r="B49" s="48">
        <v>11.905324935913086</v>
      </c>
      <c r="C49" s="50">
        <v>10.479461669921875</v>
      </c>
      <c r="D49" s="10">
        <f t="shared" si="0"/>
        <v>11.515517158515445</v>
      </c>
      <c r="E49" s="10">
        <f t="shared" si="1"/>
        <v>9.9933856729497297</v>
      </c>
      <c r="F49" s="10">
        <f t="shared" si="13"/>
        <v>132.60713542806363</v>
      </c>
      <c r="G49" s="10">
        <f t="shared" si="13"/>
        <v>99.867757208316917</v>
      </c>
      <c r="H49" s="11">
        <f t="shared" si="3"/>
        <v>115.07900418851503</v>
      </c>
      <c r="I49" s="12">
        <f t="shared" si="4"/>
        <v>1.4258632659912109</v>
      </c>
      <c r="J49" s="28">
        <f t="shared" si="5"/>
        <v>2.0330860533031228</v>
      </c>
      <c r="K49" s="30">
        <f t="shared" si="6"/>
        <v>-1.4258632659912109</v>
      </c>
      <c r="L49" s="5"/>
      <c r="M49" s="30">
        <f t="shared" si="7"/>
        <v>1.4258632659912109</v>
      </c>
      <c r="N49" s="42">
        <f t="shared" si="8"/>
        <v>1.4258632659912109</v>
      </c>
      <c r="O49" s="43">
        <f t="shared" si="9"/>
        <v>2.0330860533031228</v>
      </c>
      <c r="P49" s="43">
        <f t="shared" si="10"/>
        <v>11.565190564913086</v>
      </c>
      <c r="Q49" s="43">
        <f t="shared" si="11"/>
        <v>11.565190564913086</v>
      </c>
      <c r="R49" s="43">
        <f t="shared" si="12"/>
        <v>133.75363280275468</v>
      </c>
    </row>
    <row r="50" spans="1:18" x14ac:dyDescent="0.3">
      <c r="A50" s="47">
        <v>38032</v>
      </c>
      <c r="B50" s="48">
        <v>0.39036214351654053</v>
      </c>
      <c r="C50" s="50">
        <v>1.445401668548584</v>
      </c>
      <c r="D50" s="10">
        <f t="shared" si="0"/>
        <v>5.5436611889975174E-4</v>
      </c>
      <c r="E50" s="10">
        <f t="shared" si="1"/>
        <v>0.95932567157643844</v>
      </c>
      <c r="F50" s="10">
        <f t="shared" si="13"/>
        <v>3.0732179378397369E-7</v>
      </c>
      <c r="G50" s="10">
        <f t="shared" si="13"/>
        <v>0.92030574414558464</v>
      </c>
      <c r="H50" s="11">
        <f t="shared" si="3"/>
        <v>5.3181764931272801E-4</v>
      </c>
      <c r="I50" s="12">
        <f t="shared" si="4"/>
        <v>1.0550395250320435</v>
      </c>
      <c r="J50" s="28">
        <f t="shared" si="5"/>
        <v>1.1131083993798399</v>
      </c>
      <c r="K50" s="30">
        <f t="shared" si="6"/>
        <v>1.0550395250320435</v>
      </c>
      <c r="L50" s="5"/>
      <c r="M50" s="30">
        <f t="shared" si="7"/>
        <v>-1.0550395250320435</v>
      </c>
      <c r="N50" s="42">
        <f t="shared" si="8"/>
        <v>-1.0550395250320435</v>
      </c>
      <c r="O50" s="43">
        <f t="shared" si="9"/>
        <v>1.1131083993798399</v>
      </c>
      <c r="P50" s="43">
        <f t="shared" si="10"/>
        <v>5.0227772516540536E-2</v>
      </c>
      <c r="Q50" s="43">
        <f t="shared" si="11"/>
        <v>5.0227772516540536E-2</v>
      </c>
      <c r="R50" s="43">
        <f t="shared" si="12"/>
        <v>2.5228291319733449E-3</v>
      </c>
    </row>
    <row r="51" spans="1:18" x14ac:dyDescent="0.3">
      <c r="A51" s="47">
        <v>38033</v>
      </c>
      <c r="B51" s="48">
        <v>0</v>
      </c>
      <c r="C51" s="50">
        <v>0.18147659301757813</v>
      </c>
      <c r="D51" s="10">
        <f t="shared" si="0"/>
        <v>-0.38980777739764078</v>
      </c>
      <c r="E51" s="10">
        <f t="shared" si="1"/>
        <v>-0.30459940395456742</v>
      </c>
      <c r="F51" s="10">
        <f t="shared" si="13"/>
        <v>0.15195010331968867</v>
      </c>
      <c r="G51" s="10">
        <f t="shared" si="13"/>
        <v>9.278079688947774E-2</v>
      </c>
      <c r="H51" s="11">
        <f t="shared" si="3"/>
        <v>0.11873521665217608</v>
      </c>
      <c r="I51" s="12">
        <f t="shared" si="4"/>
        <v>0.18147659301757813</v>
      </c>
      <c r="J51" s="28">
        <f t="shared" si="5"/>
        <v>3.2933753813267685E-2</v>
      </c>
      <c r="K51" s="30">
        <f t="shared" si="6"/>
        <v>0.18147659301757813</v>
      </c>
      <c r="L51" s="5"/>
      <c r="M51" s="30">
        <f t="shared" si="7"/>
        <v>-0.18147659301757813</v>
      </c>
      <c r="N51" s="42">
        <f t="shared" si="8"/>
        <v>-0.18147659301757813</v>
      </c>
      <c r="O51" s="43">
        <f t="shared" si="9"/>
        <v>3.2933753813267685E-2</v>
      </c>
      <c r="P51" s="43">
        <f t="shared" si="10"/>
        <v>-0.34013437099999999</v>
      </c>
      <c r="Q51" s="43">
        <f t="shared" si="11"/>
        <v>-0.34013437099999999</v>
      </c>
      <c r="R51" s="43">
        <f t="shared" si="12"/>
        <v>0.11569139033556564</v>
      </c>
    </row>
    <row r="52" spans="1:18" x14ac:dyDescent="0.3">
      <c r="A52" s="47">
        <v>38034</v>
      </c>
      <c r="B52" s="48">
        <v>0</v>
      </c>
      <c r="C52" s="50">
        <v>0</v>
      </c>
      <c r="D52" s="10">
        <f t="shared" si="0"/>
        <v>-0.38980777739764078</v>
      </c>
      <c r="E52" s="10">
        <f t="shared" si="1"/>
        <v>-0.48607599697214554</v>
      </c>
      <c r="F52" s="10">
        <f t="shared" si="13"/>
        <v>0.15195010331968867</v>
      </c>
      <c r="G52" s="10">
        <f t="shared" si="13"/>
        <v>0.23626987483246525</v>
      </c>
      <c r="H52" s="11">
        <f t="shared" si="3"/>
        <v>0.18947620402605442</v>
      </c>
      <c r="I52" s="12">
        <f t="shared" si="4"/>
        <v>0</v>
      </c>
      <c r="J52" s="28">
        <f t="shared" si="5"/>
        <v>0</v>
      </c>
      <c r="K52" s="30">
        <f t="shared" si="6"/>
        <v>0</v>
      </c>
      <c r="L52" s="5"/>
      <c r="M52" s="30">
        <f t="shared" si="7"/>
        <v>0</v>
      </c>
      <c r="N52" s="42">
        <f t="shared" si="8"/>
        <v>0</v>
      </c>
      <c r="O52" s="43">
        <f t="shared" si="9"/>
        <v>0</v>
      </c>
      <c r="P52" s="43">
        <f t="shared" si="10"/>
        <v>-0.34013437099999999</v>
      </c>
      <c r="Q52" s="43">
        <f t="shared" si="11"/>
        <v>-0.34013437099999999</v>
      </c>
      <c r="R52" s="43">
        <f t="shared" si="12"/>
        <v>0.11569139033556564</v>
      </c>
    </row>
    <row r="53" spans="1:18" x14ac:dyDescent="0.3">
      <c r="A53" s="47">
        <v>38035</v>
      </c>
      <c r="B53" s="48">
        <v>0.78885006904602051</v>
      </c>
      <c r="C53" s="50">
        <v>2.3918754886835814E-3</v>
      </c>
      <c r="D53" s="10">
        <f t="shared" si="0"/>
        <v>0.39904229164837973</v>
      </c>
      <c r="E53" s="10">
        <f t="shared" si="1"/>
        <v>-0.48368412148346196</v>
      </c>
      <c r="F53" s="10">
        <f t="shared" si="13"/>
        <v>0.15923475052399055</v>
      </c>
      <c r="G53" s="10">
        <f t="shared" si="13"/>
        <v>0.23395032937522839</v>
      </c>
      <c r="H53" s="11">
        <f t="shared" si="3"/>
        <v>-0.19301042027069396</v>
      </c>
      <c r="I53" s="12">
        <f t="shared" si="4"/>
        <v>0.78645819355733693</v>
      </c>
      <c r="J53" s="28">
        <f t="shared" si="5"/>
        <v>0.61851649021346966</v>
      </c>
      <c r="K53" s="30">
        <f t="shared" si="6"/>
        <v>-0.78645819355733693</v>
      </c>
      <c r="L53" s="5"/>
      <c r="M53" s="30">
        <f t="shared" si="7"/>
        <v>0.78645819355733693</v>
      </c>
      <c r="N53" s="42">
        <f t="shared" si="8"/>
        <v>0.78645819355733693</v>
      </c>
      <c r="O53" s="43">
        <f t="shared" si="9"/>
        <v>0.61851649021346966</v>
      </c>
      <c r="P53" s="43">
        <f t="shared" si="10"/>
        <v>0.44871569804602052</v>
      </c>
      <c r="Q53" s="43">
        <f t="shared" si="11"/>
        <v>0.44871569804602052</v>
      </c>
      <c r="R53" s="43">
        <f t="shared" si="12"/>
        <v>0.20134577767292747</v>
      </c>
    </row>
    <row r="54" spans="1:18" x14ac:dyDescent="0.3">
      <c r="A54" s="47">
        <v>38036</v>
      </c>
      <c r="B54" s="48">
        <v>0.10435318946838379</v>
      </c>
      <c r="C54" s="50">
        <v>0.19560500979423523</v>
      </c>
      <c r="D54" s="10">
        <f t="shared" si="0"/>
        <v>-0.28545458792925699</v>
      </c>
      <c r="E54" s="10">
        <f t="shared" si="1"/>
        <v>-0.29047098717791031</v>
      </c>
      <c r="F54" s="10">
        <f t="shared" si="13"/>
        <v>8.1484321769861909E-2</v>
      </c>
      <c r="G54" s="10">
        <f t="shared" si="13"/>
        <v>8.4373394392109738E-2</v>
      </c>
      <c r="H54" s="11">
        <f t="shared" si="3"/>
        <v>8.2916275950274884E-2</v>
      </c>
      <c r="I54" s="12">
        <f t="shared" si="4"/>
        <v>9.125182032585144E-2</v>
      </c>
      <c r="J54" s="28">
        <f t="shared" si="5"/>
        <v>8.3268947127814741E-3</v>
      </c>
      <c r="K54" s="30">
        <f t="shared" si="6"/>
        <v>9.125182032585144E-2</v>
      </c>
      <c r="L54" s="5"/>
      <c r="M54" s="30">
        <f t="shared" si="7"/>
        <v>-9.125182032585144E-2</v>
      </c>
      <c r="N54" s="42">
        <f t="shared" si="8"/>
        <v>-9.125182032585144E-2</v>
      </c>
      <c r="O54" s="43">
        <f t="shared" si="9"/>
        <v>8.3268947127814741E-3</v>
      </c>
      <c r="P54" s="43">
        <f t="shared" si="10"/>
        <v>-0.2357811815316162</v>
      </c>
      <c r="Q54" s="43">
        <f t="shared" si="11"/>
        <v>-0.2357811815316162</v>
      </c>
      <c r="R54" s="43">
        <f t="shared" si="12"/>
        <v>5.5592765564444951E-2</v>
      </c>
    </row>
    <row r="55" spans="1:18" x14ac:dyDescent="0.3">
      <c r="A55" s="47">
        <v>38037</v>
      </c>
      <c r="B55" s="48">
        <v>0</v>
      </c>
      <c r="C55" s="50">
        <v>0.12151139974594116</v>
      </c>
      <c r="D55" s="10">
        <f t="shared" si="0"/>
        <v>-0.38980777739764078</v>
      </c>
      <c r="E55" s="10">
        <f t="shared" si="1"/>
        <v>-0.36456459722620438</v>
      </c>
      <c r="F55" s="10">
        <f t="shared" si="13"/>
        <v>0.15195010331968867</v>
      </c>
      <c r="G55" s="10">
        <f t="shared" si="13"/>
        <v>0.13290734555070463</v>
      </c>
      <c r="H55" s="11">
        <f t="shared" si="3"/>
        <v>0.14211011536261284</v>
      </c>
      <c r="I55" s="12">
        <f t="shared" si="4"/>
        <v>0.12151139974594116</v>
      </c>
      <c r="J55" s="28">
        <f t="shared" si="5"/>
        <v>1.476502026821791E-2</v>
      </c>
      <c r="K55" s="30">
        <f t="shared" si="6"/>
        <v>0.12151139974594116</v>
      </c>
      <c r="L55" s="5"/>
      <c r="M55" s="30">
        <f t="shared" si="7"/>
        <v>-0.12151139974594116</v>
      </c>
      <c r="N55" s="42">
        <f t="shared" si="8"/>
        <v>-0.12151139974594116</v>
      </c>
      <c r="O55" s="43">
        <f t="shared" si="9"/>
        <v>1.476502026821791E-2</v>
      </c>
      <c r="P55" s="43">
        <f t="shared" si="10"/>
        <v>-0.34013437099999999</v>
      </c>
      <c r="Q55" s="43">
        <f t="shared" si="11"/>
        <v>-0.34013437099999999</v>
      </c>
      <c r="R55" s="43">
        <f t="shared" si="12"/>
        <v>0.11569139033556564</v>
      </c>
    </row>
    <row r="56" spans="1:18" x14ac:dyDescent="0.3">
      <c r="A56" s="47">
        <v>38038</v>
      </c>
      <c r="B56" s="48">
        <v>0</v>
      </c>
      <c r="C56" s="50">
        <v>0</v>
      </c>
      <c r="D56" s="10">
        <f t="shared" si="0"/>
        <v>-0.38980777739764078</v>
      </c>
      <c r="E56" s="10">
        <f t="shared" si="1"/>
        <v>-0.48607599697214554</v>
      </c>
      <c r="F56" s="10">
        <f t="shared" si="13"/>
        <v>0.15195010331968867</v>
      </c>
      <c r="G56" s="10">
        <f t="shared" si="13"/>
        <v>0.23626987483246525</v>
      </c>
      <c r="H56" s="11">
        <f t="shared" si="3"/>
        <v>0.18947620402605442</v>
      </c>
      <c r="I56" s="12">
        <f t="shared" si="4"/>
        <v>0</v>
      </c>
      <c r="J56" s="28">
        <f t="shared" si="5"/>
        <v>0</v>
      </c>
      <c r="K56" s="30">
        <f t="shared" si="6"/>
        <v>0</v>
      </c>
      <c r="L56" s="5"/>
      <c r="M56" s="30">
        <f t="shared" si="7"/>
        <v>0</v>
      </c>
      <c r="N56" s="42">
        <f t="shared" si="8"/>
        <v>0</v>
      </c>
      <c r="O56" s="43">
        <f t="shared" si="9"/>
        <v>0</v>
      </c>
      <c r="P56" s="43">
        <f t="shared" si="10"/>
        <v>-0.34013437099999999</v>
      </c>
      <c r="Q56" s="43">
        <f t="shared" si="11"/>
        <v>-0.34013437099999999</v>
      </c>
      <c r="R56" s="43">
        <f t="shared" si="12"/>
        <v>0.11569139033556564</v>
      </c>
    </row>
    <row r="57" spans="1:18" x14ac:dyDescent="0.3">
      <c r="A57" s="47">
        <v>38039</v>
      </c>
      <c r="B57" s="48">
        <v>0</v>
      </c>
      <c r="C57" s="50">
        <v>1.0200974941253662</v>
      </c>
      <c r="D57" s="10">
        <f t="shared" si="0"/>
        <v>-0.38980777739764078</v>
      </c>
      <c r="E57" s="10">
        <f t="shared" si="1"/>
        <v>0.53402149715322067</v>
      </c>
      <c r="F57" s="10">
        <f t="shared" si="13"/>
        <v>0.15195010331968867</v>
      </c>
      <c r="G57" s="10">
        <f t="shared" si="13"/>
        <v>0.2851789594217673</v>
      </c>
      <c r="H57" s="11">
        <f t="shared" si="3"/>
        <v>-0.2081657328878575</v>
      </c>
      <c r="I57" s="12">
        <f t="shared" si="4"/>
        <v>1.0200974941253662</v>
      </c>
      <c r="J57" s="28">
        <f t="shared" si="5"/>
        <v>1.0405988975208516</v>
      </c>
      <c r="K57" s="30">
        <f t="shared" si="6"/>
        <v>1.0200974941253662</v>
      </c>
      <c r="L57" s="5"/>
      <c r="M57" s="30">
        <f t="shared" si="7"/>
        <v>-1.0200974941253662</v>
      </c>
      <c r="N57" s="42">
        <f t="shared" si="8"/>
        <v>-1.0200974941253662</v>
      </c>
      <c r="O57" s="43">
        <f t="shared" si="9"/>
        <v>1.0405988975208516</v>
      </c>
      <c r="P57" s="43">
        <f t="shared" si="10"/>
        <v>-0.34013437099999999</v>
      </c>
      <c r="Q57" s="43">
        <f t="shared" si="11"/>
        <v>-0.34013437099999999</v>
      </c>
      <c r="R57" s="43">
        <f t="shared" si="12"/>
        <v>0.11569139033556564</v>
      </c>
    </row>
    <row r="58" spans="1:18" x14ac:dyDescent="0.3">
      <c r="A58" s="47">
        <v>38040</v>
      </c>
      <c r="B58" s="48">
        <v>0</v>
      </c>
      <c r="C58" s="50">
        <v>2.5372205302119255E-2</v>
      </c>
      <c r="D58" s="10">
        <f t="shared" si="0"/>
        <v>-0.38980777739764078</v>
      </c>
      <c r="E58" s="10">
        <f t="shared" si="1"/>
        <v>-0.46070379167002629</v>
      </c>
      <c r="F58" s="10">
        <f t="shared" si="13"/>
        <v>0.15195010331968867</v>
      </c>
      <c r="G58" s="10">
        <f t="shared" si="13"/>
        <v>0.21224798365913899</v>
      </c>
      <c r="H58" s="11">
        <f t="shared" si="3"/>
        <v>0.17958592106955867</v>
      </c>
      <c r="I58" s="12">
        <f t="shared" si="4"/>
        <v>2.5372205302119255E-2</v>
      </c>
      <c r="J58" s="28">
        <f t="shared" si="5"/>
        <v>6.4374880189288844E-4</v>
      </c>
      <c r="K58" s="30">
        <f t="shared" si="6"/>
        <v>2.5372205302119255E-2</v>
      </c>
      <c r="L58" s="5"/>
      <c r="M58" s="30">
        <f t="shared" si="7"/>
        <v>-2.5372205302119255E-2</v>
      </c>
      <c r="N58" s="42">
        <f t="shared" si="8"/>
        <v>-2.5372205302119255E-2</v>
      </c>
      <c r="O58" s="43">
        <f t="shared" si="9"/>
        <v>6.4374880189288844E-4</v>
      </c>
      <c r="P58" s="43">
        <f t="shared" si="10"/>
        <v>-0.34013437099999999</v>
      </c>
      <c r="Q58" s="43">
        <f t="shared" si="11"/>
        <v>-0.34013437099999999</v>
      </c>
      <c r="R58" s="43">
        <f t="shared" si="12"/>
        <v>0.11569139033556564</v>
      </c>
    </row>
    <row r="59" spans="1:18" x14ac:dyDescent="0.3">
      <c r="A59" s="47">
        <v>38041</v>
      </c>
      <c r="B59" s="48">
        <v>0</v>
      </c>
      <c r="C59" s="50">
        <v>0</v>
      </c>
      <c r="D59" s="10">
        <f t="shared" si="0"/>
        <v>-0.38980777739764078</v>
      </c>
      <c r="E59" s="10">
        <f t="shared" si="1"/>
        <v>-0.48607599697214554</v>
      </c>
      <c r="F59" s="10">
        <f t="shared" si="13"/>
        <v>0.15195010331968867</v>
      </c>
      <c r="G59" s="10">
        <f t="shared" si="13"/>
        <v>0.23626987483246525</v>
      </c>
      <c r="H59" s="11">
        <f t="shared" si="3"/>
        <v>0.18947620402605442</v>
      </c>
      <c r="I59" s="12">
        <f t="shared" si="4"/>
        <v>0</v>
      </c>
      <c r="J59" s="28">
        <f t="shared" si="5"/>
        <v>0</v>
      </c>
      <c r="K59" s="30">
        <f t="shared" si="6"/>
        <v>0</v>
      </c>
      <c r="L59" s="5"/>
      <c r="M59" s="30">
        <f t="shared" si="7"/>
        <v>0</v>
      </c>
      <c r="N59" s="42">
        <f t="shared" si="8"/>
        <v>0</v>
      </c>
      <c r="O59" s="43">
        <f t="shared" si="9"/>
        <v>0</v>
      </c>
      <c r="P59" s="43">
        <f t="shared" si="10"/>
        <v>-0.34013437099999999</v>
      </c>
      <c r="Q59" s="43">
        <f t="shared" si="11"/>
        <v>-0.34013437099999999</v>
      </c>
      <c r="R59" s="43">
        <f t="shared" si="12"/>
        <v>0.11569139033556564</v>
      </c>
    </row>
    <row r="60" spans="1:18" x14ac:dyDescent="0.3">
      <c r="A60" s="47">
        <v>38042</v>
      </c>
      <c r="B60" s="48">
        <v>0</v>
      </c>
      <c r="C60" s="50">
        <v>0</v>
      </c>
      <c r="D60" s="10">
        <f t="shared" si="0"/>
        <v>-0.38980777739764078</v>
      </c>
      <c r="E60" s="10">
        <f t="shared" si="1"/>
        <v>-0.48607599697214554</v>
      </c>
      <c r="F60" s="10">
        <f t="shared" si="13"/>
        <v>0.15195010331968867</v>
      </c>
      <c r="G60" s="10">
        <f t="shared" si="13"/>
        <v>0.23626987483246525</v>
      </c>
      <c r="H60" s="11">
        <f t="shared" si="3"/>
        <v>0.18947620402605442</v>
      </c>
      <c r="I60" s="12">
        <f t="shared" si="4"/>
        <v>0</v>
      </c>
      <c r="J60" s="28">
        <f t="shared" si="5"/>
        <v>0</v>
      </c>
      <c r="K60" s="30">
        <f t="shared" si="6"/>
        <v>0</v>
      </c>
      <c r="L60" s="5"/>
      <c r="M60" s="30">
        <f t="shared" si="7"/>
        <v>0</v>
      </c>
      <c r="N60" s="42">
        <f t="shared" si="8"/>
        <v>0</v>
      </c>
      <c r="O60" s="43">
        <f t="shared" si="9"/>
        <v>0</v>
      </c>
      <c r="P60" s="43">
        <f t="shared" si="10"/>
        <v>-0.34013437099999999</v>
      </c>
      <c r="Q60" s="43">
        <f t="shared" si="11"/>
        <v>-0.34013437099999999</v>
      </c>
      <c r="R60" s="43">
        <f t="shared" si="12"/>
        <v>0.11569139033556564</v>
      </c>
    </row>
    <row r="61" spans="1:18" x14ac:dyDescent="0.3">
      <c r="A61" s="47">
        <v>38043</v>
      </c>
      <c r="B61" s="48">
        <v>0</v>
      </c>
      <c r="C61" s="50">
        <v>0.18073832988739014</v>
      </c>
      <c r="D61" s="10">
        <f t="shared" si="0"/>
        <v>-0.38980777739764078</v>
      </c>
      <c r="E61" s="10">
        <f t="shared" si="1"/>
        <v>-0.3053376670847554</v>
      </c>
      <c r="F61" s="10">
        <f t="shared" si="13"/>
        <v>0.15195010331968867</v>
      </c>
      <c r="G61" s="10">
        <f t="shared" si="13"/>
        <v>9.323109094076093E-2</v>
      </c>
      <c r="H61" s="11">
        <f t="shared" si="3"/>
        <v>0.11902299736208928</v>
      </c>
      <c r="I61" s="12">
        <f t="shared" si="4"/>
        <v>0.18073832988739014</v>
      </c>
      <c r="J61" s="28">
        <f t="shared" si="5"/>
        <v>3.2666343890483063E-2</v>
      </c>
      <c r="K61" s="30">
        <f t="shared" si="6"/>
        <v>0.18073832988739014</v>
      </c>
      <c r="L61" s="5"/>
      <c r="M61" s="30">
        <f t="shared" si="7"/>
        <v>-0.18073832988739014</v>
      </c>
      <c r="N61" s="42">
        <f t="shared" si="8"/>
        <v>-0.18073832988739014</v>
      </c>
      <c r="O61" s="43">
        <f t="shared" si="9"/>
        <v>3.2666343890483063E-2</v>
      </c>
      <c r="P61" s="43">
        <f t="shared" si="10"/>
        <v>-0.34013437099999999</v>
      </c>
      <c r="Q61" s="43">
        <f t="shared" si="11"/>
        <v>-0.34013437099999999</v>
      </c>
      <c r="R61" s="43">
        <f t="shared" si="12"/>
        <v>0.11569139033556564</v>
      </c>
    </row>
    <row r="62" spans="1:18" x14ac:dyDescent="0.3">
      <c r="A62" s="47">
        <v>38044</v>
      </c>
      <c r="B62" s="48">
        <v>0</v>
      </c>
      <c r="C62" s="50">
        <v>0.28244578838348389</v>
      </c>
      <c r="D62" s="10">
        <f t="shared" si="0"/>
        <v>-0.38980777739764078</v>
      </c>
      <c r="E62" s="10">
        <f t="shared" si="1"/>
        <v>-0.20363020858866165</v>
      </c>
      <c r="F62" s="10">
        <f t="shared" si="13"/>
        <v>0.15195010331968867</v>
      </c>
      <c r="G62" s="10">
        <f t="shared" si="13"/>
        <v>4.1465261849861858E-2</v>
      </c>
      <c r="H62" s="11">
        <f t="shared" si="3"/>
        <v>7.9376639020964188E-2</v>
      </c>
      <c r="I62" s="12">
        <f t="shared" si="4"/>
        <v>0.28244578838348389</v>
      </c>
      <c r="J62" s="28">
        <f t="shared" si="5"/>
        <v>7.9775623375567761E-2</v>
      </c>
      <c r="K62" s="30">
        <f t="shared" si="6"/>
        <v>0.28244578838348389</v>
      </c>
      <c r="L62" s="5"/>
      <c r="M62" s="30">
        <f t="shared" si="7"/>
        <v>-0.28244578838348389</v>
      </c>
      <c r="N62" s="42">
        <f t="shared" si="8"/>
        <v>-0.28244578838348389</v>
      </c>
      <c r="O62" s="43">
        <f t="shared" si="9"/>
        <v>7.9775623375567761E-2</v>
      </c>
      <c r="P62" s="43">
        <f t="shared" si="10"/>
        <v>-0.34013437099999999</v>
      </c>
      <c r="Q62" s="43">
        <f t="shared" si="11"/>
        <v>-0.34013437099999999</v>
      </c>
      <c r="R62" s="43">
        <f t="shared" si="12"/>
        <v>0.11569139033556564</v>
      </c>
    </row>
    <row r="63" spans="1:18" x14ac:dyDescent="0.3">
      <c r="A63" s="47">
        <v>38045</v>
      </c>
      <c r="B63" s="48">
        <v>0</v>
      </c>
      <c r="C63" s="50">
        <v>0</v>
      </c>
      <c r="D63" s="10">
        <f t="shared" si="0"/>
        <v>-0.38980777739764078</v>
      </c>
      <c r="E63" s="10">
        <f t="shared" si="1"/>
        <v>-0.48607599697214554</v>
      </c>
      <c r="F63" s="10">
        <f t="shared" si="13"/>
        <v>0.15195010331968867</v>
      </c>
      <c r="G63" s="10">
        <f t="shared" si="13"/>
        <v>0.23626987483246525</v>
      </c>
      <c r="H63" s="11">
        <f t="shared" si="3"/>
        <v>0.18947620402605442</v>
      </c>
      <c r="I63" s="12">
        <f t="shared" si="4"/>
        <v>0</v>
      </c>
      <c r="J63" s="28">
        <f t="shared" si="5"/>
        <v>0</v>
      </c>
      <c r="K63" s="30">
        <f t="shared" si="6"/>
        <v>0</v>
      </c>
      <c r="L63" s="5"/>
      <c r="M63" s="30">
        <f t="shared" si="7"/>
        <v>0</v>
      </c>
      <c r="N63" s="42">
        <f t="shared" si="8"/>
        <v>0</v>
      </c>
      <c r="O63" s="43">
        <f t="shared" si="9"/>
        <v>0</v>
      </c>
      <c r="P63" s="43">
        <f t="shared" si="10"/>
        <v>-0.34013437099999999</v>
      </c>
      <c r="Q63" s="43">
        <f t="shared" si="11"/>
        <v>-0.34013437099999999</v>
      </c>
      <c r="R63" s="43">
        <f t="shared" si="12"/>
        <v>0.11569139033556564</v>
      </c>
    </row>
    <row r="64" spans="1:18" x14ac:dyDescent="0.3">
      <c r="A64" s="47">
        <v>38046</v>
      </c>
      <c r="B64" s="48">
        <v>0</v>
      </c>
      <c r="C64" s="50">
        <v>0</v>
      </c>
      <c r="D64" s="10">
        <f t="shared" si="0"/>
        <v>-0.38980777739764078</v>
      </c>
      <c r="E64" s="10">
        <f t="shared" si="1"/>
        <v>-0.48607599697214554</v>
      </c>
      <c r="F64" s="10">
        <f t="shared" si="13"/>
        <v>0.15195010331968867</v>
      </c>
      <c r="G64" s="10">
        <f t="shared" si="13"/>
        <v>0.23626987483246525</v>
      </c>
      <c r="H64" s="11">
        <f t="shared" si="3"/>
        <v>0.18947620402605442</v>
      </c>
      <c r="I64" s="12">
        <f t="shared" si="4"/>
        <v>0</v>
      </c>
      <c r="J64" s="28">
        <f t="shared" si="5"/>
        <v>0</v>
      </c>
      <c r="K64" s="30">
        <f t="shared" si="6"/>
        <v>0</v>
      </c>
      <c r="L64" s="5"/>
      <c r="M64" s="30">
        <f t="shared" si="7"/>
        <v>0</v>
      </c>
      <c r="N64" s="42">
        <f t="shared" si="8"/>
        <v>0</v>
      </c>
      <c r="O64" s="43">
        <f t="shared" si="9"/>
        <v>0</v>
      </c>
      <c r="P64" s="43">
        <f t="shared" si="10"/>
        <v>-0.34013437099999999</v>
      </c>
      <c r="Q64" s="43">
        <f t="shared" si="11"/>
        <v>-0.34013437099999999</v>
      </c>
      <c r="R64" s="43">
        <f t="shared" si="12"/>
        <v>0.11569139033556564</v>
      </c>
    </row>
    <row r="65" spans="1:18" x14ac:dyDescent="0.3">
      <c r="A65" s="47">
        <v>38047</v>
      </c>
      <c r="B65" s="48">
        <v>0</v>
      </c>
      <c r="C65" s="50">
        <v>3.3301245421171188E-2</v>
      </c>
      <c r="D65" s="10">
        <f t="shared" si="0"/>
        <v>-0.38980777739764078</v>
      </c>
      <c r="E65" s="10">
        <f t="shared" si="1"/>
        <v>-0.45277475155097435</v>
      </c>
      <c r="F65" s="10">
        <f t="shared" si="13"/>
        <v>0.15195010331968867</v>
      </c>
      <c r="G65" s="10">
        <f t="shared" si="13"/>
        <v>0.20500497564204656</v>
      </c>
      <c r="H65" s="11">
        <f t="shared" si="3"/>
        <v>0.17649511956385433</v>
      </c>
      <c r="I65" s="12">
        <f t="shared" si="4"/>
        <v>3.3301245421171188E-2</v>
      </c>
      <c r="J65" s="28">
        <f t="shared" si="5"/>
        <v>1.108972946601075E-3</v>
      </c>
      <c r="K65" s="30">
        <f t="shared" si="6"/>
        <v>3.3301245421171188E-2</v>
      </c>
      <c r="L65" s="5"/>
      <c r="M65" s="30">
        <f t="shared" si="7"/>
        <v>-3.3301245421171188E-2</v>
      </c>
      <c r="N65" s="42">
        <f t="shared" si="8"/>
        <v>-3.3301245421171188E-2</v>
      </c>
      <c r="O65" s="43">
        <f t="shared" si="9"/>
        <v>1.108972946601075E-3</v>
      </c>
      <c r="P65" s="43">
        <f t="shared" si="10"/>
        <v>-0.34013437099999999</v>
      </c>
      <c r="Q65" s="43">
        <f t="shared" si="11"/>
        <v>-0.34013437099999999</v>
      </c>
      <c r="R65" s="43">
        <f t="shared" si="12"/>
        <v>0.11569139033556564</v>
      </c>
    </row>
    <row r="66" spans="1:18" x14ac:dyDescent="0.3">
      <c r="A66" s="47">
        <v>38048</v>
      </c>
      <c r="B66" s="48">
        <v>0</v>
      </c>
      <c r="C66" s="50">
        <v>0.12131071090698242</v>
      </c>
      <c r="D66" s="10">
        <f t="shared" si="0"/>
        <v>-0.38980777739764078</v>
      </c>
      <c r="E66" s="10">
        <f t="shared" si="1"/>
        <v>-0.36476528606516312</v>
      </c>
      <c r="F66" s="10">
        <f t="shared" si="13"/>
        <v>0.15195010331968867</v>
      </c>
      <c r="G66" s="10">
        <f t="shared" si="13"/>
        <v>0.13305371391820028</v>
      </c>
      <c r="H66" s="11">
        <f t="shared" si="3"/>
        <v>0.14218834543287587</v>
      </c>
      <c r="I66" s="12">
        <f t="shared" si="4"/>
        <v>0.12131071090698242</v>
      </c>
      <c r="J66" s="28">
        <f t="shared" si="5"/>
        <v>1.4716288580757464E-2</v>
      </c>
      <c r="K66" s="30">
        <f t="shared" si="6"/>
        <v>0.12131071090698242</v>
      </c>
      <c r="L66" s="5"/>
      <c r="M66" s="30">
        <f t="shared" si="7"/>
        <v>-0.12131071090698242</v>
      </c>
      <c r="N66" s="42">
        <f t="shared" si="8"/>
        <v>-0.12131071090698242</v>
      </c>
      <c r="O66" s="43">
        <f t="shared" si="9"/>
        <v>1.4716288580757464E-2</v>
      </c>
      <c r="P66" s="43">
        <f t="shared" si="10"/>
        <v>-0.34013437099999999</v>
      </c>
      <c r="Q66" s="43">
        <f t="shared" si="11"/>
        <v>-0.34013437099999999</v>
      </c>
      <c r="R66" s="43">
        <f t="shared" si="12"/>
        <v>0.11569139033556564</v>
      </c>
    </row>
    <row r="67" spans="1:18" x14ac:dyDescent="0.3">
      <c r="A67" s="47">
        <v>38049</v>
      </c>
      <c r="B67" s="48">
        <v>0</v>
      </c>
      <c r="C67" s="50">
        <v>3.7556685507297516E-2</v>
      </c>
      <c r="D67" s="10">
        <f t="shared" si="0"/>
        <v>-0.38980777739764078</v>
      </c>
      <c r="E67" s="10">
        <f t="shared" si="1"/>
        <v>-0.44851931146484803</v>
      </c>
      <c r="F67" s="10">
        <f t="shared" si="13"/>
        <v>0.15195010331968867</v>
      </c>
      <c r="G67" s="10">
        <f t="shared" si="13"/>
        <v>0.20116957275690137</v>
      </c>
      <c r="H67" s="11">
        <f t="shared" si="3"/>
        <v>0.17483631592203258</v>
      </c>
      <c r="I67" s="12">
        <f t="shared" si="4"/>
        <v>3.7556685507297516E-2</v>
      </c>
      <c r="J67" s="28">
        <f t="shared" si="5"/>
        <v>1.4105046262940513E-3</v>
      </c>
      <c r="K67" s="30">
        <f t="shared" si="6"/>
        <v>3.7556685507297516E-2</v>
      </c>
      <c r="L67" s="5"/>
      <c r="M67" s="30">
        <f t="shared" si="7"/>
        <v>-3.7556685507297516E-2</v>
      </c>
      <c r="N67" s="42">
        <f t="shared" si="8"/>
        <v>-3.7556685507297516E-2</v>
      </c>
      <c r="O67" s="43">
        <f t="shared" si="9"/>
        <v>1.4105046262940513E-3</v>
      </c>
      <c r="P67" s="43">
        <f t="shared" si="10"/>
        <v>-0.34013437099999999</v>
      </c>
      <c r="Q67" s="43">
        <f t="shared" si="11"/>
        <v>-0.34013437099999999</v>
      </c>
      <c r="R67" s="43">
        <f t="shared" si="12"/>
        <v>0.11569139033556564</v>
      </c>
    </row>
    <row r="68" spans="1:18" x14ac:dyDescent="0.3">
      <c r="A68" s="47">
        <v>38050</v>
      </c>
      <c r="B68" s="48">
        <v>0</v>
      </c>
      <c r="C68" s="50">
        <v>7.5166011229157448E-3</v>
      </c>
      <c r="D68" s="10">
        <f t="shared" si="0"/>
        <v>-0.38980777739764078</v>
      </c>
      <c r="E68" s="10">
        <f t="shared" si="1"/>
        <v>-0.4785593958492298</v>
      </c>
      <c r="F68" s="10">
        <f t="shared" si="13"/>
        <v>0.15195010331968867</v>
      </c>
      <c r="G68" s="10">
        <f t="shared" si="13"/>
        <v>0.22901909535557982</v>
      </c>
      <c r="H68" s="11">
        <f t="shared" si="3"/>
        <v>0.18654617444874602</v>
      </c>
      <c r="I68" s="12">
        <f t="shared" si="4"/>
        <v>7.5166011229157448E-3</v>
      </c>
      <c r="J68" s="28">
        <f t="shared" si="5"/>
        <v>5.6499292441018235E-5</v>
      </c>
      <c r="K68" s="30">
        <f t="shared" si="6"/>
        <v>7.5166011229157448E-3</v>
      </c>
      <c r="L68" s="5"/>
      <c r="M68" s="30">
        <f t="shared" si="7"/>
        <v>-7.5166011229157448E-3</v>
      </c>
      <c r="N68" s="42">
        <f t="shared" si="8"/>
        <v>-7.5166011229157448E-3</v>
      </c>
      <c r="O68" s="43">
        <f t="shared" si="9"/>
        <v>5.6499292441018235E-5</v>
      </c>
      <c r="P68" s="43">
        <f t="shared" si="10"/>
        <v>-0.34013437099999999</v>
      </c>
      <c r="Q68" s="43">
        <f t="shared" si="11"/>
        <v>-0.34013437099999999</v>
      </c>
      <c r="R68" s="43">
        <f t="shared" si="12"/>
        <v>0.11569139033556564</v>
      </c>
    </row>
    <row r="69" spans="1:18" x14ac:dyDescent="0.3">
      <c r="A69" s="47">
        <v>38051</v>
      </c>
      <c r="B69" s="48">
        <v>1.1068876981735229</v>
      </c>
      <c r="C69" s="50">
        <v>2.7348289489746094</v>
      </c>
      <c r="D69" s="10">
        <f t="shared" ref="D69:D132" si="14">B69-$C$375</f>
        <v>0.71707992077588223</v>
      </c>
      <c r="E69" s="10">
        <f t="shared" ref="E69:E132" si="15">C69-$D$375</f>
        <v>2.2487529520024641</v>
      </c>
      <c r="F69" s="10">
        <f t="shared" si="13"/>
        <v>0.51420361277994553</v>
      </c>
      <c r="G69" s="10">
        <f t="shared" si="13"/>
        <v>5.0568898391397967</v>
      </c>
      <c r="H69" s="11">
        <f t="shared" si="3"/>
        <v>1.6125355886664583</v>
      </c>
      <c r="I69" s="12">
        <f t="shared" si="4"/>
        <v>1.6279412508010864</v>
      </c>
      <c r="J69" s="28">
        <f t="shared" si="5"/>
        <v>2.6501927160598058</v>
      </c>
      <c r="K69" s="30">
        <f t="shared" si="6"/>
        <v>1.6279412508010864</v>
      </c>
      <c r="L69" s="5"/>
      <c r="M69" s="30">
        <f t="shared" si="7"/>
        <v>-1.6279412508010864</v>
      </c>
      <c r="N69" s="42">
        <f t="shared" si="8"/>
        <v>-1.6279412508010864</v>
      </c>
      <c r="O69" s="43">
        <f t="shared" si="9"/>
        <v>2.6501927160598058</v>
      </c>
      <c r="P69" s="43">
        <f t="shared" si="10"/>
        <v>0.76675332717352296</v>
      </c>
      <c r="Q69" s="43">
        <f t="shared" si="11"/>
        <v>0.76675332717352296</v>
      </c>
      <c r="R69" s="43">
        <f t="shared" si="12"/>
        <v>0.58791066473166753</v>
      </c>
    </row>
    <row r="70" spans="1:18" x14ac:dyDescent="0.3">
      <c r="A70" s="47">
        <v>38052</v>
      </c>
      <c r="B70" s="48">
        <v>0.44278484582901001</v>
      </c>
      <c r="C70" s="50">
        <v>3.4558142069727182E-3</v>
      </c>
      <c r="D70" s="10">
        <f t="shared" si="14"/>
        <v>5.2977068431369234E-2</v>
      </c>
      <c r="E70" s="10">
        <f t="shared" si="15"/>
        <v>-0.48262018276517282</v>
      </c>
      <c r="F70" s="10">
        <f t="shared" si="13"/>
        <v>2.8065697795819785E-3</v>
      </c>
      <c r="G70" s="10">
        <f t="shared" si="13"/>
        <v>0.23292224081228882</v>
      </c>
      <c r="H70" s="11">
        <f t="shared" si="3"/>
        <v>-2.5567802448710486E-2</v>
      </c>
      <c r="I70" s="12">
        <f t="shared" si="4"/>
        <v>0.43932903162203729</v>
      </c>
      <c r="J70" s="28">
        <f t="shared" si="5"/>
        <v>0.19300999802595703</v>
      </c>
      <c r="K70" s="30">
        <f t="shared" ref="K70:K133" si="16">C70-B70</f>
        <v>-0.43932903162203729</v>
      </c>
      <c r="L70" s="5"/>
      <c r="M70" s="30">
        <f t="shared" ref="M70:M133" si="17">B70-C70</f>
        <v>0.43932903162203729</v>
      </c>
      <c r="N70" s="42">
        <f t="shared" ref="N70:N133" si="18">B70-C70</f>
        <v>0.43932903162203729</v>
      </c>
      <c r="O70" s="43">
        <f t="shared" ref="O70:O133" si="19">M70*N70</f>
        <v>0.19300999802595703</v>
      </c>
      <c r="P70" s="43">
        <f t="shared" ref="P70:P133" si="20">B70-0.340134371</f>
        <v>0.10265047482901002</v>
      </c>
      <c r="Q70" s="43">
        <f t="shared" ref="Q70:Q133" si="21">B70-0.340134371</f>
        <v>0.10265047482901002</v>
      </c>
      <c r="R70" s="43">
        <f t="shared" ref="R70:R133" si="22">P70*Q70</f>
        <v>1.053711998262122E-2</v>
      </c>
    </row>
    <row r="71" spans="1:18" x14ac:dyDescent="0.3">
      <c r="A71" s="47">
        <v>38053</v>
      </c>
      <c r="B71" s="48">
        <v>0</v>
      </c>
      <c r="C71" s="50">
        <v>0</v>
      </c>
      <c r="D71" s="10">
        <f t="shared" si="14"/>
        <v>-0.38980777739764078</v>
      </c>
      <c r="E71" s="10">
        <f t="shared" si="15"/>
        <v>-0.48607599697214554</v>
      </c>
      <c r="F71" s="10">
        <f t="shared" si="13"/>
        <v>0.15195010331968867</v>
      </c>
      <c r="G71" s="10">
        <f t="shared" si="13"/>
        <v>0.23626987483246525</v>
      </c>
      <c r="H71" s="11">
        <f t="shared" si="3"/>
        <v>0.18947620402605442</v>
      </c>
      <c r="I71" s="12">
        <f t="shared" si="4"/>
        <v>0</v>
      </c>
      <c r="J71" s="28">
        <f t="shared" si="5"/>
        <v>0</v>
      </c>
      <c r="K71" s="30">
        <f t="shared" si="16"/>
        <v>0</v>
      </c>
      <c r="L71" s="5"/>
      <c r="M71" s="30">
        <f t="shared" si="17"/>
        <v>0</v>
      </c>
      <c r="N71" s="42">
        <f t="shared" si="18"/>
        <v>0</v>
      </c>
      <c r="O71" s="43">
        <f t="shared" si="19"/>
        <v>0</v>
      </c>
      <c r="P71" s="43">
        <f t="shared" si="20"/>
        <v>-0.34013437099999999</v>
      </c>
      <c r="Q71" s="43">
        <f t="shared" si="21"/>
        <v>-0.34013437099999999</v>
      </c>
      <c r="R71" s="43">
        <f t="shared" si="22"/>
        <v>0.11569139033556564</v>
      </c>
    </row>
    <row r="72" spans="1:18" x14ac:dyDescent="0.3">
      <c r="A72" s="47">
        <v>38054</v>
      </c>
      <c r="B72" s="48">
        <v>0</v>
      </c>
      <c r="C72" s="50">
        <v>0</v>
      </c>
      <c r="D72" s="10">
        <f t="shared" si="14"/>
        <v>-0.38980777739764078</v>
      </c>
      <c r="E72" s="10">
        <f t="shared" si="15"/>
        <v>-0.48607599697214554</v>
      </c>
      <c r="F72" s="10">
        <f t="shared" si="13"/>
        <v>0.15195010331968867</v>
      </c>
      <c r="G72" s="10">
        <f t="shared" si="13"/>
        <v>0.23626987483246525</v>
      </c>
      <c r="H72" s="11">
        <f t="shared" si="3"/>
        <v>0.18947620402605442</v>
      </c>
      <c r="I72" s="12">
        <f t="shared" si="4"/>
        <v>0</v>
      </c>
      <c r="J72" s="28">
        <f t="shared" si="5"/>
        <v>0</v>
      </c>
      <c r="K72" s="30">
        <f t="shared" si="16"/>
        <v>0</v>
      </c>
      <c r="L72" s="5"/>
      <c r="M72" s="30">
        <f t="shared" si="17"/>
        <v>0</v>
      </c>
      <c r="N72" s="42">
        <f t="shared" si="18"/>
        <v>0</v>
      </c>
      <c r="O72" s="43">
        <f t="shared" si="19"/>
        <v>0</v>
      </c>
      <c r="P72" s="43">
        <f t="shared" si="20"/>
        <v>-0.34013437099999999</v>
      </c>
      <c r="Q72" s="43">
        <f t="shared" si="21"/>
        <v>-0.34013437099999999</v>
      </c>
      <c r="R72" s="43">
        <f t="shared" si="22"/>
        <v>0.11569139033556564</v>
      </c>
    </row>
    <row r="73" spans="1:18" x14ac:dyDescent="0.3">
      <c r="A73" s="47">
        <v>38055</v>
      </c>
      <c r="B73" s="48">
        <v>0</v>
      </c>
      <c r="C73" s="50">
        <v>0</v>
      </c>
      <c r="D73" s="10">
        <f t="shared" si="14"/>
        <v>-0.38980777739764078</v>
      </c>
      <c r="E73" s="10">
        <f t="shared" si="15"/>
        <v>-0.48607599697214554</v>
      </c>
      <c r="F73" s="10">
        <f t="shared" si="13"/>
        <v>0.15195010331968867</v>
      </c>
      <c r="G73" s="10">
        <f t="shared" si="13"/>
        <v>0.23626987483246525</v>
      </c>
      <c r="H73" s="11">
        <f t="shared" si="3"/>
        <v>0.18947620402605442</v>
      </c>
      <c r="I73" s="12">
        <f t="shared" si="4"/>
        <v>0</v>
      </c>
      <c r="J73" s="28">
        <f t="shared" si="5"/>
        <v>0</v>
      </c>
      <c r="K73" s="30">
        <f t="shared" si="16"/>
        <v>0</v>
      </c>
      <c r="L73" s="5"/>
      <c r="M73" s="30">
        <f t="shared" si="17"/>
        <v>0</v>
      </c>
      <c r="N73" s="42">
        <f t="shared" si="18"/>
        <v>0</v>
      </c>
      <c r="O73" s="43">
        <f t="shared" si="19"/>
        <v>0</v>
      </c>
      <c r="P73" s="43">
        <f t="shared" si="20"/>
        <v>-0.34013437099999999</v>
      </c>
      <c r="Q73" s="43">
        <f t="shared" si="21"/>
        <v>-0.34013437099999999</v>
      </c>
      <c r="R73" s="43">
        <f t="shared" si="22"/>
        <v>0.11569139033556564</v>
      </c>
    </row>
    <row r="74" spans="1:18" x14ac:dyDescent="0.3">
      <c r="A74" s="47">
        <v>38056</v>
      </c>
      <c r="B74" s="48">
        <v>0</v>
      </c>
      <c r="C74" s="50">
        <v>0</v>
      </c>
      <c r="D74" s="10">
        <f t="shared" si="14"/>
        <v>-0.38980777739764078</v>
      </c>
      <c r="E74" s="10">
        <f t="shared" si="15"/>
        <v>-0.48607599697214554</v>
      </c>
      <c r="F74" s="10">
        <f t="shared" si="13"/>
        <v>0.15195010331968867</v>
      </c>
      <c r="G74" s="10">
        <f t="shared" si="13"/>
        <v>0.23626987483246525</v>
      </c>
      <c r="H74" s="11">
        <f t="shared" si="3"/>
        <v>0.18947620402605442</v>
      </c>
      <c r="I74" s="12">
        <f t="shared" si="4"/>
        <v>0</v>
      </c>
      <c r="J74" s="28">
        <f t="shared" si="5"/>
        <v>0</v>
      </c>
      <c r="K74" s="30">
        <f t="shared" si="16"/>
        <v>0</v>
      </c>
      <c r="L74" s="5"/>
      <c r="M74" s="30">
        <f t="shared" si="17"/>
        <v>0</v>
      </c>
      <c r="N74" s="42">
        <f t="shared" si="18"/>
        <v>0</v>
      </c>
      <c r="O74" s="43">
        <f t="shared" si="19"/>
        <v>0</v>
      </c>
      <c r="P74" s="43">
        <f t="shared" si="20"/>
        <v>-0.34013437099999999</v>
      </c>
      <c r="Q74" s="43">
        <f t="shared" si="21"/>
        <v>-0.34013437099999999</v>
      </c>
      <c r="R74" s="43">
        <f t="shared" si="22"/>
        <v>0.11569139033556564</v>
      </c>
    </row>
    <row r="75" spans="1:18" x14ac:dyDescent="0.3">
      <c r="A75" s="47">
        <v>38057</v>
      </c>
      <c r="B75" s="48">
        <v>0</v>
      </c>
      <c r="C75" s="50">
        <v>0</v>
      </c>
      <c r="D75" s="10">
        <f t="shared" si="14"/>
        <v>-0.38980777739764078</v>
      </c>
      <c r="E75" s="10">
        <f t="shared" si="15"/>
        <v>-0.48607599697214554</v>
      </c>
      <c r="F75" s="10">
        <f t="shared" si="13"/>
        <v>0.15195010331968867</v>
      </c>
      <c r="G75" s="10">
        <f t="shared" si="13"/>
        <v>0.23626987483246525</v>
      </c>
      <c r="H75" s="11">
        <f t="shared" si="3"/>
        <v>0.18947620402605442</v>
      </c>
      <c r="I75" s="12">
        <f t="shared" si="4"/>
        <v>0</v>
      </c>
      <c r="J75" s="28">
        <f t="shared" si="5"/>
        <v>0</v>
      </c>
      <c r="K75" s="30">
        <f t="shared" si="16"/>
        <v>0</v>
      </c>
      <c r="L75" s="5"/>
      <c r="M75" s="30">
        <f t="shared" si="17"/>
        <v>0</v>
      </c>
      <c r="N75" s="42">
        <f t="shared" si="18"/>
        <v>0</v>
      </c>
      <c r="O75" s="43">
        <f t="shared" si="19"/>
        <v>0</v>
      </c>
      <c r="P75" s="43">
        <f t="shared" si="20"/>
        <v>-0.34013437099999999</v>
      </c>
      <c r="Q75" s="43">
        <f t="shared" si="21"/>
        <v>-0.34013437099999999</v>
      </c>
      <c r="R75" s="43">
        <f t="shared" si="22"/>
        <v>0.11569139033556564</v>
      </c>
    </row>
    <row r="76" spans="1:18" x14ac:dyDescent="0.3">
      <c r="A76" s="47">
        <v>38058</v>
      </c>
      <c r="B76" s="48">
        <v>0</v>
      </c>
      <c r="C76" s="50">
        <v>0</v>
      </c>
      <c r="D76" s="10">
        <f t="shared" si="14"/>
        <v>-0.38980777739764078</v>
      </c>
      <c r="E76" s="10">
        <f t="shared" si="15"/>
        <v>-0.48607599697214554</v>
      </c>
      <c r="F76" s="10">
        <f t="shared" si="13"/>
        <v>0.15195010331968867</v>
      </c>
      <c r="G76" s="10">
        <f t="shared" si="13"/>
        <v>0.23626987483246525</v>
      </c>
      <c r="H76" s="11">
        <f t="shared" si="3"/>
        <v>0.18947620402605442</v>
      </c>
      <c r="I76" s="12">
        <f t="shared" si="4"/>
        <v>0</v>
      </c>
      <c r="J76" s="28">
        <f t="shared" si="5"/>
        <v>0</v>
      </c>
      <c r="K76" s="30">
        <f t="shared" si="16"/>
        <v>0</v>
      </c>
      <c r="L76" s="5"/>
      <c r="M76" s="30">
        <f t="shared" si="17"/>
        <v>0</v>
      </c>
      <c r="N76" s="42">
        <f t="shared" si="18"/>
        <v>0</v>
      </c>
      <c r="O76" s="43">
        <f t="shared" si="19"/>
        <v>0</v>
      </c>
      <c r="P76" s="43">
        <f t="shared" si="20"/>
        <v>-0.34013437099999999</v>
      </c>
      <c r="Q76" s="43">
        <f t="shared" si="21"/>
        <v>-0.34013437099999999</v>
      </c>
      <c r="R76" s="43">
        <f t="shared" si="22"/>
        <v>0.11569139033556564</v>
      </c>
    </row>
    <row r="77" spans="1:18" x14ac:dyDescent="0.3">
      <c r="A77" s="47">
        <v>38059</v>
      </c>
      <c r="B77" s="48">
        <v>0</v>
      </c>
      <c r="C77" s="50">
        <v>1.332018175162375E-3</v>
      </c>
      <c r="D77" s="10">
        <f t="shared" si="14"/>
        <v>-0.38980777739764078</v>
      </c>
      <c r="E77" s="10">
        <f t="shared" si="15"/>
        <v>-0.48474397879698317</v>
      </c>
      <c r="F77" s="10">
        <f t="shared" si="13"/>
        <v>0.15195010331968867</v>
      </c>
      <c r="G77" s="10">
        <f t="shared" si="13"/>
        <v>0.23497672497993005</v>
      </c>
      <c r="H77" s="11">
        <f t="shared" si="3"/>
        <v>0.18895697298174111</v>
      </c>
      <c r="I77" s="12">
        <f t="shared" si="4"/>
        <v>1.332018175162375E-3</v>
      </c>
      <c r="J77" s="28">
        <f t="shared" si="5"/>
        <v>1.7742724189629035E-6</v>
      </c>
      <c r="K77" s="30">
        <f t="shared" si="16"/>
        <v>1.332018175162375E-3</v>
      </c>
      <c r="L77" s="5"/>
      <c r="M77" s="30">
        <f t="shared" si="17"/>
        <v>-1.332018175162375E-3</v>
      </c>
      <c r="N77" s="42">
        <f t="shared" si="18"/>
        <v>-1.332018175162375E-3</v>
      </c>
      <c r="O77" s="43">
        <f t="shared" si="19"/>
        <v>1.7742724189629035E-6</v>
      </c>
      <c r="P77" s="43">
        <f t="shared" si="20"/>
        <v>-0.34013437099999999</v>
      </c>
      <c r="Q77" s="43">
        <f t="shared" si="21"/>
        <v>-0.34013437099999999</v>
      </c>
      <c r="R77" s="43">
        <f t="shared" si="22"/>
        <v>0.11569139033556564</v>
      </c>
    </row>
    <row r="78" spans="1:18" x14ac:dyDescent="0.3">
      <c r="A78" s="47">
        <v>38060</v>
      </c>
      <c r="B78" s="48">
        <v>0</v>
      </c>
      <c r="C78" s="50">
        <v>0</v>
      </c>
      <c r="D78" s="10">
        <f t="shared" si="14"/>
        <v>-0.38980777739764078</v>
      </c>
      <c r="E78" s="10">
        <f t="shared" si="15"/>
        <v>-0.48607599697214554</v>
      </c>
      <c r="F78" s="10">
        <f t="shared" si="13"/>
        <v>0.15195010331968867</v>
      </c>
      <c r="G78" s="10">
        <f t="shared" si="13"/>
        <v>0.23626987483246525</v>
      </c>
      <c r="H78" s="11">
        <f t="shared" si="3"/>
        <v>0.18947620402605442</v>
      </c>
      <c r="I78" s="12">
        <f t="shared" si="4"/>
        <v>0</v>
      </c>
      <c r="J78" s="28">
        <f t="shared" si="5"/>
        <v>0</v>
      </c>
      <c r="K78" s="30">
        <f t="shared" si="16"/>
        <v>0</v>
      </c>
      <c r="L78" s="5"/>
      <c r="M78" s="30">
        <f t="shared" si="17"/>
        <v>0</v>
      </c>
      <c r="N78" s="42">
        <f t="shared" si="18"/>
        <v>0</v>
      </c>
      <c r="O78" s="43">
        <f t="shared" si="19"/>
        <v>0</v>
      </c>
      <c r="P78" s="43">
        <f t="shared" si="20"/>
        <v>-0.34013437099999999</v>
      </c>
      <c r="Q78" s="43">
        <f t="shared" si="21"/>
        <v>-0.34013437099999999</v>
      </c>
      <c r="R78" s="43">
        <f t="shared" si="22"/>
        <v>0.11569139033556564</v>
      </c>
    </row>
    <row r="79" spans="1:18" x14ac:dyDescent="0.3">
      <c r="A79" s="47">
        <v>38061</v>
      </c>
      <c r="B79" s="48">
        <v>0</v>
      </c>
      <c r="C79" s="50">
        <v>0</v>
      </c>
      <c r="D79" s="10">
        <f t="shared" si="14"/>
        <v>-0.38980777739764078</v>
      </c>
      <c r="E79" s="10">
        <f t="shared" si="15"/>
        <v>-0.48607599697214554</v>
      </c>
      <c r="F79" s="10">
        <f t="shared" si="13"/>
        <v>0.15195010331968867</v>
      </c>
      <c r="G79" s="10">
        <f t="shared" si="13"/>
        <v>0.23626987483246525</v>
      </c>
      <c r="H79" s="11">
        <f t="shared" si="3"/>
        <v>0.18947620402605442</v>
      </c>
      <c r="I79" s="12">
        <f t="shared" si="4"/>
        <v>0</v>
      </c>
      <c r="J79" s="28">
        <f t="shared" si="5"/>
        <v>0</v>
      </c>
      <c r="K79" s="30">
        <f t="shared" si="16"/>
        <v>0</v>
      </c>
      <c r="L79" s="5"/>
      <c r="M79" s="30">
        <f t="shared" si="17"/>
        <v>0</v>
      </c>
      <c r="N79" s="42">
        <f t="shared" si="18"/>
        <v>0</v>
      </c>
      <c r="O79" s="43">
        <f t="shared" si="19"/>
        <v>0</v>
      </c>
      <c r="P79" s="43">
        <f t="shared" si="20"/>
        <v>-0.34013437099999999</v>
      </c>
      <c r="Q79" s="43">
        <f t="shared" si="21"/>
        <v>-0.34013437099999999</v>
      </c>
      <c r="R79" s="43">
        <f t="shared" si="22"/>
        <v>0.11569139033556564</v>
      </c>
    </row>
    <row r="80" spans="1:18" x14ac:dyDescent="0.3">
      <c r="A80" s="47">
        <v>38062</v>
      </c>
      <c r="B80" s="48">
        <v>0</v>
      </c>
      <c r="C80" s="50">
        <v>0</v>
      </c>
      <c r="D80" s="10">
        <f t="shared" si="14"/>
        <v>-0.38980777739764078</v>
      </c>
      <c r="E80" s="10">
        <f t="shared" si="15"/>
        <v>-0.48607599697214554</v>
      </c>
      <c r="F80" s="10">
        <f t="shared" si="13"/>
        <v>0.15195010331968867</v>
      </c>
      <c r="G80" s="10">
        <f t="shared" si="13"/>
        <v>0.23626987483246525</v>
      </c>
      <c r="H80" s="11">
        <f t="shared" si="3"/>
        <v>0.18947620402605442</v>
      </c>
      <c r="I80" s="12">
        <f t="shared" si="4"/>
        <v>0</v>
      </c>
      <c r="J80" s="28">
        <f t="shared" si="5"/>
        <v>0</v>
      </c>
      <c r="K80" s="30">
        <f t="shared" si="16"/>
        <v>0</v>
      </c>
      <c r="L80" s="5"/>
      <c r="M80" s="30">
        <f t="shared" si="17"/>
        <v>0</v>
      </c>
      <c r="N80" s="42">
        <f t="shared" si="18"/>
        <v>0</v>
      </c>
      <c r="O80" s="43">
        <f t="shared" si="19"/>
        <v>0</v>
      </c>
      <c r="P80" s="43">
        <f t="shared" si="20"/>
        <v>-0.34013437099999999</v>
      </c>
      <c r="Q80" s="43">
        <f t="shared" si="21"/>
        <v>-0.34013437099999999</v>
      </c>
      <c r="R80" s="43">
        <f t="shared" si="22"/>
        <v>0.11569139033556564</v>
      </c>
    </row>
    <row r="81" spans="1:18" x14ac:dyDescent="0.3">
      <c r="A81" s="47">
        <v>38063</v>
      </c>
      <c r="B81" s="48">
        <v>0</v>
      </c>
      <c r="C81" s="50">
        <v>0</v>
      </c>
      <c r="D81" s="10">
        <f t="shared" si="14"/>
        <v>-0.38980777739764078</v>
      </c>
      <c r="E81" s="10">
        <f t="shared" si="15"/>
        <v>-0.48607599697214554</v>
      </c>
      <c r="F81" s="10">
        <f t="shared" si="13"/>
        <v>0.15195010331968867</v>
      </c>
      <c r="G81" s="10">
        <f t="shared" si="13"/>
        <v>0.23626987483246525</v>
      </c>
      <c r="H81" s="11">
        <f t="shared" si="3"/>
        <v>0.18947620402605442</v>
      </c>
      <c r="I81" s="12">
        <f t="shared" si="4"/>
        <v>0</v>
      </c>
      <c r="J81" s="28">
        <f t="shared" si="5"/>
        <v>0</v>
      </c>
      <c r="K81" s="30">
        <f t="shared" si="16"/>
        <v>0</v>
      </c>
      <c r="L81" s="5"/>
      <c r="M81" s="30">
        <f t="shared" si="17"/>
        <v>0</v>
      </c>
      <c r="N81" s="42">
        <f t="shared" si="18"/>
        <v>0</v>
      </c>
      <c r="O81" s="43">
        <f t="shared" si="19"/>
        <v>0</v>
      </c>
      <c r="P81" s="43">
        <f t="shared" si="20"/>
        <v>-0.34013437099999999</v>
      </c>
      <c r="Q81" s="43">
        <f t="shared" si="21"/>
        <v>-0.34013437099999999</v>
      </c>
      <c r="R81" s="43">
        <f t="shared" si="22"/>
        <v>0.11569139033556564</v>
      </c>
    </row>
    <row r="82" spans="1:18" x14ac:dyDescent="0.3">
      <c r="A82" s="47">
        <v>38064</v>
      </c>
      <c r="B82" s="48">
        <v>0</v>
      </c>
      <c r="C82" s="50">
        <v>0</v>
      </c>
      <c r="D82" s="10">
        <f t="shared" si="14"/>
        <v>-0.38980777739764078</v>
      </c>
      <c r="E82" s="10">
        <f t="shared" si="15"/>
        <v>-0.48607599697214554</v>
      </c>
      <c r="F82" s="10">
        <f t="shared" si="13"/>
        <v>0.15195010331968867</v>
      </c>
      <c r="G82" s="10">
        <f t="shared" si="13"/>
        <v>0.23626987483246525</v>
      </c>
      <c r="H82" s="11">
        <f t="shared" si="3"/>
        <v>0.18947620402605442</v>
      </c>
      <c r="I82" s="12">
        <f t="shared" si="4"/>
        <v>0</v>
      </c>
      <c r="J82" s="28">
        <f t="shared" si="5"/>
        <v>0</v>
      </c>
      <c r="K82" s="30">
        <f t="shared" si="16"/>
        <v>0</v>
      </c>
      <c r="L82" s="5"/>
      <c r="M82" s="30">
        <f t="shared" si="17"/>
        <v>0</v>
      </c>
      <c r="N82" s="42">
        <f t="shared" si="18"/>
        <v>0</v>
      </c>
      <c r="O82" s="43">
        <f t="shared" si="19"/>
        <v>0</v>
      </c>
      <c r="P82" s="43">
        <f t="shared" si="20"/>
        <v>-0.34013437099999999</v>
      </c>
      <c r="Q82" s="43">
        <f t="shared" si="21"/>
        <v>-0.34013437099999999</v>
      </c>
      <c r="R82" s="43">
        <f t="shared" si="22"/>
        <v>0.11569139033556564</v>
      </c>
    </row>
    <row r="83" spans="1:18" x14ac:dyDescent="0.3">
      <c r="A83" s="47">
        <v>38065</v>
      </c>
      <c r="B83" s="48">
        <v>0</v>
      </c>
      <c r="C83" s="50">
        <v>0</v>
      </c>
      <c r="D83" s="10">
        <f t="shared" si="14"/>
        <v>-0.38980777739764078</v>
      </c>
      <c r="E83" s="10">
        <f t="shared" si="15"/>
        <v>-0.48607599697214554</v>
      </c>
      <c r="F83" s="10">
        <f t="shared" si="13"/>
        <v>0.15195010331968867</v>
      </c>
      <c r="G83" s="10">
        <f t="shared" si="13"/>
        <v>0.23626987483246525</v>
      </c>
      <c r="H83" s="11">
        <f t="shared" si="3"/>
        <v>0.18947620402605442</v>
      </c>
      <c r="I83" s="12">
        <f t="shared" si="4"/>
        <v>0</v>
      </c>
      <c r="J83" s="28">
        <f t="shared" si="5"/>
        <v>0</v>
      </c>
      <c r="K83" s="30">
        <f t="shared" si="16"/>
        <v>0</v>
      </c>
      <c r="L83" s="5"/>
      <c r="M83" s="30">
        <f t="shared" si="17"/>
        <v>0</v>
      </c>
      <c r="N83" s="42">
        <f t="shared" si="18"/>
        <v>0</v>
      </c>
      <c r="O83" s="43">
        <f t="shared" si="19"/>
        <v>0</v>
      </c>
      <c r="P83" s="43">
        <f t="shared" si="20"/>
        <v>-0.34013437099999999</v>
      </c>
      <c r="Q83" s="43">
        <f t="shared" si="21"/>
        <v>-0.34013437099999999</v>
      </c>
      <c r="R83" s="43">
        <f t="shared" si="22"/>
        <v>0.11569139033556564</v>
      </c>
    </row>
    <row r="84" spans="1:18" x14ac:dyDescent="0.3">
      <c r="A84" s="47">
        <v>38066</v>
      </c>
      <c r="B84" s="48">
        <v>0</v>
      </c>
      <c r="C84" s="50">
        <v>0</v>
      </c>
      <c r="D84" s="10">
        <f t="shared" si="14"/>
        <v>-0.38980777739764078</v>
      </c>
      <c r="E84" s="10">
        <f t="shared" si="15"/>
        <v>-0.48607599697214554</v>
      </c>
      <c r="F84" s="10">
        <f t="shared" si="13"/>
        <v>0.15195010331968867</v>
      </c>
      <c r="G84" s="10">
        <f t="shared" si="13"/>
        <v>0.23626987483246525</v>
      </c>
      <c r="H84" s="11">
        <f t="shared" si="3"/>
        <v>0.18947620402605442</v>
      </c>
      <c r="I84" s="12">
        <f t="shared" si="4"/>
        <v>0</v>
      </c>
      <c r="J84" s="28">
        <f t="shared" si="5"/>
        <v>0</v>
      </c>
      <c r="K84" s="30">
        <f t="shared" si="16"/>
        <v>0</v>
      </c>
      <c r="L84" s="5"/>
      <c r="M84" s="30">
        <f t="shared" si="17"/>
        <v>0</v>
      </c>
      <c r="N84" s="42">
        <f t="shared" si="18"/>
        <v>0</v>
      </c>
      <c r="O84" s="43">
        <f t="shared" si="19"/>
        <v>0</v>
      </c>
      <c r="P84" s="43">
        <f t="shared" si="20"/>
        <v>-0.34013437099999999</v>
      </c>
      <c r="Q84" s="43">
        <f t="shared" si="21"/>
        <v>-0.34013437099999999</v>
      </c>
      <c r="R84" s="43">
        <f t="shared" si="22"/>
        <v>0.11569139033556564</v>
      </c>
    </row>
    <row r="85" spans="1:18" x14ac:dyDescent="0.3">
      <c r="A85" s="47">
        <v>38067</v>
      </c>
      <c r="B85" s="48">
        <v>0</v>
      </c>
      <c r="C85" s="50">
        <v>0</v>
      </c>
      <c r="D85" s="10">
        <f t="shared" si="14"/>
        <v>-0.38980777739764078</v>
      </c>
      <c r="E85" s="10">
        <f t="shared" si="15"/>
        <v>-0.48607599697214554</v>
      </c>
      <c r="F85" s="10">
        <f t="shared" ref="F85:G148" si="23">D85^2</f>
        <v>0.15195010331968867</v>
      </c>
      <c r="G85" s="10">
        <f t="shared" si="23"/>
        <v>0.23626987483246525</v>
      </c>
      <c r="H85" s="11">
        <f t="shared" si="3"/>
        <v>0.18947620402605442</v>
      </c>
      <c r="I85" s="12">
        <f t="shared" si="4"/>
        <v>0</v>
      </c>
      <c r="J85" s="28">
        <f t="shared" si="5"/>
        <v>0</v>
      </c>
      <c r="K85" s="30">
        <f t="shared" si="16"/>
        <v>0</v>
      </c>
      <c r="L85" s="5"/>
      <c r="M85" s="30">
        <f t="shared" si="17"/>
        <v>0</v>
      </c>
      <c r="N85" s="42">
        <f t="shared" si="18"/>
        <v>0</v>
      </c>
      <c r="O85" s="43">
        <f t="shared" si="19"/>
        <v>0</v>
      </c>
      <c r="P85" s="43">
        <f t="shared" si="20"/>
        <v>-0.34013437099999999</v>
      </c>
      <c r="Q85" s="43">
        <f t="shared" si="21"/>
        <v>-0.34013437099999999</v>
      </c>
      <c r="R85" s="43">
        <f t="shared" si="22"/>
        <v>0.11569139033556564</v>
      </c>
    </row>
    <row r="86" spans="1:18" x14ac:dyDescent="0.3">
      <c r="A86" s="47">
        <v>38068</v>
      </c>
      <c r="B86" s="48">
        <v>0</v>
      </c>
      <c r="C86" s="50">
        <v>0</v>
      </c>
      <c r="D86" s="10">
        <f t="shared" si="14"/>
        <v>-0.38980777739764078</v>
      </c>
      <c r="E86" s="10">
        <f t="shared" si="15"/>
        <v>-0.48607599697214554</v>
      </c>
      <c r="F86" s="10">
        <f t="shared" si="23"/>
        <v>0.15195010331968867</v>
      </c>
      <c r="G86" s="10">
        <f t="shared" si="23"/>
        <v>0.23626987483246525</v>
      </c>
      <c r="H86" s="11">
        <f t="shared" si="3"/>
        <v>0.18947620402605442</v>
      </c>
      <c r="I86" s="12">
        <f t="shared" si="4"/>
        <v>0</v>
      </c>
      <c r="J86" s="28">
        <f t="shared" si="5"/>
        <v>0</v>
      </c>
      <c r="K86" s="30">
        <f t="shared" si="16"/>
        <v>0</v>
      </c>
      <c r="L86" s="5"/>
      <c r="M86" s="30">
        <f t="shared" si="17"/>
        <v>0</v>
      </c>
      <c r="N86" s="42">
        <f t="shared" si="18"/>
        <v>0</v>
      </c>
      <c r="O86" s="43">
        <f t="shared" si="19"/>
        <v>0</v>
      </c>
      <c r="P86" s="43">
        <f t="shared" si="20"/>
        <v>-0.34013437099999999</v>
      </c>
      <c r="Q86" s="43">
        <f t="shared" si="21"/>
        <v>-0.34013437099999999</v>
      </c>
      <c r="R86" s="43">
        <f t="shared" si="22"/>
        <v>0.11569139033556564</v>
      </c>
    </row>
    <row r="87" spans="1:18" x14ac:dyDescent="0.3">
      <c r="A87" s="47">
        <v>38069</v>
      </c>
      <c r="B87" s="48">
        <v>0</v>
      </c>
      <c r="C87" s="50">
        <v>3.7505034357309341E-2</v>
      </c>
      <c r="D87" s="10">
        <f t="shared" si="14"/>
        <v>-0.38980777739764078</v>
      </c>
      <c r="E87" s="10">
        <f t="shared" si="15"/>
        <v>-0.4485709626148362</v>
      </c>
      <c r="F87" s="10">
        <f t="shared" si="23"/>
        <v>0.15195010331968867</v>
      </c>
      <c r="G87" s="10">
        <f t="shared" si="23"/>
        <v>0.20121590850120077</v>
      </c>
      <c r="H87" s="11">
        <f t="shared" si="3"/>
        <v>0.17485644994200952</v>
      </c>
      <c r="I87" s="12">
        <f t="shared" si="4"/>
        <v>3.7505034357309341E-2</v>
      </c>
      <c r="J87" s="28">
        <f t="shared" si="5"/>
        <v>1.4066276021429541E-3</v>
      </c>
      <c r="K87" s="30">
        <f t="shared" si="16"/>
        <v>3.7505034357309341E-2</v>
      </c>
      <c r="L87" s="5"/>
      <c r="M87" s="30">
        <f t="shared" si="17"/>
        <v>-3.7505034357309341E-2</v>
      </c>
      <c r="N87" s="42">
        <f t="shared" si="18"/>
        <v>-3.7505034357309341E-2</v>
      </c>
      <c r="O87" s="43">
        <f t="shared" si="19"/>
        <v>1.4066276021429541E-3</v>
      </c>
      <c r="P87" s="43">
        <f t="shared" si="20"/>
        <v>-0.34013437099999999</v>
      </c>
      <c r="Q87" s="43">
        <f t="shared" si="21"/>
        <v>-0.34013437099999999</v>
      </c>
      <c r="R87" s="43">
        <f t="shared" si="22"/>
        <v>0.11569139033556564</v>
      </c>
    </row>
    <row r="88" spans="1:18" x14ac:dyDescent="0.3">
      <c r="A88" s="47">
        <v>38070</v>
      </c>
      <c r="B88" s="48">
        <v>0</v>
      </c>
      <c r="C88" s="50">
        <v>0</v>
      </c>
      <c r="D88" s="10">
        <f t="shared" si="14"/>
        <v>-0.38980777739764078</v>
      </c>
      <c r="E88" s="10">
        <f t="shared" si="15"/>
        <v>-0.48607599697214554</v>
      </c>
      <c r="F88" s="10">
        <f t="shared" si="23"/>
        <v>0.15195010331968867</v>
      </c>
      <c r="G88" s="10">
        <f t="shared" si="23"/>
        <v>0.23626987483246525</v>
      </c>
      <c r="H88" s="11">
        <f t="shared" si="3"/>
        <v>0.18947620402605442</v>
      </c>
      <c r="I88" s="12">
        <f t="shared" si="4"/>
        <v>0</v>
      </c>
      <c r="J88" s="28">
        <f t="shared" si="5"/>
        <v>0</v>
      </c>
      <c r="K88" s="30">
        <f t="shared" si="16"/>
        <v>0</v>
      </c>
      <c r="L88" s="5"/>
      <c r="M88" s="30">
        <f t="shared" si="17"/>
        <v>0</v>
      </c>
      <c r="N88" s="42">
        <f t="shared" si="18"/>
        <v>0</v>
      </c>
      <c r="O88" s="43">
        <f t="shared" si="19"/>
        <v>0</v>
      </c>
      <c r="P88" s="43">
        <f t="shared" si="20"/>
        <v>-0.34013437099999999</v>
      </c>
      <c r="Q88" s="43">
        <f t="shared" si="21"/>
        <v>-0.34013437099999999</v>
      </c>
      <c r="R88" s="43">
        <f t="shared" si="22"/>
        <v>0.11569139033556564</v>
      </c>
    </row>
    <row r="89" spans="1:18" x14ac:dyDescent="0.3">
      <c r="A89" s="47">
        <v>38071</v>
      </c>
      <c r="B89" s="48">
        <v>0</v>
      </c>
      <c r="C89" s="50">
        <v>0</v>
      </c>
      <c r="D89" s="10">
        <f t="shared" si="14"/>
        <v>-0.38980777739764078</v>
      </c>
      <c r="E89" s="10">
        <f t="shared" si="15"/>
        <v>-0.48607599697214554</v>
      </c>
      <c r="F89" s="10">
        <f t="shared" si="23"/>
        <v>0.15195010331968867</v>
      </c>
      <c r="G89" s="10">
        <f t="shared" si="23"/>
        <v>0.23626987483246525</v>
      </c>
      <c r="H89" s="11">
        <f t="shared" si="3"/>
        <v>0.18947620402605442</v>
      </c>
      <c r="I89" s="12">
        <f t="shared" si="4"/>
        <v>0</v>
      </c>
      <c r="J89" s="28">
        <f t="shared" si="5"/>
        <v>0</v>
      </c>
      <c r="K89" s="30">
        <f t="shared" si="16"/>
        <v>0</v>
      </c>
      <c r="L89" s="5"/>
      <c r="M89" s="30">
        <f t="shared" si="17"/>
        <v>0</v>
      </c>
      <c r="N89" s="42">
        <f t="shared" si="18"/>
        <v>0</v>
      </c>
      <c r="O89" s="43">
        <f t="shared" si="19"/>
        <v>0</v>
      </c>
      <c r="P89" s="43">
        <f t="shared" si="20"/>
        <v>-0.34013437099999999</v>
      </c>
      <c r="Q89" s="43">
        <f t="shared" si="21"/>
        <v>-0.34013437099999999</v>
      </c>
      <c r="R89" s="43">
        <f t="shared" si="22"/>
        <v>0.11569139033556564</v>
      </c>
    </row>
    <row r="90" spans="1:18" x14ac:dyDescent="0.3">
      <c r="A90" s="47">
        <v>38072</v>
      </c>
      <c r="B90" s="48">
        <v>0</v>
      </c>
      <c r="C90" s="50">
        <v>0</v>
      </c>
      <c r="D90" s="10">
        <f t="shared" si="14"/>
        <v>-0.38980777739764078</v>
      </c>
      <c r="E90" s="10">
        <f t="shared" si="15"/>
        <v>-0.48607599697214554</v>
      </c>
      <c r="F90" s="10">
        <f t="shared" si="23"/>
        <v>0.15195010331968867</v>
      </c>
      <c r="G90" s="10">
        <f t="shared" si="23"/>
        <v>0.23626987483246525</v>
      </c>
      <c r="H90" s="11">
        <f t="shared" si="3"/>
        <v>0.18947620402605442</v>
      </c>
      <c r="I90" s="12">
        <f t="shared" si="4"/>
        <v>0</v>
      </c>
      <c r="J90" s="28">
        <f t="shared" si="5"/>
        <v>0</v>
      </c>
      <c r="K90" s="30">
        <f t="shared" si="16"/>
        <v>0</v>
      </c>
      <c r="L90" s="5"/>
      <c r="M90" s="30">
        <f t="shared" si="17"/>
        <v>0</v>
      </c>
      <c r="N90" s="42">
        <f t="shared" si="18"/>
        <v>0</v>
      </c>
      <c r="O90" s="43">
        <f t="shared" si="19"/>
        <v>0</v>
      </c>
      <c r="P90" s="43">
        <f t="shared" si="20"/>
        <v>-0.34013437099999999</v>
      </c>
      <c r="Q90" s="43">
        <f t="shared" si="21"/>
        <v>-0.34013437099999999</v>
      </c>
      <c r="R90" s="43">
        <f t="shared" si="22"/>
        <v>0.11569139033556564</v>
      </c>
    </row>
    <row r="91" spans="1:18" x14ac:dyDescent="0.3">
      <c r="A91" s="47">
        <v>38073</v>
      </c>
      <c r="B91" s="48">
        <v>0</v>
      </c>
      <c r="C91" s="50">
        <v>2.9393291333690286E-4</v>
      </c>
      <c r="D91" s="10">
        <f t="shared" si="14"/>
        <v>-0.38980777739764078</v>
      </c>
      <c r="E91" s="10">
        <f t="shared" si="15"/>
        <v>-0.48578206405880864</v>
      </c>
      <c r="F91" s="10">
        <f t="shared" si="23"/>
        <v>0.15195010331968867</v>
      </c>
      <c r="G91" s="10">
        <f t="shared" si="23"/>
        <v>0.23598421376123646</v>
      </c>
      <c r="H91" s="11">
        <f t="shared" si="3"/>
        <v>0.18936162669040255</v>
      </c>
      <c r="I91" s="12">
        <f t="shared" si="4"/>
        <v>2.9393291333690286E-4</v>
      </c>
      <c r="J91" s="28">
        <f t="shared" si="5"/>
        <v>8.6396557542719245E-8</v>
      </c>
      <c r="K91" s="30">
        <f t="shared" si="16"/>
        <v>2.9393291333690286E-4</v>
      </c>
      <c r="L91" s="5"/>
      <c r="M91" s="30">
        <f t="shared" si="17"/>
        <v>-2.9393291333690286E-4</v>
      </c>
      <c r="N91" s="42">
        <f t="shared" si="18"/>
        <v>-2.9393291333690286E-4</v>
      </c>
      <c r="O91" s="43">
        <f t="shared" si="19"/>
        <v>8.6396557542719245E-8</v>
      </c>
      <c r="P91" s="43">
        <f t="shared" si="20"/>
        <v>-0.34013437099999999</v>
      </c>
      <c r="Q91" s="43">
        <f t="shared" si="21"/>
        <v>-0.34013437099999999</v>
      </c>
      <c r="R91" s="43">
        <f t="shared" si="22"/>
        <v>0.11569139033556564</v>
      </c>
    </row>
    <row r="92" spans="1:18" x14ac:dyDescent="0.3">
      <c r="A92" s="47">
        <v>38074</v>
      </c>
      <c r="B92" s="48">
        <v>0</v>
      </c>
      <c r="C92" s="50">
        <v>6.9455808261409402E-4</v>
      </c>
      <c r="D92" s="10">
        <f t="shared" si="14"/>
        <v>-0.38980777739764078</v>
      </c>
      <c r="E92" s="10">
        <f t="shared" si="15"/>
        <v>-0.48538143888953145</v>
      </c>
      <c r="F92" s="10">
        <f t="shared" si="23"/>
        <v>0.15195010331968867</v>
      </c>
      <c r="G92" s="10">
        <f t="shared" si="23"/>
        <v>0.23559514121847194</v>
      </c>
      <c r="H92" s="11">
        <f t="shared" si="3"/>
        <v>0.18920545988359705</v>
      </c>
      <c r="I92" s="12">
        <f t="shared" si="4"/>
        <v>6.9455808261409402E-4</v>
      </c>
      <c r="J92" s="28">
        <f t="shared" si="5"/>
        <v>4.8241093012456665E-7</v>
      </c>
      <c r="K92" s="30">
        <f t="shared" si="16"/>
        <v>6.9455808261409402E-4</v>
      </c>
      <c r="L92" s="5"/>
      <c r="M92" s="30">
        <f t="shared" si="17"/>
        <v>-6.9455808261409402E-4</v>
      </c>
      <c r="N92" s="42">
        <f t="shared" si="18"/>
        <v>-6.9455808261409402E-4</v>
      </c>
      <c r="O92" s="43">
        <f t="shared" si="19"/>
        <v>4.8241093012456665E-7</v>
      </c>
      <c r="P92" s="43">
        <f t="shared" si="20"/>
        <v>-0.34013437099999999</v>
      </c>
      <c r="Q92" s="43">
        <f t="shared" si="21"/>
        <v>-0.34013437099999999</v>
      </c>
      <c r="R92" s="43">
        <f t="shared" si="22"/>
        <v>0.11569139033556564</v>
      </c>
    </row>
    <row r="93" spans="1:18" x14ac:dyDescent="0.3">
      <c r="A93" s="47">
        <v>38075</v>
      </c>
      <c r="B93" s="48">
        <v>0</v>
      </c>
      <c r="C93" s="50">
        <v>4.7788489609956741E-8</v>
      </c>
      <c r="D93" s="10">
        <f t="shared" si="14"/>
        <v>-0.38980777739764078</v>
      </c>
      <c r="E93" s="10">
        <f t="shared" si="15"/>
        <v>-0.48607594918365593</v>
      </c>
      <c r="F93" s="10">
        <f t="shared" si="23"/>
        <v>0.15195010331968867</v>
      </c>
      <c r="G93" s="10">
        <f t="shared" si="23"/>
        <v>0.23626982837479207</v>
      </c>
      <c r="H93" s="11">
        <f t="shared" si="3"/>
        <v>0.18947618539772951</v>
      </c>
      <c r="I93" s="12">
        <f t="shared" si="4"/>
        <v>4.7788489609956741E-8</v>
      </c>
      <c r="J93" s="28">
        <f t="shared" si="5"/>
        <v>2.2837397392009434E-15</v>
      </c>
      <c r="K93" s="30">
        <f t="shared" si="16"/>
        <v>4.7788489609956741E-8</v>
      </c>
      <c r="L93" s="5"/>
      <c r="M93" s="30">
        <f t="shared" si="17"/>
        <v>-4.7788489609956741E-8</v>
      </c>
      <c r="N93" s="42">
        <f t="shared" si="18"/>
        <v>-4.7788489609956741E-8</v>
      </c>
      <c r="O93" s="43">
        <f t="shared" si="19"/>
        <v>2.2837397392009434E-15</v>
      </c>
      <c r="P93" s="43">
        <f t="shared" si="20"/>
        <v>-0.34013437099999999</v>
      </c>
      <c r="Q93" s="43">
        <f t="shared" si="21"/>
        <v>-0.34013437099999999</v>
      </c>
      <c r="R93" s="43">
        <f t="shared" si="22"/>
        <v>0.11569139033556564</v>
      </c>
    </row>
    <row r="94" spans="1:18" x14ac:dyDescent="0.3">
      <c r="A94" s="47">
        <v>38076</v>
      </c>
      <c r="B94" s="48">
        <v>0</v>
      </c>
      <c r="C94" s="50">
        <v>2.9399337247014046E-2</v>
      </c>
      <c r="D94" s="10">
        <f t="shared" si="14"/>
        <v>-0.38980777739764078</v>
      </c>
      <c r="E94" s="10">
        <f t="shared" si="15"/>
        <v>-0.4566766597251315</v>
      </c>
      <c r="F94" s="10">
        <f t="shared" si="23"/>
        <v>0.15195010331968867</v>
      </c>
      <c r="G94" s="10">
        <f t="shared" si="23"/>
        <v>0.20855357153770354</v>
      </c>
      <c r="H94" s="11">
        <f t="shared" si="3"/>
        <v>0.17801611371683221</v>
      </c>
      <c r="I94" s="12">
        <f t="shared" si="4"/>
        <v>2.9399337247014046E-2</v>
      </c>
      <c r="J94" s="28">
        <f t="shared" si="5"/>
        <v>8.6432103056366741E-4</v>
      </c>
      <c r="K94" s="30">
        <f t="shared" si="16"/>
        <v>2.9399337247014046E-2</v>
      </c>
      <c r="L94" s="5"/>
      <c r="M94" s="30">
        <f t="shared" si="17"/>
        <v>-2.9399337247014046E-2</v>
      </c>
      <c r="N94" s="42">
        <f t="shared" si="18"/>
        <v>-2.9399337247014046E-2</v>
      </c>
      <c r="O94" s="43">
        <f t="shared" si="19"/>
        <v>8.6432103056366741E-4</v>
      </c>
      <c r="P94" s="43">
        <f t="shared" si="20"/>
        <v>-0.34013437099999999</v>
      </c>
      <c r="Q94" s="43">
        <f t="shared" si="21"/>
        <v>-0.34013437099999999</v>
      </c>
      <c r="R94" s="43">
        <f t="shared" si="22"/>
        <v>0.11569139033556564</v>
      </c>
    </row>
    <row r="95" spans="1:18" x14ac:dyDescent="0.3">
      <c r="A95" s="47">
        <v>38077</v>
      </c>
      <c r="B95" s="48">
        <v>0</v>
      </c>
      <c r="C95" s="50">
        <v>7.9717867076396942E-2</v>
      </c>
      <c r="D95" s="10">
        <f t="shared" si="14"/>
        <v>-0.38980777739764078</v>
      </c>
      <c r="E95" s="10">
        <f t="shared" si="15"/>
        <v>-0.4063581298957486</v>
      </c>
      <c r="F95" s="10">
        <f t="shared" si="23"/>
        <v>0.15195010331968867</v>
      </c>
      <c r="G95" s="10">
        <f t="shared" si="23"/>
        <v>0.16512692973237009</v>
      </c>
      <c r="H95" s="11">
        <f t="shared" si="3"/>
        <v>0.15840155944212356</v>
      </c>
      <c r="I95" s="12">
        <f t="shared" si="4"/>
        <v>7.9717867076396942E-2</v>
      </c>
      <c r="J95" s="28">
        <f t="shared" si="5"/>
        <v>6.3549383312100916E-3</v>
      </c>
      <c r="K95" s="30">
        <f t="shared" si="16"/>
        <v>7.9717867076396942E-2</v>
      </c>
      <c r="L95" s="5"/>
      <c r="M95" s="30">
        <f t="shared" si="17"/>
        <v>-7.9717867076396942E-2</v>
      </c>
      <c r="N95" s="42">
        <f t="shared" si="18"/>
        <v>-7.9717867076396942E-2</v>
      </c>
      <c r="O95" s="43">
        <f t="shared" si="19"/>
        <v>6.3549383312100916E-3</v>
      </c>
      <c r="P95" s="43">
        <f t="shared" si="20"/>
        <v>-0.34013437099999999</v>
      </c>
      <c r="Q95" s="43">
        <f t="shared" si="21"/>
        <v>-0.34013437099999999</v>
      </c>
      <c r="R95" s="43">
        <f t="shared" si="22"/>
        <v>0.11569139033556564</v>
      </c>
    </row>
    <row r="96" spans="1:18" x14ac:dyDescent="0.3">
      <c r="A96" s="47">
        <v>38078</v>
      </c>
      <c r="B96" s="48">
        <v>0</v>
      </c>
      <c r="C96" s="50">
        <v>5.7411644607782364E-2</v>
      </c>
      <c r="D96" s="10">
        <f t="shared" si="14"/>
        <v>-0.38980777739764078</v>
      </c>
      <c r="E96" s="10">
        <f t="shared" si="15"/>
        <v>-0.42866435236436318</v>
      </c>
      <c r="F96" s="10">
        <f t="shared" si="23"/>
        <v>0.15195010331968867</v>
      </c>
      <c r="G96" s="10">
        <f t="shared" si="23"/>
        <v>0.18375312698795893</v>
      </c>
      <c r="H96" s="11">
        <f t="shared" si="3"/>
        <v>0.16709669844475153</v>
      </c>
      <c r="I96" s="12">
        <f t="shared" si="4"/>
        <v>5.7411644607782364E-2</v>
      </c>
      <c r="J96" s="28">
        <f t="shared" si="5"/>
        <v>3.2960969365703058E-3</v>
      </c>
      <c r="K96" s="30">
        <f t="shared" si="16"/>
        <v>5.7411644607782364E-2</v>
      </c>
      <c r="L96" s="5"/>
      <c r="M96" s="30">
        <f t="shared" si="17"/>
        <v>-5.7411644607782364E-2</v>
      </c>
      <c r="N96" s="42">
        <f t="shared" si="18"/>
        <v>-5.7411644607782364E-2</v>
      </c>
      <c r="O96" s="43">
        <f t="shared" si="19"/>
        <v>3.2960969365703058E-3</v>
      </c>
      <c r="P96" s="43">
        <f t="shared" si="20"/>
        <v>-0.34013437099999999</v>
      </c>
      <c r="Q96" s="43">
        <f t="shared" si="21"/>
        <v>-0.34013437099999999</v>
      </c>
      <c r="R96" s="43">
        <f t="shared" si="22"/>
        <v>0.11569139033556564</v>
      </c>
    </row>
    <row r="97" spans="1:18" x14ac:dyDescent="0.3">
      <c r="A97" s="47">
        <v>38079</v>
      </c>
      <c r="B97" s="48">
        <v>0</v>
      </c>
      <c r="C97" s="50">
        <v>0</v>
      </c>
      <c r="D97" s="10">
        <f t="shared" si="14"/>
        <v>-0.38980777739764078</v>
      </c>
      <c r="E97" s="10">
        <f t="shared" si="15"/>
        <v>-0.48607599697214554</v>
      </c>
      <c r="F97" s="10">
        <f t="shared" si="23"/>
        <v>0.15195010331968867</v>
      </c>
      <c r="G97" s="10">
        <f t="shared" si="23"/>
        <v>0.23626987483246525</v>
      </c>
      <c r="H97" s="11">
        <f t="shared" si="3"/>
        <v>0.18947620402605442</v>
      </c>
      <c r="I97" s="12">
        <f t="shared" si="4"/>
        <v>0</v>
      </c>
      <c r="J97" s="28">
        <f t="shared" si="5"/>
        <v>0</v>
      </c>
      <c r="K97" s="30">
        <f t="shared" si="16"/>
        <v>0</v>
      </c>
      <c r="L97" s="5"/>
      <c r="M97" s="30">
        <f t="shared" si="17"/>
        <v>0</v>
      </c>
      <c r="N97" s="42">
        <f t="shared" si="18"/>
        <v>0</v>
      </c>
      <c r="O97" s="43">
        <f t="shared" si="19"/>
        <v>0</v>
      </c>
      <c r="P97" s="43">
        <f t="shared" si="20"/>
        <v>-0.34013437099999999</v>
      </c>
      <c r="Q97" s="43">
        <f t="shared" si="21"/>
        <v>-0.34013437099999999</v>
      </c>
      <c r="R97" s="43">
        <f t="shared" si="22"/>
        <v>0.11569139033556564</v>
      </c>
    </row>
    <row r="98" spans="1:18" x14ac:dyDescent="0.3">
      <c r="A98" s="47">
        <v>38080</v>
      </c>
      <c r="B98" s="48">
        <v>0</v>
      </c>
      <c r="C98" s="50">
        <v>0</v>
      </c>
      <c r="D98" s="10">
        <f t="shared" si="14"/>
        <v>-0.38980777739764078</v>
      </c>
      <c r="E98" s="10">
        <f t="shared" si="15"/>
        <v>-0.48607599697214554</v>
      </c>
      <c r="F98" s="10">
        <f t="shared" si="23"/>
        <v>0.15195010331968867</v>
      </c>
      <c r="G98" s="10">
        <f t="shared" si="23"/>
        <v>0.23626987483246525</v>
      </c>
      <c r="H98" s="11">
        <f t="shared" si="3"/>
        <v>0.18947620402605442</v>
      </c>
      <c r="I98" s="12">
        <f t="shared" si="4"/>
        <v>0</v>
      </c>
      <c r="J98" s="28">
        <f t="shared" si="5"/>
        <v>0</v>
      </c>
      <c r="K98" s="30">
        <f t="shared" si="16"/>
        <v>0</v>
      </c>
      <c r="L98" s="5"/>
      <c r="M98" s="30">
        <f t="shared" si="17"/>
        <v>0</v>
      </c>
      <c r="N98" s="42">
        <f t="shared" si="18"/>
        <v>0</v>
      </c>
      <c r="O98" s="43">
        <f t="shared" si="19"/>
        <v>0</v>
      </c>
      <c r="P98" s="43">
        <f t="shared" si="20"/>
        <v>-0.34013437099999999</v>
      </c>
      <c r="Q98" s="43">
        <f t="shared" si="21"/>
        <v>-0.34013437099999999</v>
      </c>
      <c r="R98" s="43">
        <f t="shared" si="22"/>
        <v>0.11569139033556564</v>
      </c>
    </row>
    <row r="99" spans="1:18" x14ac:dyDescent="0.3">
      <c r="A99" s="47">
        <v>38081</v>
      </c>
      <c r="B99" s="48">
        <v>0</v>
      </c>
      <c r="C99" s="50">
        <v>0</v>
      </c>
      <c r="D99" s="10">
        <f t="shared" si="14"/>
        <v>-0.38980777739764078</v>
      </c>
      <c r="E99" s="10">
        <f t="shared" si="15"/>
        <v>-0.48607599697214554</v>
      </c>
      <c r="F99" s="10">
        <f t="shared" si="23"/>
        <v>0.15195010331968867</v>
      </c>
      <c r="G99" s="10">
        <f t="shared" si="23"/>
        <v>0.23626987483246525</v>
      </c>
      <c r="H99" s="11">
        <f t="shared" si="3"/>
        <v>0.18947620402605442</v>
      </c>
      <c r="I99" s="12">
        <f t="shared" si="4"/>
        <v>0</v>
      </c>
      <c r="J99" s="28">
        <f t="shared" si="5"/>
        <v>0</v>
      </c>
      <c r="K99" s="30">
        <f t="shared" si="16"/>
        <v>0</v>
      </c>
      <c r="L99" s="5"/>
      <c r="M99" s="30">
        <f t="shared" si="17"/>
        <v>0</v>
      </c>
      <c r="N99" s="42">
        <f t="shared" si="18"/>
        <v>0</v>
      </c>
      <c r="O99" s="43">
        <f t="shared" si="19"/>
        <v>0</v>
      </c>
      <c r="P99" s="43">
        <f t="shared" si="20"/>
        <v>-0.34013437099999999</v>
      </c>
      <c r="Q99" s="43">
        <f t="shared" si="21"/>
        <v>-0.34013437099999999</v>
      </c>
      <c r="R99" s="43">
        <f t="shared" si="22"/>
        <v>0.11569139033556564</v>
      </c>
    </row>
    <row r="100" spans="1:18" x14ac:dyDescent="0.3">
      <c r="A100" s="47">
        <v>38082</v>
      </c>
      <c r="B100" s="48">
        <v>0</v>
      </c>
      <c r="C100" s="50">
        <v>2.2246770095080137E-4</v>
      </c>
      <c r="D100" s="10">
        <f t="shared" si="14"/>
        <v>-0.38980777739764078</v>
      </c>
      <c r="E100" s="10">
        <f t="shared" si="15"/>
        <v>-0.48585352927119474</v>
      </c>
      <c r="F100" s="10">
        <f t="shared" si="23"/>
        <v>0.15195010331968867</v>
      </c>
      <c r="G100" s="10">
        <f t="shared" si="23"/>
        <v>0.23605365190527569</v>
      </c>
      <c r="H100" s="11">
        <f t="shared" si="3"/>
        <v>0.18938948438600403</v>
      </c>
      <c r="I100" s="12">
        <f t="shared" si="4"/>
        <v>2.2246770095080137E-4</v>
      </c>
      <c r="J100" s="28">
        <f t="shared" si="5"/>
        <v>4.949187796633519E-8</v>
      </c>
      <c r="K100" s="30">
        <f t="shared" si="16"/>
        <v>2.2246770095080137E-4</v>
      </c>
      <c r="L100" s="5"/>
      <c r="M100" s="30">
        <f t="shared" si="17"/>
        <v>-2.2246770095080137E-4</v>
      </c>
      <c r="N100" s="42">
        <f t="shared" si="18"/>
        <v>-2.2246770095080137E-4</v>
      </c>
      <c r="O100" s="43">
        <f t="shared" si="19"/>
        <v>4.949187796633519E-8</v>
      </c>
      <c r="P100" s="43">
        <f t="shared" si="20"/>
        <v>-0.34013437099999999</v>
      </c>
      <c r="Q100" s="43">
        <f t="shared" si="21"/>
        <v>-0.34013437099999999</v>
      </c>
      <c r="R100" s="43">
        <f t="shared" si="22"/>
        <v>0.11569139033556564</v>
      </c>
    </row>
    <row r="101" spans="1:18" x14ac:dyDescent="0.3">
      <c r="A101" s="47">
        <v>38083</v>
      </c>
      <c r="B101" s="48">
        <v>0</v>
      </c>
      <c r="C101" s="50">
        <v>1.8432127311825752E-2</v>
      </c>
      <c r="D101" s="10">
        <f t="shared" si="14"/>
        <v>-0.38980777739764078</v>
      </c>
      <c r="E101" s="10">
        <f t="shared" si="15"/>
        <v>-0.46764386966031979</v>
      </c>
      <c r="F101" s="10">
        <f t="shared" si="23"/>
        <v>0.15195010331968867</v>
      </c>
      <c r="G101" s="10">
        <f t="shared" si="23"/>
        <v>0.21869078883087817</v>
      </c>
      <c r="H101" s="11">
        <f t="shared" si="3"/>
        <v>0.18229121744592128</v>
      </c>
      <c r="I101" s="12">
        <f t="shared" si="4"/>
        <v>1.8432127311825752E-2</v>
      </c>
      <c r="J101" s="28">
        <f t="shared" si="5"/>
        <v>3.3974331723935283E-4</v>
      </c>
      <c r="K101" s="30">
        <f t="shared" si="16"/>
        <v>1.8432127311825752E-2</v>
      </c>
      <c r="L101" s="5"/>
      <c r="M101" s="30">
        <f t="shared" si="17"/>
        <v>-1.8432127311825752E-2</v>
      </c>
      <c r="N101" s="42">
        <f t="shared" si="18"/>
        <v>-1.8432127311825752E-2</v>
      </c>
      <c r="O101" s="43">
        <f t="shared" si="19"/>
        <v>3.3974331723935283E-4</v>
      </c>
      <c r="P101" s="43">
        <f t="shared" si="20"/>
        <v>-0.34013437099999999</v>
      </c>
      <c r="Q101" s="43">
        <f t="shared" si="21"/>
        <v>-0.34013437099999999</v>
      </c>
      <c r="R101" s="43">
        <f t="shared" si="22"/>
        <v>0.11569139033556564</v>
      </c>
    </row>
    <row r="102" spans="1:18" x14ac:dyDescent="0.3">
      <c r="A102" s="47">
        <v>38084</v>
      </c>
      <c r="B102" s="48">
        <v>0</v>
      </c>
      <c r="C102" s="50">
        <v>0</v>
      </c>
      <c r="D102" s="10">
        <f t="shared" si="14"/>
        <v>-0.38980777739764078</v>
      </c>
      <c r="E102" s="10">
        <f t="shared" si="15"/>
        <v>-0.48607599697214554</v>
      </c>
      <c r="F102" s="10">
        <f t="shared" si="23"/>
        <v>0.15195010331968867</v>
      </c>
      <c r="G102" s="10">
        <f t="shared" si="23"/>
        <v>0.23626987483246525</v>
      </c>
      <c r="H102" s="11">
        <f t="shared" si="3"/>
        <v>0.18947620402605442</v>
      </c>
      <c r="I102" s="12">
        <f t="shared" si="4"/>
        <v>0</v>
      </c>
      <c r="J102" s="28">
        <f t="shared" si="5"/>
        <v>0</v>
      </c>
      <c r="K102" s="30">
        <f t="shared" si="16"/>
        <v>0</v>
      </c>
      <c r="L102" s="5"/>
      <c r="M102" s="30">
        <f t="shared" si="17"/>
        <v>0</v>
      </c>
      <c r="N102" s="42">
        <f t="shared" si="18"/>
        <v>0</v>
      </c>
      <c r="O102" s="43">
        <f t="shared" si="19"/>
        <v>0</v>
      </c>
      <c r="P102" s="43">
        <f t="shared" si="20"/>
        <v>-0.34013437099999999</v>
      </c>
      <c r="Q102" s="43">
        <f t="shared" si="21"/>
        <v>-0.34013437099999999</v>
      </c>
      <c r="R102" s="43">
        <f t="shared" si="22"/>
        <v>0.11569139033556564</v>
      </c>
    </row>
    <row r="103" spans="1:18" x14ac:dyDescent="0.3">
      <c r="A103" s="47">
        <v>38085</v>
      </c>
      <c r="B103" s="48">
        <v>0</v>
      </c>
      <c r="C103" s="50">
        <v>0</v>
      </c>
      <c r="D103" s="10">
        <f t="shared" si="14"/>
        <v>-0.38980777739764078</v>
      </c>
      <c r="E103" s="10">
        <f t="shared" si="15"/>
        <v>-0.48607599697214554</v>
      </c>
      <c r="F103" s="10">
        <f t="shared" si="23"/>
        <v>0.15195010331968867</v>
      </c>
      <c r="G103" s="10">
        <f t="shared" si="23"/>
        <v>0.23626987483246525</v>
      </c>
      <c r="H103" s="11">
        <f t="shared" si="3"/>
        <v>0.18947620402605442</v>
      </c>
      <c r="I103" s="12">
        <f t="shared" si="4"/>
        <v>0</v>
      </c>
      <c r="J103" s="28">
        <f t="shared" si="5"/>
        <v>0</v>
      </c>
      <c r="K103" s="30">
        <f t="shared" si="16"/>
        <v>0</v>
      </c>
      <c r="L103" s="5"/>
      <c r="M103" s="30">
        <f t="shared" si="17"/>
        <v>0</v>
      </c>
      <c r="N103" s="42">
        <f t="shared" si="18"/>
        <v>0</v>
      </c>
      <c r="O103" s="43">
        <f t="shared" si="19"/>
        <v>0</v>
      </c>
      <c r="P103" s="43">
        <f t="shared" si="20"/>
        <v>-0.34013437099999999</v>
      </c>
      <c r="Q103" s="43">
        <f t="shared" si="21"/>
        <v>-0.34013437099999999</v>
      </c>
      <c r="R103" s="43">
        <f t="shared" si="22"/>
        <v>0.11569139033556564</v>
      </c>
    </row>
    <row r="104" spans="1:18" x14ac:dyDescent="0.3">
      <c r="A104" s="47">
        <v>38086</v>
      </c>
      <c r="B104" s="48">
        <v>0</v>
      </c>
      <c r="C104" s="50">
        <v>0</v>
      </c>
      <c r="D104" s="10">
        <f t="shared" si="14"/>
        <v>-0.38980777739764078</v>
      </c>
      <c r="E104" s="10">
        <f t="shared" si="15"/>
        <v>-0.48607599697214554</v>
      </c>
      <c r="F104" s="10">
        <f t="shared" si="23"/>
        <v>0.15195010331968867</v>
      </c>
      <c r="G104" s="10">
        <f t="shared" si="23"/>
        <v>0.23626987483246525</v>
      </c>
      <c r="H104" s="11">
        <f t="shared" si="3"/>
        <v>0.18947620402605442</v>
      </c>
      <c r="I104" s="12">
        <f t="shared" si="4"/>
        <v>0</v>
      </c>
      <c r="J104" s="28">
        <f t="shared" si="5"/>
        <v>0</v>
      </c>
      <c r="K104" s="30">
        <f t="shared" si="16"/>
        <v>0</v>
      </c>
      <c r="L104" s="5"/>
      <c r="M104" s="30">
        <f t="shared" si="17"/>
        <v>0</v>
      </c>
      <c r="N104" s="42">
        <f t="shared" si="18"/>
        <v>0</v>
      </c>
      <c r="O104" s="43">
        <f t="shared" si="19"/>
        <v>0</v>
      </c>
      <c r="P104" s="43">
        <f t="shared" si="20"/>
        <v>-0.34013437099999999</v>
      </c>
      <c r="Q104" s="43">
        <f t="shared" si="21"/>
        <v>-0.34013437099999999</v>
      </c>
      <c r="R104" s="43">
        <f t="shared" si="22"/>
        <v>0.11569139033556564</v>
      </c>
    </row>
    <row r="105" spans="1:18" x14ac:dyDescent="0.3">
      <c r="A105" s="47">
        <v>38087</v>
      </c>
      <c r="B105" s="48">
        <v>0</v>
      </c>
      <c r="C105" s="50">
        <v>0</v>
      </c>
      <c r="D105" s="10">
        <f t="shared" si="14"/>
        <v>-0.38980777739764078</v>
      </c>
      <c r="E105" s="10">
        <f t="shared" si="15"/>
        <v>-0.48607599697214554</v>
      </c>
      <c r="F105" s="10">
        <f t="shared" si="23"/>
        <v>0.15195010331968867</v>
      </c>
      <c r="G105" s="10">
        <f t="shared" si="23"/>
        <v>0.23626987483246525</v>
      </c>
      <c r="H105" s="11">
        <f t="shared" si="3"/>
        <v>0.18947620402605442</v>
      </c>
      <c r="I105" s="12">
        <f t="shared" si="4"/>
        <v>0</v>
      </c>
      <c r="J105" s="28">
        <f t="shared" si="5"/>
        <v>0</v>
      </c>
      <c r="K105" s="30">
        <f t="shared" si="16"/>
        <v>0</v>
      </c>
      <c r="L105" s="5"/>
      <c r="M105" s="30">
        <f t="shared" si="17"/>
        <v>0</v>
      </c>
      <c r="N105" s="42">
        <f t="shared" si="18"/>
        <v>0</v>
      </c>
      <c r="O105" s="43">
        <f t="shared" si="19"/>
        <v>0</v>
      </c>
      <c r="P105" s="43">
        <f t="shared" si="20"/>
        <v>-0.34013437099999999</v>
      </c>
      <c r="Q105" s="43">
        <f t="shared" si="21"/>
        <v>-0.34013437099999999</v>
      </c>
      <c r="R105" s="43">
        <f t="shared" si="22"/>
        <v>0.11569139033556564</v>
      </c>
    </row>
    <row r="106" spans="1:18" x14ac:dyDescent="0.3">
      <c r="A106" s="47">
        <v>38088</v>
      </c>
      <c r="B106" s="48">
        <v>0</v>
      </c>
      <c r="C106" s="50">
        <v>0</v>
      </c>
      <c r="D106" s="10">
        <f t="shared" si="14"/>
        <v>-0.38980777739764078</v>
      </c>
      <c r="E106" s="10">
        <f t="shared" si="15"/>
        <v>-0.48607599697214554</v>
      </c>
      <c r="F106" s="10">
        <f t="shared" si="23"/>
        <v>0.15195010331968867</v>
      </c>
      <c r="G106" s="10">
        <f t="shared" si="23"/>
        <v>0.23626987483246525</v>
      </c>
      <c r="H106" s="11">
        <f t="shared" si="3"/>
        <v>0.18947620402605442</v>
      </c>
      <c r="I106" s="12">
        <f t="shared" si="4"/>
        <v>0</v>
      </c>
      <c r="J106" s="28">
        <f t="shared" si="5"/>
        <v>0</v>
      </c>
      <c r="K106" s="30">
        <f t="shared" si="16"/>
        <v>0</v>
      </c>
      <c r="L106" s="5"/>
      <c r="M106" s="30">
        <f t="shared" si="17"/>
        <v>0</v>
      </c>
      <c r="N106" s="42">
        <f t="shared" si="18"/>
        <v>0</v>
      </c>
      <c r="O106" s="43">
        <f t="shared" si="19"/>
        <v>0</v>
      </c>
      <c r="P106" s="43">
        <f t="shared" si="20"/>
        <v>-0.34013437099999999</v>
      </c>
      <c r="Q106" s="43">
        <f t="shared" si="21"/>
        <v>-0.34013437099999999</v>
      </c>
      <c r="R106" s="43">
        <f t="shared" si="22"/>
        <v>0.11569139033556564</v>
      </c>
    </row>
    <row r="107" spans="1:18" x14ac:dyDescent="0.3">
      <c r="A107" s="47">
        <v>38089</v>
      </c>
      <c r="B107" s="48">
        <v>0</v>
      </c>
      <c r="C107" s="50">
        <v>0</v>
      </c>
      <c r="D107" s="10">
        <f t="shared" si="14"/>
        <v>-0.38980777739764078</v>
      </c>
      <c r="E107" s="10">
        <f t="shared" si="15"/>
        <v>-0.48607599697214554</v>
      </c>
      <c r="F107" s="10">
        <f t="shared" si="23"/>
        <v>0.15195010331968867</v>
      </c>
      <c r="G107" s="10">
        <f t="shared" si="23"/>
        <v>0.23626987483246525</v>
      </c>
      <c r="H107" s="11">
        <f t="shared" si="3"/>
        <v>0.18947620402605442</v>
      </c>
      <c r="I107" s="12">
        <f t="shared" si="4"/>
        <v>0</v>
      </c>
      <c r="J107" s="28">
        <f t="shared" si="5"/>
        <v>0</v>
      </c>
      <c r="K107" s="30">
        <f t="shared" si="16"/>
        <v>0</v>
      </c>
      <c r="L107" s="5"/>
      <c r="M107" s="30">
        <f t="shared" si="17"/>
        <v>0</v>
      </c>
      <c r="N107" s="42">
        <f t="shared" si="18"/>
        <v>0</v>
      </c>
      <c r="O107" s="43">
        <f t="shared" si="19"/>
        <v>0</v>
      </c>
      <c r="P107" s="43">
        <f t="shared" si="20"/>
        <v>-0.34013437099999999</v>
      </c>
      <c r="Q107" s="43">
        <f t="shared" si="21"/>
        <v>-0.34013437099999999</v>
      </c>
      <c r="R107" s="43">
        <f t="shared" si="22"/>
        <v>0.11569139033556564</v>
      </c>
    </row>
    <row r="108" spans="1:18" x14ac:dyDescent="0.3">
      <c r="A108" s="47">
        <v>38090</v>
      </c>
      <c r="B108" s="48">
        <v>0</v>
      </c>
      <c r="C108" s="50">
        <v>0</v>
      </c>
      <c r="D108" s="10">
        <f t="shared" si="14"/>
        <v>-0.38980777739764078</v>
      </c>
      <c r="E108" s="10">
        <f t="shared" si="15"/>
        <v>-0.48607599697214554</v>
      </c>
      <c r="F108" s="10">
        <f t="shared" si="23"/>
        <v>0.15195010331968867</v>
      </c>
      <c r="G108" s="10">
        <f t="shared" si="23"/>
        <v>0.23626987483246525</v>
      </c>
      <c r="H108" s="11">
        <f t="shared" si="3"/>
        <v>0.18947620402605442</v>
      </c>
      <c r="I108" s="12">
        <f t="shared" si="4"/>
        <v>0</v>
      </c>
      <c r="J108" s="28">
        <f t="shared" si="5"/>
        <v>0</v>
      </c>
      <c r="K108" s="30">
        <f t="shared" si="16"/>
        <v>0</v>
      </c>
      <c r="L108" s="5"/>
      <c r="M108" s="30">
        <f t="shared" si="17"/>
        <v>0</v>
      </c>
      <c r="N108" s="42">
        <f t="shared" si="18"/>
        <v>0</v>
      </c>
      <c r="O108" s="43">
        <f t="shared" si="19"/>
        <v>0</v>
      </c>
      <c r="P108" s="43">
        <f t="shared" si="20"/>
        <v>-0.34013437099999999</v>
      </c>
      <c r="Q108" s="43">
        <f t="shared" si="21"/>
        <v>-0.34013437099999999</v>
      </c>
      <c r="R108" s="43">
        <f t="shared" si="22"/>
        <v>0.11569139033556564</v>
      </c>
    </row>
    <row r="109" spans="1:18" x14ac:dyDescent="0.3">
      <c r="A109" s="47">
        <v>38091</v>
      </c>
      <c r="B109" s="48">
        <v>0</v>
      </c>
      <c r="C109" s="50">
        <v>1.3138622976839542E-2</v>
      </c>
      <c r="D109" s="10">
        <f t="shared" si="14"/>
        <v>-0.38980777739764078</v>
      </c>
      <c r="E109" s="10">
        <f t="shared" si="15"/>
        <v>-0.472937373995306</v>
      </c>
      <c r="F109" s="10">
        <f t="shared" si="23"/>
        <v>0.15195010331968867</v>
      </c>
      <c r="G109" s="10">
        <f t="shared" si="23"/>
        <v>0.22366975972157593</v>
      </c>
      <c r="H109" s="11">
        <f t="shared" si="3"/>
        <v>0.18435466660538702</v>
      </c>
      <c r="I109" s="12">
        <f t="shared" si="4"/>
        <v>1.3138622976839542E-2</v>
      </c>
      <c r="J109" s="28">
        <f t="shared" si="5"/>
        <v>1.7262341372753596E-4</v>
      </c>
      <c r="K109" s="30">
        <f t="shared" si="16"/>
        <v>1.3138622976839542E-2</v>
      </c>
      <c r="L109" s="5"/>
      <c r="M109" s="30">
        <f t="shared" si="17"/>
        <v>-1.3138622976839542E-2</v>
      </c>
      <c r="N109" s="42">
        <f t="shared" si="18"/>
        <v>-1.3138622976839542E-2</v>
      </c>
      <c r="O109" s="43">
        <f t="shared" si="19"/>
        <v>1.7262341372753596E-4</v>
      </c>
      <c r="P109" s="43">
        <f t="shared" si="20"/>
        <v>-0.34013437099999999</v>
      </c>
      <c r="Q109" s="43">
        <f t="shared" si="21"/>
        <v>-0.34013437099999999</v>
      </c>
      <c r="R109" s="43">
        <f t="shared" si="22"/>
        <v>0.11569139033556564</v>
      </c>
    </row>
    <row r="110" spans="1:18" x14ac:dyDescent="0.3">
      <c r="A110" s="47">
        <v>38092</v>
      </c>
      <c r="B110" s="48">
        <v>0</v>
      </c>
      <c r="C110" s="50">
        <v>0</v>
      </c>
      <c r="D110" s="10">
        <f t="shared" si="14"/>
        <v>-0.38980777739764078</v>
      </c>
      <c r="E110" s="10">
        <f t="shared" si="15"/>
        <v>-0.48607599697214554</v>
      </c>
      <c r="F110" s="10">
        <f t="shared" si="23"/>
        <v>0.15195010331968867</v>
      </c>
      <c r="G110" s="10">
        <f t="shared" si="23"/>
        <v>0.23626987483246525</v>
      </c>
      <c r="H110" s="11">
        <f t="shared" si="3"/>
        <v>0.18947620402605442</v>
      </c>
      <c r="I110" s="12">
        <f t="shared" si="4"/>
        <v>0</v>
      </c>
      <c r="J110" s="28">
        <f t="shared" si="5"/>
        <v>0</v>
      </c>
      <c r="K110" s="30">
        <f t="shared" si="16"/>
        <v>0</v>
      </c>
      <c r="L110" s="5"/>
      <c r="M110" s="30">
        <f t="shared" si="17"/>
        <v>0</v>
      </c>
      <c r="N110" s="42">
        <f t="shared" si="18"/>
        <v>0</v>
      </c>
      <c r="O110" s="43">
        <f t="shared" si="19"/>
        <v>0</v>
      </c>
      <c r="P110" s="43">
        <f t="shared" si="20"/>
        <v>-0.34013437099999999</v>
      </c>
      <c r="Q110" s="43">
        <f t="shared" si="21"/>
        <v>-0.34013437099999999</v>
      </c>
      <c r="R110" s="43">
        <f t="shared" si="22"/>
        <v>0.11569139033556564</v>
      </c>
    </row>
    <row r="111" spans="1:18" x14ac:dyDescent="0.3">
      <c r="A111" s="47">
        <v>38093</v>
      </c>
      <c r="B111" s="48">
        <v>0</v>
      </c>
      <c r="C111" s="50">
        <v>1.092132180929184E-3</v>
      </c>
      <c r="D111" s="10">
        <f t="shared" si="14"/>
        <v>-0.38980777739764078</v>
      </c>
      <c r="E111" s="10">
        <f t="shared" si="15"/>
        <v>-0.48498386479121636</v>
      </c>
      <c r="F111" s="10">
        <f t="shared" si="23"/>
        <v>0.15195010331968867</v>
      </c>
      <c r="G111" s="10">
        <f t="shared" si="23"/>
        <v>0.23520934910782482</v>
      </c>
      <c r="H111" s="11">
        <f t="shared" si="3"/>
        <v>0.18905048240798197</v>
      </c>
      <c r="I111" s="12">
        <f t="shared" si="4"/>
        <v>1.092132180929184E-3</v>
      </c>
      <c r="J111" s="28">
        <f t="shared" si="5"/>
        <v>1.1927527006211358E-6</v>
      </c>
      <c r="K111" s="30">
        <f t="shared" si="16"/>
        <v>1.092132180929184E-3</v>
      </c>
      <c r="L111" s="5"/>
      <c r="M111" s="30">
        <f t="shared" si="17"/>
        <v>-1.092132180929184E-3</v>
      </c>
      <c r="N111" s="42">
        <f t="shared" si="18"/>
        <v>-1.092132180929184E-3</v>
      </c>
      <c r="O111" s="43">
        <f t="shared" si="19"/>
        <v>1.1927527006211358E-6</v>
      </c>
      <c r="P111" s="43">
        <f t="shared" si="20"/>
        <v>-0.34013437099999999</v>
      </c>
      <c r="Q111" s="43">
        <f t="shared" si="21"/>
        <v>-0.34013437099999999</v>
      </c>
      <c r="R111" s="43">
        <f t="shared" si="22"/>
        <v>0.11569139033556564</v>
      </c>
    </row>
    <row r="112" spans="1:18" x14ac:dyDescent="0.3">
      <c r="A112" s="47">
        <v>38094</v>
      </c>
      <c r="B112" s="48">
        <v>0</v>
      </c>
      <c r="C112" s="50">
        <v>2.4522405117750168E-2</v>
      </c>
      <c r="D112" s="10">
        <f t="shared" si="14"/>
        <v>-0.38980777739764078</v>
      </c>
      <c r="E112" s="10">
        <f t="shared" si="15"/>
        <v>-0.46155359185439537</v>
      </c>
      <c r="F112" s="10">
        <f t="shared" si="23"/>
        <v>0.15195010331968867</v>
      </c>
      <c r="G112" s="10">
        <f t="shared" si="23"/>
        <v>0.21303171815369379</v>
      </c>
      <c r="H112" s="11">
        <f t="shared" si="3"/>
        <v>0.17991717979065969</v>
      </c>
      <c r="I112" s="12">
        <f t="shared" si="4"/>
        <v>2.4522405117750168E-2</v>
      </c>
      <c r="J112" s="28">
        <f t="shared" si="5"/>
        <v>6.0134835275905962E-4</v>
      </c>
      <c r="K112" s="30">
        <f t="shared" si="16"/>
        <v>2.4522405117750168E-2</v>
      </c>
      <c r="L112" s="5"/>
      <c r="M112" s="30">
        <f t="shared" si="17"/>
        <v>-2.4522405117750168E-2</v>
      </c>
      <c r="N112" s="42">
        <f t="shared" si="18"/>
        <v>-2.4522405117750168E-2</v>
      </c>
      <c r="O112" s="43">
        <f t="shared" si="19"/>
        <v>6.0134835275905962E-4</v>
      </c>
      <c r="P112" s="43">
        <f t="shared" si="20"/>
        <v>-0.34013437099999999</v>
      </c>
      <c r="Q112" s="43">
        <f t="shared" si="21"/>
        <v>-0.34013437099999999</v>
      </c>
      <c r="R112" s="43">
        <f t="shared" si="22"/>
        <v>0.11569139033556564</v>
      </c>
    </row>
    <row r="113" spans="1:18" x14ac:dyDescent="0.3">
      <c r="A113" s="47">
        <v>38095</v>
      </c>
      <c r="B113" s="48">
        <v>0</v>
      </c>
      <c r="C113" s="50">
        <v>0.53133100271224976</v>
      </c>
      <c r="D113" s="10">
        <f t="shared" si="14"/>
        <v>-0.38980777739764078</v>
      </c>
      <c r="E113" s="10">
        <f t="shared" si="15"/>
        <v>4.5255005740104215E-2</v>
      </c>
      <c r="F113" s="10">
        <f t="shared" si="23"/>
        <v>0.15195010331968867</v>
      </c>
      <c r="G113" s="10">
        <f t="shared" si="23"/>
        <v>2.0480155445368655E-3</v>
      </c>
      <c r="H113" s="11">
        <f t="shared" si="3"/>
        <v>-1.7640753203667498E-2</v>
      </c>
      <c r="I113" s="12">
        <f t="shared" si="4"/>
        <v>0.53133100271224976</v>
      </c>
      <c r="J113" s="28">
        <f t="shared" si="5"/>
        <v>0.28231263444320476</v>
      </c>
      <c r="K113" s="30">
        <f t="shared" si="16"/>
        <v>0.53133100271224976</v>
      </c>
      <c r="L113" s="5"/>
      <c r="M113" s="30">
        <f t="shared" si="17"/>
        <v>-0.53133100271224976</v>
      </c>
      <c r="N113" s="42">
        <f t="shared" si="18"/>
        <v>-0.53133100271224976</v>
      </c>
      <c r="O113" s="43">
        <f t="shared" si="19"/>
        <v>0.28231263444320476</v>
      </c>
      <c r="P113" s="43">
        <f t="shared" si="20"/>
        <v>-0.34013437099999999</v>
      </c>
      <c r="Q113" s="43">
        <f t="shared" si="21"/>
        <v>-0.34013437099999999</v>
      </c>
      <c r="R113" s="43">
        <f t="shared" si="22"/>
        <v>0.11569139033556564</v>
      </c>
    </row>
    <row r="114" spans="1:18" x14ac:dyDescent="0.3">
      <c r="A114" s="47">
        <v>38096</v>
      </c>
      <c r="B114" s="48">
        <v>0</v>
      </c>
      <c r="C114" s="50">
        <v>6.7179687321186066E-3</v>
      </c>
      <c r="D114" s="10">
        <f t="shared" si="14"/>
        <v>-0.38980777739764078</v>
      </c>
      <c r="E114" s="10">
        <f t="shared" si="15"/>
        <v>-0.47935802824002693</v>
      </c>
      <c r="F114" s="10">
        <f t="shared" si="23"/>
        <v>0.15195010331968867</v>
      </c>
      <c r="G114" s="10">
        <f t="shared" si="23"/>
        <v>0.22978411923816647</v>
      </c>
      <c r="H114" s="11">
        <f t="shared" si="3"/>
        <v>0.18685748756596041</v>
      </c>
      <c r="I114" s="12">
        <f t="shared" si="4"/>
        <v>6.7179687321186066E-3</v>
      </c>
      <c r="J114" s="28">
        <f t="shared" si="5"/>
        <v>4.5131103885723278E-5</v>
      </c>
      <c r="K114" s="30">
        <f t="shared" si="16"/>
        <v>6.7179687321186066E-3</v>
      </c>
      <c r="L114" s="5"/>
      <c r="M114" s="30">
        <f t="shared" si="17"/>
        <v>-6.7179687321186066E-3</v>
      </c>
      <c r="N114" s="42">
        <f t="shared" si="18"/>
        <v>-6.7179687321186066E-3</v>
      </c>
      <c r="O114" s="43">
        <f t="shared" si="19"/>
        <v>4.5131103885723278E-5</v>
      </c>
      <c r="P114" s="43">
        <f t="shared" si="20"/>
        <v>-0.34013437099999999</v>
      </c>
      <c r="Q114" s="43">
        <f t="shared" si="21"/>
        <v>-0.34013437099999999</v>
      </c>
      <c r="R114" s="43">
        <f t="shared" si="22"/>
        <v>0.11569139033556564</v>
      </c>
    </row>
    <row r="115" spans="1:18" x14ac:dyDescent="0.3">
      <c r="A115" s="47">
        <v>38097</v>
      </c>
      <c r="B115" s="48">
        <v>0.27125126123428345</v>
      </c>
      <c r="C115" s="50">
        <v>0.21216621994972229</v>
      </c>
      <c r="D115" s="10">
        <f t="shared" si="14"/>
        <v>-0.11855651616335733</v>
      </c>
      <c r="E115" s="10">
        <f t="shared" si="15"/>
        <v>-0.27390977702242325</v>
      </c>
      <c r="F115" s="10">
        <f t="shared" si="23"/>
        <v>1.4055647524792407E-2</v>
      </c>
      <c r="G115" s="10">
        <f t="shared" si="23"/>
        <v>7.5026565948473622E-2</v>
      </c>
      <c r="H115" s="11">
        <f t="shared" si="3"/>
        <v>3.2473788906860521E-2</v>
      </c>
      <c r="I115" s="12">
        <f t="shared" si="4"/>
        <v>5.9085041284561157E-2</v>
      </c>
      <c r="J115" s="28">
        <f t="shared" si="5"/>
        <v>3.4910421035982964E-3</v>
      </c>
      <c r="K115" s="30">
        <f t="shared" si="16"/>
        <v>-5.9085041284561157E-2</v>
      </c>
      <c r="L115" s="5"/>
      <c r="M115" s="30">
        <f t="shared" si="17"/>
        <v>5.9085041284561157E-2</v>
      </c>
      <c r="N115" s="42">
        <f t="shared" si="18"/>
        <v>5.9085041284561157E-2</v>
      </c>
      <c r="O115" s="43">
        <f t="shared" si="19"/>
        <v>3.4910421035982964E-3</v>
      </c>
      <c r="P115" s="43">
        <f t="shared" si="20"/>
        <v>-6.8883109765716544E-2</v>
      </c>
      <c r="Q115" s="43">
        <f t="shared" si="21"/>
        <v>-6.8883109765716544E-2</v>
      </c>
      <c r="R115" s="43">
        <f t="shared" si="22"/>
        <v>4.7448828109957538E-3</v>
      </c>
    </row>
    <row r="116" spans="1:18" x14ac:dyDescent="0.3">
      <c r="A116" s="47">
        <v>38098</v>
      </c>
      <c r="B116" s="48">
        <v>0</v>
      </c>
      <c r="C116" s="50">
        <v>0.37593737244606018</v>
      </c>
      <c r="D116" s="10">
        <f t="shared" si="14"/>
        <v>-0.38980777739764078</v>
      </c>
      <c r="E116" s="10">
        <f t="shared" si="15"/>
        <v>-0.11013862452608536</v>
      </c>
      <c r="F116" s="10">
        <f t="shared" si="23"/>
        <v>0.15195010331968867</v>
      </c>
      <c r="G116" s="10">
        <f t="shared" si="23"/>
        <v>1.2130516612498012E-2</v>
      </c>
      <c r="H116" s="11">
        <f t="shared" si="3"/>
        <v>4.2932892432146624E-2</v>
      </c>
      <c r="I116" s="12">
        <f t="shared" si="4"/>
        <v>0.37593737244606018</v>
      </c>
      <c r="J116" s="28">
        <f t="shared" si="5"/>
        <v>0.14132890800164777</v>
      </c>
      <c r="K116" s="30">
        <f t="shared" si="16"/>
        <v>0.37593737244606018</v>
      </c>
      <c r="L116" s="5"/>
      <c r="M116" s="30">
        <f t="shared" si="17"/>
        <v>-0.37593737244606018</v>
      </c>
      <c r="N116" s="42">
        <f t="shared" si="18"/>
        <v>-0.37593737244606018</v>
      </c>
      <c r="O116" s="43">
        <f t="shared" si="19"/>
        <v>0.14132890800164777</v>
      </c>
      <c r="P116" s="43">
        <f t="shared" si="20"/>
        <v>-0.34013437099999999</v>
      </c>
      <c r="Q116" s="43">
        <f t="shared" si="21"/>
        <v>-0.34013437099999999</v>
      </c>
      <c r="R116" s="43">
        <f t="shared" si="22"/>
        <v>0.11569139033556564</v>
      </c>
    </row>
    <row r="117" spans="1:18" x14ac:dyDescent="0.3">
      <c r="A117" s="47">
        <v>38099</v>
      </c>
      <c r="B117" s="48">
        <v>0</v>
      </c>
      <c r="C117" s="50">
        <v>0</v>
      </c>
      <c r="D117" s="10">
        <f t="shared" si="14"/>
        <v>-0.38980777739764078</v>
      </c>
      <c r="E117" s="10">
        <f t="shared" si="15"/>
        <v>-0.48607599697214554</v>
      </c>
      <c r="F117" s="10">
        <f t="shared" si="23"/>
        <v>0.15195010331968867</v>
      </c>
      <c r="G117" s="10">
        <f t="shared" si="23"/>
        <v>0.23626987483246525</v>
      </c>
      <c r="H117" s="11">
        <f t="shared" si="3"/>
        <v>0.18947620402605442</v>
      </c>
      <c r="I117" s="12">
        <f t="shared" si="4"/>
        <v>0</v>
      </c>
      <c r="J117" s="28">
        <f t="shared" si="5"/>
        <v>0</v>
      </c>
      <c r="K117" s="30">
        <f t="shared" si="16"/>
        <v>0</v>
      </c>
      <c r="L117" s="5"/>
      <c r="M117" s="30">
        <f t="shared" si="17"/>
        <v>0</v>
      </c>
      <c r="N117" s="42">
        <f t="shared" si="18"/>
        <v>0</v>
      </c>
      <c r="O117" s="43">
        <f t="shared" si="19"/>
        <v>0</v>
      </c>
      <c r="P117" s="43">
        <f t="shared" si="20"/>
        <v>-0.34013437099999999</v>
      </c>
      <c r="Q117" s="43">
        <f t="shared" si="21"/>
        <v>-0.34013437099999999</v>
      </c>
      <c r="R117" s="43">
        <f t="shared" si="22"/>
        <v>0.11569139033556564</v>
      </c>
    </row>
    <row r="118" spans="1:18" x14ac:dyDescent="0.3">
      <c r="A118" s="47">
        <v>38100</v>
      </c>
      <c r="B118" s="48">
        <v>0</v>
      </c>
      <c r="C118" s="50">
        <v>0</v>
      </c>
      <c r="D118" s="10">
        <f t="shared" si="14"/>
        <v>-0.38980777739764078</v>
      </c>
      <c r="E118" s="10">
        <f t="shared" si="15"/>
        <v>-0.48607599697214554</v>
      </c>
      <c r="F118" s="10">
        <f t="shared" si="23"/>
        <v>0.15195010331968867</v>
      </c>
      <c r="G118" s="10">
        <f t="shared" si="23"/>
        <v>0.23626987483246525</v>
      </c>
      <c r="H118" s="11">
        <f t="shared" si="3"/>
        <v>0.18947620402605442</v>
      </c>
      <c r="I118" s="12">
        <f t="shared" si="4"/>
        <v>0</v>
      </c>
      <c r="J118" s="28">
        <f t="shared" si="5"/>
        <v>0</v>
      </c>
      <c r="K118" s="30">
        <f t="shared" si="16"/>
        <v>0</v>
      </c>
      <c r="L118" s="5"/>
      <c r="M118" s="30">
        <f t="shared" si="17"/>
        <v>0</v>
      </c>
      <c r="N118" s="42">
        <f t="shared" si="18"/>
        <v>0</v>
      </c>
      <c r="O118" s="43">
        <f t="shared" si="19"/>
        <v>0</v>
      </c>
      <c r="P118" s="43">
        <f t="shared" si="20"/>
        <v>-0.34013437099999999</v>
      </c>
      <c r="Q118" s="43">
        <f t="shared" si="21"/>
        <v>-0.34013437099999999</v>
      </c>
      <c r="R118" s="43">
        <f t="shared" si="22"/>
        <v>0.11569139033556564</v>
      </c>
    </row>
    <row r="119" spans="1:18" x14ac:dyDescent="0.3">
      <c r="A119" s="47">
        <v>38101</v>
      </c>
      <c r="B119" s="48">
        <v>0</v>
      </c>
      <c r="C119" s="50">
        <v>0</v>
      </c>
      <c r="D119" s="10">
        <f t="shared" si="14"/>
        <v>-0.38980777739764078</v>
      </c>
      <c r="E119" s="10">
        <f t="shared" si="15"/>
        <v>-0.48607599697214554</v>
      </c>
      <c r="F119" s="10">
        <f t="shared" si="23"/>
        <v>0.15195010331968867</v>
      </c>
      <c r="G119" s="10">
        <f t="shared" si="23"/>
        <v>0.23626987483246525</v>
      </c>
      <c r="H119" s="11">
        <f t="shared" si="3"/>
        <v>0.18947620402605442</v>
      </c>
      <c r="I119" s="12">
        <f t="shared" si="4"/>
        <v>0</v>
      </c>
      <c r="J119" s="28">
        <f t="shared" si="5"/>
        <v>0</v>
      </c>
      <c r="K119" s="30">
        <f t="shared" si="16"/>
        <v>0</v>
      </c>
      <c r="L119" s="5"/>
      <c r="M119" s="30">
        <f t="shared" si="17"/>
        <v>0</v>
      </c>
      <c r="N119" s="42">
        <f t="shared" si="18"/>
        <v>0</v>
      </c>
      <c r="O119" s="43">
        <f t="shared" si="19"/>
        <v>0</v>
      </c>
      <c r="P119" s="43">
        <f t="shared" si="20"/>
        <v>-0.34013437099999999</v>
      </c>
      <c r="Q119" s="43">
        <f t="shared" si="21"/>
        <v>-0.34013437099999999</v>
      </c>
      <c r="R119" s="43">
        <f t="shared" si="22"/>
        <v>0.11569139033556564</v>
      </c>
    </row>
    <row r="120" spans="1:18" x14ac:dyDescent="0.3">
      <c r="A120" s="47">
        <v>38102</v>
      </c>
      <c r="B120" s="48">
        <v>0</v>
      </c>
      <c r="C120" s="50">
        <v>0</v>
      </c>
      <c r="D120" s="10">
        <f t="shared" si="14"/>
        <v>-0.38980777739764078</v>
      </c>
      <c r="E120" s="10">
        <f t="shared" si="15"/>
        <v>-0.48607599697214554</v>
      </c>
      <c r="F120" s="10">
        <f t="shared" si="23"/>
        <v>0.15195010331968867</v>
      </c>
      <c r="G120" s="10">
        <f t="shared" si="23"/>
        <v>0.23626987483246525</v>
      </c>
      <c r="H120" s="11">
        <f t="shared" si="3"/>
        <v>0.18947620402605442</v>
      </c>
      <c r="I120" s="12">
        <f t="shared" si="4"/>
        <v>0</v>
      </c>
      <c r="J120" s="28">
        <f t="shared" si="5"/>
        <v>0</v>
      </c>
      <c r="K120" s="30">
        <f t="shared" si="16"/>
        <v>0</v>
      </c>
      <c r="L120" s="5"/>
      <c r="M120" s="30">
        <f t="shared" si="17"/>
        <v>0</v>
      </c>
      <c r="N120" s="42">
        <f t="shared" si="18"/>
        <v>0</v>
      </c>
      <c r="O120" s="43">
        <f t="shared" si="19"/>
        <v>0</v>
      </c>
      <c r="P120" s="43">
        <f t="shared" si="20"/>
        <v>-0.34013437099999999</v>
      </c>
      <c r="Q120" s="43">
        <f t="shared" si="21"/>
        <v>-0.34013437099999999</v>
      </c>
      <c r="R120" s="43">
        <f t="shared" si="22"/>
        <v>0.11569139033556564</v>
      </c>
    </row>
    <row r="121" spans="1:18" x14ac:dyDescent="0.3">
      <c r="A121" s="47">
        <v>38103</v>
      </c>
      <c r="B121" s="48">
        <v>0</v>
      </c>
      <c r="C121" s="50">
        <v>0</v>
      </c>
      <c r="D121" s="10">
        <f t="shared" si="14"/>
        <v>-0.38980777739764078</v>
      </c>
      <c r="E121" s="10">
        <f t="shared" si="15"/>
        <v>-0.48607599697214554</v>
      </c>
      <c r="F121" s="10">
        <f t="shared" si="23"/>
        <v>0.15195010331968867</v>
      </c>
      <c r="G121" s="10">
        <f t="shared" si="23"/>
        <v>0.23626987483246525</v>
      </c>
      <c r="H121" s="11">
        <f t="shared" si="3"/>
        <v>0.18947620402605442</v>
      </c>
      <c r="I121" s="12">
        <f t="shared" si="4"/>
        <v>0</v>
      </c>
      <c r="J121" s="28">
        <f t="shared" si="5"/>
        <v>0</v>
      </c>
      <c r="K121" s="30">
        <f t="shared" si="16"/>
        <v>0</v>
      </c>
      <c r="L121" s="5"/>
      <c r="M121" s="30">
        <f t="shared" si="17"/>
        <v>0</v>
      </c>
      <c r="N121" s="42">
        <f t="shared" si="18"/>
        <v>0</v>
      </c>
      <c r="O121" s="43">
        <f t="shared" si="19"/>
        <v>0</v>
      </c>
      <c r="P121" s="43">
        <f t="shared" si="20"/>
        <v>-0.34013437099999999</v>
      </c>
      <c r="Q121" s="43">
        <f t="shared" si="21"/>
        <v>-0.34013437099999999</v>
      </c>
      <c r="R121" s="43">
        <f t="shared" si="22"/>
        <v>0.11569139033556564</v>
      </c>
    </row>
    <row r="122" spans="1:18" x14ac:dyDescent="0.3">
      <c r="A122" s="47">
        <v>38104</v>
      </c>
      <c r="B122" s="48">
        <v>0</v>
      </c>
      <c r="C122" s="50">
        <v>0</v>
      </c>
      <c r="D122" s="10">
        <f t="shared" si="14"/>
        <v>-0.38980777739764078</v>
      </c>
      <c r="E122" s="10">
        <f t="shared" si="15"/>
        <v>-0.48607599697214554</v>
      </c>
      <c r="F122" s="10">
        <f t="shared" si="23"/>
        <v>0.15195010331968867</v>
      </c>
      <c r="G122" s="10">
        <f t="shared" si="23"/>
        <v>0.23626987483246525</v>
      </c>
      <c r="H122" s="11">
        <f t="shared" si="3"/>
        <v>0.18947620402605442</v>
      </c>
      <c r="I122" s="12">
        <f t="shared" si="4"/>
        <v>0</v>
      </c>
      <c r="J122" s="28">
        <f t="shared" si="5"/>
        <v>0</v>
      </c>
      <c r="K122" s="30">
        <f t="shared" si="16"/>
        <v>0</v>
      </c>
      <c r="L122" s="5"/>
      <c r="M122" s="30">
        <f t="shared" si="17"/>
        <v>0</v>
      </c>
      <c r="N122" s="42">
        <f t="shared" si="18"/>
        <v>0</v>
      </c>
      <c r="O122" s="43">
        <f t="shared" si="19"/>
        <v>0</v>
      </c>
      <c r="P122" s="43">
        <f t="shared" si="20"/>
        <v>-0.34013437099999999</v>
      </c>
      <c r="Q122" s="43">
        <f t="shared" si="21"/>
        <v>-0.34013437099999999</v>
      </c>
      <c r="R122" s="43">
        <f t="shared" si="22"/>
        <v>0.11569139033556564</v>
      </c>
    </row>
    <row r="123" spans="1:18" x14ac:dyDescent="0.3">
      <c r="A123" s="47">
        <v>38105</v>
      </c>
      <c r="B123" s="48">
        <v>0</v>
      </c>
      <c r="C123" s="50">
        <v>0</v>
      </c>
      <c r="D123" s="10">
        <f t="shared" si="14"/>
        <v>-0.38980777739764078</v>
      </c>
      <c r="E123" s="10">
        <f t="shared" si="15"/>
        <v>-0.48607599697214554</v>
      </c>
      <c r="F123" s="10">
        <f t="shared" si="23"/>
        <v>0.15195010331968867</v>
      </c>
      <c r="G123" s="10">
        <f t="shared" si="23"/>
        <v>0.23626987483246525</v>
      </c>
      <c r="H123" s="11">
        <f t="shared" si="3"/>
        <v>0.18947620402605442</v>
      </c>
      <c r="I123" s="12">
        <f t="shared" si="4"/>
        <v>0</v>
      </c>
      <c r="J123" s="28">
        <f t="shared" si="5"/>
        <v>0</v>
      </c>
      <c r="K123" s="30">
        <f t="shared" si="16"/>
        <v>0</v>
      </c>
      <c r="L123" s="5"/>
      <c r="M123" s="30">
        <f t="shared" si="17"/>
        <v>0</v>
      </c>
      <c r="N123" s="42">
        <f t="shared" si="18"/>
        <v>0</v>
      </c>
      <c r="O123" s="43">
        <f t="shared" si="19"/>
        <v>0</v>
      </c>
      <c r="P123" s="43">
        <f t="shared" si="20"/>
        <v>-0.34013437099999999</v>
      </c>
      <c r="Q123" s="43">
        <f t="shared" si="21"/>
        <v>-0.34013437099999999</v>
      </c>
      <c r="R123" s="43">
        <f t="shared" si="22"/>
        <v>0.11569139033556564</v>
      </c>
    </row>
    <row r="124" spans="1:18" x14ac:dyDescent="0.3">
      <c r="A124" s="47">
        <v>38106</v>
      </c>
      <c r="B124" s="48">
        <v>0</v>
      </c>
      <c r="C124" s="50">
        <v>0</v>
      </c>
      <c r="D124" s="10">
        <f t="shared" si="14"/>
        <v>-0.38980777739764078</v>
      </c>
      <c r="E124" s="10">
        <f t="shared" si="15"/>
        <v>-0.48607599697214554</v>
      </c>
      <c r="F124" s="10">
        <f t="shared" si="23"/>
        <v>0.15195010331968867</v>
      </c>
      <c r="G124" s="10">
        <f t="shared" si="23"/>
        <v>0.23626987483246525</v>
      </c>
      <c r="H124" s="11">
        <f t="shared" si="3"/>
        <v>0.18947620402605442</v>
      </c>
      <c r="I124" s="12">
        <f t="shared" si="4"/>
        <v>0</v>
      </c>
      <c r="J124" s="28">
        <f t="shared" si="5"/>
        <v>0</v>
      </c>
      <c r="K124" s="30">
        <f t="shared" si="16"/>
        <v>0</v>
      </c>
      <c r="L124" s="5"/>
      <c r="M124" s="30">
        <f t="shared" si="17"/>
        <v>0</v>
      </c>
      <c r="N124" s="42">
        <f t="shared" si="18"/>
        <v>0</v>
      </c>
      <c r="O124" s="43">
        <f t="shared" si="19"/>
        <v>0</v>
      </c>
      <c r="P124" s="43">
        <f t="shared" si="20"/>
        <v>-0.34013437099999999</v>
      </c>
      <c r="Q124" s="43">
        <f t="shared" si="21"/>
        <v>-0.34013437099999999</v>
      </c>
      <c r="R124" s="43">
        <f t="shared" si="22"/>
        <v>0.11569139033556564</v>
      </c>
    </row>
    <row r="125" spans="1:18" x14ac:dyDescent="0.3">
      <c r="A125" s="47">
        <v>38107</v>
      </c>
      <c r="B125" s="48">
        <v>6.5293349325656891E-2</v>
      </c>
      <c r="C125" s="50">
        <v>0</v>
      </c>
      <c r="D125" s="10">
        <f t="shared" si="14"/>
        <v>-0.32451442807198388</v>
      </c>
      <c r="E125" s="10">
        <f t="shared" si="15"/>
        <v>-0.48607599697214554</v>
      </c>
      <c r="F125" s="10">
        <f t="shared" si="23"/>
        <v>0.10530961402688681</v>
      </c>
      <c r="G125" s="10">
        <f t="shared" si="23"/>
        <v>0.23626987483246525</v>
      </c>
      <c r="H125" s="11">
        <f t="shared" si="3"/>
        <v>0.15773867415693518</v>
      </c>
      <c r="I125" s="12">
        <f t="shared" si="4"/>
        <v>6.5293349325656891E-2</v>
      </c>
      <c r="J125" s="28">
        <f t="shared" si="5"/>
        <v>4.2632214661622592E-3</v>
      </c>
      <c r="K125" s="30">
        <f t="shared" si="16"/>
        <v>-6.5293349325656891E-2</v>
      </c>
      <c r="L125" s="5"/>
      <c r="M125" s="30">
        <f t="shared" si="17"/>
        <v>6.5293349325656891E-2</v>
      </c>
      <c r="N125" s="42">
        <f t="shared" si="18"/>
        <v>6.5293349325656891E-2</v>
      </c>
      <c r="O125" s="43">
        <f t="shared" si="19"/>
        <v>4.2632214661622592E-3</v>
      </c>
      <c r="P125" s="43">
        <f t="shared" si="20"/>
        <v>-0.2748410216743431</v>
      </c>
      <c r="Q125" s="43">
        <f t="shared" si="21"/>
        <v>-0.2748410216743431</v>
      </c>
      <c r="R125" s="43">
        <f t="shared" si="22"/>
        <v>7.553758719499673E-2</v>
      </c>
    </row>
    <row r="126" spans="1:18" x14ac:dyDescent="0.3">
      <c r="A126" s="47">
        <v>38108</v>
      </c>
      <c r="B126" s="48">
        <v>0.11188478767871857</v>
      </c>
      <c r="C126" s="50">
        <v>3.5805175304412842</v>
      </c>
      <c r="D126" s="10">
        <f t="shared" si="14"/>
        <v>-0.27792298971892221</v>
      </c>
      <c r="E126" s="10">
        <f t="shared" si="15"/>
        <v>3.0944415334691389</v>
      </c>
      <c r="F126" s="10">
        <f t="shared" si="23"/>
        <v>7.7241188214304146E-2</v>
      </c>
      <c r="G126" s="10">
        <f t="shared" si="23"/>
        <v>9.5755684040588349</v>
      </c>
      <c r="H126" s="11">
        <f t="shared" si="3"/>
        <v>-0.86001644249214937</v>
      </c>
      <c r="I126" s="12">
        <f t="shared" si="4"/>
        <v>3.4686327427625656</v>
      </c>
      <c r="J126" s="28">
        <f t="shared" si="5"/>
        <v>12.031413104164558</v>
      </c>
      <c r="K126" s="30">
        <f t="shared" si="16"/>
        <v>3.4686327427625656</v>
      </c>
      <c r="L126" s="5"/>
      <c r="M126" s="30">
        <f t="shared" si="17"/>
        <v>-3.4686327427625656</v>
      </c>
      <c r="N126" s="42">
        <f t="shared" si="18"/>
        <v>-3.4686327427625656</v>
      </c>
      <c r="O126" s="43">
        <f t="shared" si="19"/>
        <v>12.031413104164558</v>
      </c>
      <c r="P126" s="43">
        <f t="shared" si="20"/>
        <v>-0.22824958332128142</v>
      </c>
      <c r="Q126" s="43">
        <f t="shared" si="21"/>
        <v>-0.22824958332128142</v>
      </c>
      <c r="R126" s="43">
        <f t="shared" si="22"/>
        <v>5.2097872286338588E-2</v>
      </c>
    </row>
    <row r="127" spans="1:18" x14ac:dyDescent="0.3">
      <c r="A127" s="47">
        <v>38109</v>
      </c>
      <c r="B127" s="48">
        <v>0</v>
      </c>
      <c r="C127" s="50">
        <v>0</v>
      </c>
      <c r="D127" s="10">
        <f t="shared" si="14"/>
        <v>-0.38980777739764078</v>
      </c>
      <c r="E127" s="10">
        <f t="shared" si="15"/>
        <v>-0.48607599697214554</v>
      </c>
      <c r="F127" s="10">
        <f t="shared" si="23"/>
        <v>0.15195010331968867</v>
      </c>
      <c r="G127" s="10">
        <f t="shared" si="23"/>
        <v>0.23626987483246525</v>
      </c>
      <c r="H127" s="11">
        <f t="shared" si="3"/>
        <v>0.18947620402605442</v>
      </c>
      <c r="I127" s="12">
        <f t="shared" si="4"/>
        <v>0</v>
      </c>
      <c r="J127" s="28">
        <f t="shared" si="5"/>
        <v>0</v>
      </c>
      <c r="K127" s="30">
        <f t="shared" si="16"/>
        <v>0</v>
      </c>
      <c r="L127" s="5"/>
      <c r="M127" s="30">
        <f t="shared" si="17"/>
        <v>0</v>
      </c>
      <c r="N127" s="42">
        <f t="shared" si="18"/>
        <v>0</v>
      </c>
      <c r="O127" s="43">
        <f t="shared" si="19"/>
        <v>0</v>
      </c>
      <c r="P127" s="43">
        <f t="shared" si="20"/>
        <v>-0.34013437099999999</v>
      </c>
      <c r="Q127" s="43">
        <f t="shared" si="21"/>
        <v>-0.34013437099999999</v>
      </c>
      <c r="R127" s="43">
        <f t="shared" si="22"/>
        <v>0.11569139033556564</v>
      </c>
    </row>
    <row r="128" spans="1:18" x14ac:dyDescent="0.3">
      <c r="A128" s="47">
        <v>38110</v>
      </c>
      <c r="B128" s="48">
        <v>0</v>
      </c>
      <c r="C128" s="50">
        <v>0</v>
      </c>
      <c r="D128" s="10">
        <f t="shared" si="14"/>
        <v>-0.38980777739764078</v>
      </c>
      <c r="E128" s="10">
        <f t="shared" si="15"/>
        <v>-0.48607599697214554</v>
      </c>
      <c r="F128" s="10">
        <f t="shared" si="23"/>
        <v>0.15195010331968867</v>
      </c>
      <c r="G128" s="10">
        <f t="shared" si="23"/>
        <v>0.23626987483246525</v>
      </c>
      <c r="H128" s="11">
        <f t="shared" si="3"/>
        <v>0.18947620402605442</v>
      </c>
      <c r="I128" s="12">
        <f t="shared" si="4"/>
        <v>0</v>
      </c>
      <c r="J128" s="28">
        <f t="shared" si="5"/>
        <v>0</v>
      </c>
      <c r="K128" s="30">
        <f t="shared" si="16"/>
        <v>0</v>
      </c>
      <c r="L128" s="5"/>
      <c r="M128" s="30">
        <f t="shared" si="17"/>
        <v>0</v>
      </c>
      <c r="N128" s="42">
        <f t="shared" si="18"/>
        <v>0</v>
      </c>
      <c r="O128" s="43">
        <f t="shared" si="19"/>
        <v>0</v>
      </c>
      <c r="P128" s="43">
        <f t="shared" si="20"/>
        <v>-0.34013437099999999</v>
      </c>
      <c r="Q128" s="43">
        <f t="shared" si="21"/>
        <v>-0.34013437099999999</v>
      </c>
      <c r="R128" s="43">
        <f t="shared" si="22"/>
        <v>0.11569139033556564</v>
      </c>
    </row>
    <row r="129" spans="1:18" x14ac:dyDescent="0.3">
      <c r="A129" s="47">
        <v>38111</v>
      </c>
      <c r="B129" s="48">
        <v>0</v>
      </c>
      <c r="C129" s="50">
        <v>3.0262768268585205E-4</v>
      </c>
      <c r="D129" s="10">
        <f t="shared" si="14"/>
        <v>-0.38980777739764078</v>
      </c>
      <c r="E129" s="10">
        <f t="shared" si="15"/>
        <v>-0.48577336928945969</v>
      </c>
      <c r="F129" s="10">
        <f t="shared" si="23"/>
        <v>0.15195010331968867</v>
      </c>
      <c r="G129" s="10">
        <f t="shared" si="23"/>
        <v>0.23597576631083378</v>
      </c>
      <c r="H129" s="11">
        <f t="shared" si="3"/>
        <v>0.18935823740168764</v>
      </c>
      <c r="I129" s="12">
        <f t="shared" si="4"/>
        <v>3.0262768268585205E-4</v>
      </c>
      <c r="J129" s="28">
        <f t="shared" si="5"/>
        <v>9.1583514327808757E-8</v>
      </c>
      <c r="K129" s="30">
        <f t="shared" si="16"/>
        <v>3.0262768268585205E-4</v>
      </c>
      <c r="L129" s="5"/>
      <c r="M129" s="30">
        <f t="shared" si="17"/>
        <v>-3.0262768268585205E-4</v>
      </c>
      <c r="N129" s="42">
        <f t="shared" si="18"/>
        <v>-3.0262768268585205E-4</v>
      </c>
      <c r="O129" s="43">
        <f t="shared" si="19"/>
        <v>9.1583514327808757E-8</v>
      </c>
      <c r="P129" s="43">
        <f t="shared" si="20"/>
        <v>-0.34013437099999999</v>
      </c>
      <c r="Q129" s="43">
        <f t="shared" si="21"/>
        <v>-0.34013437099999999</v>
      </c>
      <c r="R129" s="43">
        <f t="shared" si="22"/>
        <v>0.11569139033556564</v>
      </c>
    </row>
    <row r="130" spans="1:18" x14ac:dyDescent="0.3">
      <c r="A130" s="47">
        <v>38112</v>
      </c>
      <c r="B130" s="48">
        <v>0</v>
      </c>
      <c r="C130" s="50">
        <v>0</v>
      </c>
      <c r="D130" s="10">
        <f t="shared" si="14"/>
        <v>-0.38980777739764078</v>
      </c>
      <c r="E130" s="10">
        <f t="shared" si="15"/>
        <v>-0.48607599697214554</v>
      </c>
      <c r="F130" s="10">
        <f t="shared" si="23"/>
        <v>0.15195010331968867</v>
      </c>
      <c r="G130" s="10">
        <f t="shared" si="23"/>
        <v>0.23626987483246525</v>
      </c>
      <c r="H130" s="11">
        <f t="shared" si="3"/>
        <v>0.18947620402605442</v>
      </c>
      <c r="I130" s="12">
        <f t="shared" si="4"/>
        <v>0</v>
      </c>
      <c r="J130" s="28">
        <f t="shared" si="5"/>
        <v>0</v>
      </c>
      <c r="K130" s="30">
        <f t="shared" si="16"/>
        <v>0</v>
      </c>
      <c r="L130" s="5"/>
      <c r="M130" s="30">
        <f t="shared" si="17"/>
        <v>0</v>
      </c>
      <c r="N130" s="42">
        <f t="shared" si="18"/>
        <v>0</v>
      </c>
      <c r="O130" s="43">
        <f t="shared" si="19"/>
        <v>0</v>
      </c>
      <c r="P130" s="43">
        <f t="shared" si="20"/>
        <v>-0.34013437099999999</v>
      </c>
      <c r="Q130" s="43">
        <f t="shared" si="21"/>
        <v>-0.34013437099999999</v>
      </c>
      <c r="R130" s="43">
        <f t="shared" si="22"/>
        <v>0.11569139033556564</v>
      </c>
    </row>
    <row r="131" spans="1:18" x14ac:dyDescent="0.3">
      <c r="A131" s="47">
        <v>38113</v>
      </c>
      <c r="B131" s="48">
        <v>0</v>
      </c>
      <c r="C131" s="50">
        <v>0.10462192445993423</v>
      </c>
      <c r="D131" s="10">
        <f t="shared" si="14"/>
        <v>-0.38980777739764078</v>
      </c>
      <c r="E131" s="10">
        <f t="shared" si="15"/>
        <v>-0.38145407251221131</v>
      </c>
      <c r="F131" s="10">
        <f t="shared" si="23"/>
        <v>0.15195010331968867</v>
      </c>
      <c r="G131" s="10">
        <f t="shared" si="23"/>
        <v>0.14550720943615136</v>
      </c>
      <c r="H131" s="11">
        <f t="shared" si="3"/>
        <v>0.14869376418526359</v>
      </c>
      <c r="I131" s="12">
        <f t="shared" si="4"/>
        <v>0.10462192445993423</v>
      </c>
      <c r="J131" s="28">
        <f t="shared" si="5"/>
        <v>1.0945747077700185E-2</v>
      </c>
      <c r="K131" s="30">
        <f t="shared" si="16"/>
        <v>0.10462192445993423</v>
      </c>
      <c r="L131" s="5"/>
      <c r="M131" s="30">
        <f t="shared" si="17"/>
        <v>-0.10462192445993423</v>
      </c>
      <c r="N131" s="42">
        <f t="shared" si="18"/>
        <v>-0.10462192445993423</v>
      </c>
      <c r="O131" s="43">
        <f t="shared" si="19"/>
        <v>1.0945747077700185E-2</v>
      </c>
      <c r="P131" s="43">
        <f t="shared" si="20"/>
        <v>-0.34013437099999999</v>
      </c>
      <c r="Q131" s="43">
        <f t="shared" si="21"/>
        <v>-0.34013437099999999</v>
      </c>
      <c r="R131" s="43">
        <f t="shared" si="22"/>
        <v>0.11569139033556564</v>
      </c>
    </row>
    <row r="132" spans="1:18" x14ac:dyDescent="0.3">
      <c r="A132" s="47">
        <v>38114</v>
      </c>
      <c r="B132" s="48">
        <v>0</v>
      </c>
      <c r="C132" s="50">
        <v>0.77466762065887451</v>
      </c>
      <c r="D132" s="10">
        <f t="shared" si="14"/>
        <v>-0.38980777739764078</v>
      </c>
      <c r="E132" s="10">
        <f t="shared" si="15"/>
        <v>0.28859162368672897</v>
      </c>
      <c r="F132" s="10">
        <f t="shared" si="23"/>
        <v>0.15195010331968867</v>
      </c>
      <c r="G132" s="10">
        <f t="shared" si="23"/>
        <v>8.3285125262142587E-2</v>
      </c>
      <c r="H132" s="11">
        <f t="shared" si="3"/>
        <v>-0.11249525940490016</v>
      </c>
      <c r="I132" s="12">
        <f t="shared" si="4"/>
        <v>0.77466762065887451</v>
      </c>
      <c r="J132" s="28">
        <f t="shared" si="5"/>
        <v>0.6001099224972819</v>
      </c>
      <c r="K132" s="30">
        <f t="shared" si="16"/>
        <v>0.77466762065887451</v>
      </c>
      <c r="L132" s="5"/>
      <c r="M132" s="30">
        <f t="shared" si="17"/>
        <v>-0.77466762065887451</v>
      </c>
      <c r="N132" s="42">
        <f t="shared" si="18"/>
        <v>-0.77466762065887451</v>
      </c>
      <c r="O132" s="43">
        <f t="shared" si="19"/>
        <v>0.6001099224972819</v>
      </c>
      <c r="P132" s="43">
        <f t="shared" si="20"/>
        <v>-0.34013437099999999</v>
      </c>
      <c r="Q132" s="43">
        <f t="shared" si="21"/>
        <v>-0.34013437099999999</v>
      </c>
      <c r="R132" s="43">
        <f t="shared" si="22"/>
        <v>0.11569139033556564</v>
      </c>
    </row>
    <row r="133" spans="1:18" x14ac:dyDescent="0.3">
      <c r="A133" s="47">
        <v>38115</v>
      </c>
      <c r="B133" s="48">
        <v>0</v>
      </c>
      <c r="C133" s="50">
        <v>6.0825576074421406E-3</v>
      </c>
      <c r="D133" s="10">
        <f t="shared" ref="D133:D196" si="24">B133-$C$375</f>
        <v>-0.38980777739764078</v>
      </c>
      <c r="E133" s="10">
        <f t="shared" ref="E133:E196" si="25">C133-$D$375</f>
        <v>-0.4799934393647034</v>
      </c>
      <c r="F133" s="10">
        <f t="shared" si="23"/>
        <v>0.15195010331968867</v>
      </c>
      <c r="G133" s="10">
        <f t="shared" si="23"/>
        <v>0.23039370183315719</v>
      </c>
      <c r="H133" s="11">
        <f t="shared" si="3"/>
        <v>0.1871051757642043</v>
      </c>
      <c r="I133" s="12">
        <f t="shared" si="4"/>
        <v>6.0825576074421406E-3</v>
      </c>
      <c r="J133" s="28">
        <f t="shared" si="5"/>
        <v>3.6997507047852258E-5</v>
      </c>
      <c r="K133" s="30">
        <f t="shared" si="16"/>
        <v>6.0825576074421406E-3</v>
      </c>
      <c r="L133" s="5"/>
      <c r="M133" s="30">
        <f t="shared" si="17"/>
        <v>-6.0825576074421406E-3</v>
      </c>
      <c r="N133" s="42">
        <f t="shared" si="18"/>
        <v>-6.0825576074421406E-3</v>
      </c>
      <c r="O133" s="43">
        <f t="shared" si="19"/>
        <v>3.6997507047852258E-5</v>
      </c>
      <c r="P133" s="43">
        <f t="shared" si="20"/>
        <v>-0.34013437099999999</v>
      </c>
      <c r="Q133" s="43">
        <f t="shared" si="21"/>
        <v>-0.34013437099999999</v>
      </c>
      <c r="R133" s="43">
        <f t="shared" si="22"/>
        <v>0.11569139033556564</v>
      </c>
    </row>
    <row r="134" spans="1:18" x14ac:dyDescent="0.3">
      <c r="A134" s="47">
        <v>38116</v>
      </c>
      <c r="B134" s="48">
        <v>0</v>
      </c>
      <c r="C134" s="50">
        <v>1.4126267284154892E-2</v>
      </c>
      <c r="D134" s="10">
        <f t="shared" si="24"/>
        <v>-0.38980777739764078</v>
      </c>
      <c r="E134" s="10">
        <f t="shared" si="25"/>
        <v>-0.47194972968799065</v>
      </c>
      <c r="F134" s="10">
        <f t="shared" si="23"/>
        <v>0.15195010331968867</v>
      </c>
      <c r="G134" s="10">
        <f t="shared" si="23"/>
        <v>0.22273654735256745</v>
      </c>
      <c r="H134" s="11">
        <f t="shared" si="3"/>
        <v>0.18396967517309298</v>
      </c>
      <c r="I134" s="12">
        <f t="shared" si="4"/>
        <v>1.4126267284154892E-2</v>
      </c>
      <c r="J134" s="28">
        <f t="shared" si="5"/>
        <v>1.9955142738338483E-4</v>
      </c>
      <c r="K134" s="30">
        <f t="shared" ref="K134:K197" si="26">C134-B134</f>
        <v>1.4126267284154892E-2</v>
      </c>
      <c r="L134" s="5"/>
      <c r="M134" s="30">
        <f t="shared" ref="M134:M197" si="27">B134-C134</f>
        <v>-1.4126267284154892E-2</v>
      </c>
      <c r="N134" s="42">
        <f t="shared" ref="N134:N197" si="28">B134-C134</f>
        <v>-1.4126267284154892E-2</v>
      </c>
      <c r="O134" s="43">
        <f t="shared" ref="O134:O197" si="29">M134*N134</f>
        <v>1.9955142738338483E-4</v>
      </c>
      <c r="P134" s="43">
        <f t="shared" ref="P134:P197" si="30">B134-0.340134371</f>
        <v>-0.34013437099999999</v>
      </c>
      <c r="Q134" s="43">
        <f t="shared" ref="Q134:Q197" si="31">B134-0.340134371</f>
        <v>-0.34013437099999999</v>
      </c>
      <c r="R134" s="43">
        <f t="shared" ref="R134:R197" si="32">P134*Q134</f>
        <v>0.11569139033556564</v>
      </c>
    </row>
    <row r="135" spans="1:18" x14ac:dyDescent="0.3">
      <c r="A135" s="47">
        <v>38117</v>
      </c>
      <c r="B135" s="48">
        <v>0</v>
      </c>
      <c r="C135" s="50">
        <v>0</v>
      </c>
      <c r="D135" s="10">
        <f t="shared" si="24"/>
        <v>-0.38980777739764078</v>
      </c>
      <c r="E135" s="10">
        <f t="shared" si="25"/>
        <v>-0.48607599697214554</v>
      </c>
      <c r="F135" s="10">
        <f t="shared" si="23"/>
        <v>0.15195010331968867</v>
      </c>
      <c r="G135" s="10">
        <f t="shared" si="23"/>
        <v>0.23626987483246525</v>
      </c>
      <c r="H135" s="11">
        <f t="shared" si="3"/>
        <v>0.18947620402605442</v>
      </c>
      <c r="I135" s="12">
        <f t="shared" si="4"/>
        <v>0</v>
      </c>
      <c r="J135" s="28">
        <f t="shared" si="5"/>
        <v>0</v>
      </c>
      <c r="K135" s="30">
        <f t="shared" si="26"/>
        <v>0</v>
      </c>
      <c r="L135" s="5"/>
      <c r="M135" s="30">
        <f t="shared" si="27"/>
        <v>0</v>
      </c>
      <c r="N135" s="42">
        <f t="shared" si="28"/>
        <v>0</v>
      </c>
      <c r="O135" s="43">
        <f t="shared" si="29"/>
        <v>0</v>
      </c>
      <c r="P135" s="43">
        <f t="shared" si="30"/>
        <v>-0.34013437099999999</v>
      </c>
      <c r="Q135" s="43">
        <f t="shared" si="31"/>
        <v>-0.34013437099999999</v>
      </c>
      <c r="R135" s="43">
        <f t="shared" si="32"/>
        <v>0.11569139033556564</v>
      </c>
    </row>
    <row r="136" spans="1:18" x14ac:dyDescent="0.3">
      <c r="A136" s="47">
        <v>38118</v>
      </c>
      <c r="B136" s="48">
        <v>0</v>
      </c>
      <c r="C136" s="50">
        <v>0</v>
      </c>
      <c r="D136" s="10">
        <f t="shared" si="24"/>
        <v>-0.38980777739764078</v>
      </c>
      <c r="E136" s="10">
        <f t="shared" si="25"/>
        <v>-0.48607599697214554</v>
      </c>
      <c r="F136" s="10">
        <f t="shared" si="23"/>
        <v>0.15195010331968867</v>
      </c>
      <c r="G136" s="10">
        <f t="shared" si="23"/>
        <v>0.23626987483246525</v>
      </c>
      <c r="H136" s="11">
        <f t="shared" si="3"/>
        <v>0.18947620402605442</v>
      </c>
      <c r="I136" s="12">
        <f t="shared" si="4"/>
        <v>0</v>
      </c>
      <c r="J136" s="28">
        <f t="shared" si="5"/>
        <v>0</v>
      </c>
      <c r="K136" s="30">
        <f t="shared" si="26"/>
        <v>0</v>
      </c>
      <c r="L136" s="5"/>
      <c r="M136" s="30">
        <f t="shared" si="27"/>
        <v>0</v>
      </c>
      <c r="N136" s="42">
        <f t="shared" si="28"/>
        <v>0</v>
      </c>
      <c r="O136" s="43">
        <f t="shared" si="29"/>
        <v>0</v>
      </c>
      <c r="P136" s="43">
        <f t="shared" si="30"/>
        <v>-0.34013437099999999</v>
      </c>
      <c r="Q136" s="43">
        <f t="shared" si="31"/>
        <v>-0.34013437099999999</v>
      </c>
      <c r="R136" s="43">
        <f t="shared" si="32"/>
        <v>0.11569139033556564</v>
      </c>
    </row>
    <row r="137" spans="1:18" x14ac:dyDescent="0.3">
      <c r="A137" s="47">
        <v>38119</v>
      </c>
      <c r="B137" s="48">
        <v>0</v>
      </c>
      <c r="C137" s="50">
        <v>0</v>
      </c>
      <c r="D137" s="10">
        <f t="shared" si="24"/>
        <v>-0.38980777739764078</v>
      </c>
      <c r="E137" s="10">
        <f t="shared" si="25"/>
        <v>-0.48607599697214554</v>
      </c>
      <c r="F137" s="10">
        <f t="shared" si="23"/>
        <v>0.15195010331968867</v>
      </c>
      <c r="G137" s="10">
        <f t="shared" si="23"/>
        <v>0.23626987483246525</v>
      </c>
      <c r="H137" s="11">
        <f t="shared" si="3"/>
        <v>0.18947620402605442</v>
      </c>
      <c r="I137" s="12">
        <f t="shared" si="4"/>
        <v>0</v>
      </c>
      <c r="J137" s="28">
        <f t="shared" si="5"/>
        <v>0</v>
      </c>
      <c r="K137" s="30">
        <f t="shared" si="26"/>
        <v>0</v>
      </c>
      <c r="L137" s="5"/>
      <c r="M137" s="30">
        <f t="shared" si="27"/>
        <v>0</v>
      </c>
      <c r="N137" s="42">
        <f t="shared" si="28"/>
        <v>0</v>
      </c>
      <c r="O137" s="43">
        <f t="shared" si="29"/>
        <v>0</v>
      </c>
      <c r="P137" s="43">
        <f t="shared" si="30"/>
        <v>-0.34013437099999999</v>
      </c>
      <c r="Q137" s="43">
        <f t="shared" si="31"/>
        <v>-0.34013437099999999</v>
      </c>
      <c r="R137" s="43">
        <f t="shared" si="32"/>
        <v>0.11569139033556564</v>
      </c>
    </row>
    <row r="138" spans="1:18" x14ac:dyDescent="0.3">
      <c r="A138" s="47">
        <v>38120</v>
      </c>
      <c r="B138" s="48">
        <v>0</v>
      </c>
      <c r="C138" s="50">
        <v>1.5491908416152E-2</v>
      </c>
      <c r="D138" s="10">
        <f t="shared" si="24"/>
        <v>-0.38980777739764078</v>
      </c>
      <c r="E138" s="10">
        <f t="shared" si="25"/>
        <v>-0.47058408855599354</v>
      </c>
      <c r="F138" s="10">
        <f t="shared" si="23"/>
        <v>0.15195010331968867</v>
      </c>
      <c r="G138" s="10">
        <f t="shared" si="23"/>
        <v>0.22144938440207518</v>
      </c>
      <c r="H138" s="11">
        <f t="shared" si="3"/>
        <v>0.1834373376387064</v>
      </c>
      <c r="I138" s="12">
        <f t="shared" si="4"/>
        <v>1.5491908416152E-2</v>
      </c>
      <c r="J138" s="28">
        <f t="shared" si="5"/>
        <v>2.3999922637444118E-4</v>
      </c>
      <c r="K138" s="30">
        <f t="shared" si="26"/>
        <v>1.5491908416152E-2</v>
      </c>
      <c r="L138" s="5"/>
      <c r="M138" s="30">
        <f t="shared" si="27"/>
        <v>-1.5491908416152E-2</v>
      </c>
      <c r="N138" s="42">
        <f t="shared" si="28"/>
        <v>-1.5491908416152E-2</v>
      </c>
      <c r="O138" s="43">
        <f t="shared" si="29"/>
        <v>2.3999922637444118E-4</v>
      </c>
      <c r="P138" s="43">
        <f t="shared" si="30"/>
        <v>-0.34013437099999999</v>
      </c>
      <c r="Q138" s="43">
        <f t="shared" si="31"/>
        <v>-0.34013437099999999</v>
      </c>
      <c r="R138" s="43">
        <f t="shared" si="32"/>
        <v>0.11569139033556564</v>
      </c>
    </row>
    <row r="139" spans="1:18" x14ac:dyDescent="0.3">
      <c r="A139" s="47">
        <v>38121</v>
      </c>
      <c r="B139" s="48">
        <v>0</v>
      </c>
      <c r="C139" s="50">
        <v>0</v>
      </c>
      <c r="D139" s="10">
        <f t="shared" si="24"/>
        <v>-0.38980777739764078</v>
      </c>
      <c r="E139" s="10">
        <f t="shared" si="25"/>
        <v>-0.48607599697214554</v>
      </c>
      <c r="F139" s="10">
        <f t="shared" si="23"/>
        <v>0.15195010331968867</v>
      </c>
      <c r="G139" s="10">
        <f t="shared" si="23"/>
        <v>0.23626987483246525</v>
      </c>
      <c r="H139" s="11">
        <f t="shared" si="3"/>
        <v>0.18947620402605442</v>
      </c>
      <c r="I139" s="12">
        <f t="shared" si="4"/>
        <v>0</v>
      </c>
      <c r="J139" s="28">
        <f t="shared" si="5"/>
        <v>0</v>
      </c>
      <c r="K139" s="30">
        <f t="shared" si="26"/>
        <v>0</v>
      </c>
      <c r="L139" s="5"/>
      <c r="M139" s="30">
        <f t="shared" si="27"/>
        <v>0</v>
      </c>
      <c r="N139" s="42">
        <f t="shared" si="28"/>
        <v>0</v>
      </c>
      <c r="O139" s="43">
        <f t="shared" si="29"/>
        <v>0</v>
      </c>
      <c r="P139" s="43">
        <f t="shared" si="30"/>
        <v>-0.34013437099999999</v>
      </c>
      <c r="Q139" s="43">
        <f t="shared" si="31"/>
        <v>-0.34013437099999999</v>
      </c>
      <c r="R139" s="43">
        <f t="shared" si="32"/>
        <v>0.11569139033556564</v>
      </c>
    </row>
    <row r="140" spans="1:18" x14ac:dyDescent="0.3">
      <c r="A140" s="47">
        <v>38122</v>
      </c>
      <c r="B140" s="48">
        <v>0</v>
      </c>
      <c r="C140" s="50">
        <v>1.4184825122356415E-2</v>
      </c>
      <c r="D140" s="10">
        <f t="shared" si="24"/>
        <v>-0.38980777739764078</v>
      </c>
      <c r="E140" s="10">
        <f t="shared" si="25"/>
        <v>-0.47189117184978913</v>
      </c>
      <c r="F140" s="10">
        <f t="shared" si="23"/>
        <v>0.15195010331968867</v>
      </c>
      <c r="G140" s="10">
        <f t="shared" si="23"/>
        <v>0.2226812780697672</v>
      </c>
      <c r="H140" s="11">
        <f t="shared" si="3"/>
        <v>0.18394684887233445</v>
      </c>
      <c r="I140" s="12">
        <f t="shared" si="4"/>
        <v>1.4184825122356415E-2</v>
      </c>
      <c r="J140" s="28">
        <f t="shared" si="5"/>
        <v>2.0120926375183368E-4</v>
      </c>
      <c r="K140" s="30">
        <f t="shared" si="26"/>
        <v>1.4184825122356415E-2</v>
      </c>
      <c r="L140" s="5"/>
      <c r="M140" s="30">
        <f t="shared" si="27"/>
        <v>-1.4184825122356415E-2</v>
      </c>
      <c r="N140" s="42">
        <f t="shared" si="28"/>
        <v>-1.4184825122356415E-2</v>
      </c>
      <c r="O140" s="43">
        <f t="shared" si="29"/>
        <v>2.0120926375183368E-4</v>
      </c>
      <c r="P140" s="43">
        <f t="shared" si="30"/>
        <v>-0.34013437099999999</v>
      </c>
      <c r="Q140" s="43">
        <f t="shared" si="31"/>
        <v>-0.34013437099999999</v>
      </c>
      <c r="R140" s="43">
        <f t="shared" si="32"/>
        <v>0.11569139033556564</v>
      </c>
    </row>
    <row r="141" spans="1:18" x14ac:dyDescent="0.3">
      <c r="A141" s="47">
        <v>38123</v>
      </c>
      <c r="B141" s="48">
        <v>0</v>
      </c>
      <c r="C141" s="50">
        <v>7.0137575268745422E-2</v>
      </c>
      <c r="D141" s="10">
        <f t="shared" si="24"/>
        <v>-0.38980777739764078</v>
      </c>
      <c r="E141" s="10">
        <f t="shared" si="25"/>
        <v>-0.41593842170340012</v>
      </c>
      <c r="F141" s="10">
        <f t="shared" si="23"/>
        <v>0.15195010331968867</v>
      </c>
      <c r="G141" s="10">
        <f t="shared" si="23"/>
        <v>0.17300477064911551</v>
      </c>
      <c r="H141" s="11">
        <f t="shared" si="3"/>
        <v>0.16213603169848503</v>
      </c>
      <c r="I141" s="12">
        <f t="shared" si="4"/>
        <v>7.0137575268745422E-2</v>
      </c>
      <c r="J141" s="28">
        <f t="shared" si="5"/>
        <v>4.9192794645789295E-3</v>
      </c>
      <c r="K141" s="30">
        <f t="shared" si="26"/>
        <v>7.0137575268745422E-2</v>
      </c>
      <c r="L141" s="5"/>
      <c r="M141" s="30">
        <f t="shared" si="27"/>
        <v>-7.0137575268745422E-2</v>
      </c>
      <c r="N141" s="42">
        <f t="shared" si="28"/>
        <v>-7.0137575268745422E-2</v>
      </c>
      <c r="O141" s="43">
        <f t="shared" si="29"/>
        <v>4.9192794645789295E-3</v>
      </c>
      <c r="P141" s="43">
        <f t="shared" si="30"/>
        <v>-0.34013437099999999</v>
      </c>
      <c r="Q141" s="43">
        <f t="shared" si="31"/>
        <v>-0.34013437099999999</v>
      </c>
      <c r="R141" s="43">
        <f t="shared" si="32"/>
        <v>0.11569139033556564</v>
      </c>
    </row>
    <row r="142" spans="1:18" x14ac:dyDescent="0.3">
      <c r="A142" s="47">
        <v>38124</v>
      </c>
      <c r="B142" s="48">
        <v>0.23632176220417023</v>
      </c>
      <c r="C142" s="50">
        <v>2.8142385184764862E-2</v>
      </c>
      <c r="D142" s="10">
        <f t="shared" si="24"/>
        <v>-0.15348601519347055</v>
      </c>
      <c r="E142" s="10">
        <f t="shared" si="25"/>
        <v>-0.45793361178738068</v>
      </c>
      <c r="F142" s="10">
        <f t="shared" si="23"/>
        <v>2.3557956859970273E-2</v>
      </c>
      <c r="G142" s="10">
        <f t="shared" si="23"/>
        <v>0.20970319280463548</v>
      </c>
      <c r="H142" s="11">
        <f t="shared" si="3"/>
        <v>7.0286405296398749E-2</v>
      </c>
      <c r="I142" s="12">
        <f t="shared" si="4"/>
        <v>0.20817937701940536</v>
      </c>
      <c r="J142" s="28">
        <f t="shared" si="5"/>
        <v>4.3338653016187723E-2</v>
      </c>
      <c r="K142" s="30">
        <f t="shared" si="26"/>
        <v>-0.20817937701940536</v>
      </c>
      <c r="L142" s="5"/>
      <c r="M142" s="30">
        <f t="shared" si="27"/>
        <v>0.20817937701940536</v>
      </c>
      <c r="N142" s="42">
        <f t="shared" si="28"/>
        <v>0.20817937701940536</v>
      </c>
      <c r="O142" s="43">
        <f t="shared" si="29"/>
        <v>4.3338653016187723E-2</v>
      </c>
      <c r="P142" s="43">
        <f t="shared" si="30"/>
        <v>-0.10381260879582976</v>
      </c>
      <c r="Q142" s="43">
        <f t="shared" si="31"/>
        <v>-0.10381260879582976</v>
      </c>
      <c r="R142" s="43">
        <f t="shared" si="32"/>
        <v>1.0777057744995992E-2</v>
      </c>
    </row>
    <row r="143" spans="1:18" x14ac:dyDescent="0.3">
      <c r="A143" s="47">
        <v>38125</v>
      </c>
      <c r="B143" s="48">
        <v>1.0617351531982422</v>
      </c>
      <c r="C143" s="50">
        <v>3.1433291435241699</v>
      </c>
      <c r="D143" s="10">
        <f t="shared" si="24"/>
        <v>0.67192737580060147</v>
      </c>
      <c r="E143" s="10">
        <f t="shared" si="25"/>
        <v>2.6572531465520246</v>
      </c>
      <c r="F143" s="10">
        <f t="shared" si="23"/>
        <v>0.4514863983502827</v>
      </c>
      <c r="G143" s="10">
        <f t="shared" si="23"/>
        <v>7.0609942848606355</v>
      </c>
      <c r="H143" s="11">
        <f t="shared" si="3"/>
        <v>1.7854811336005929</v>
      </c>
      <c r="I143" s="12">
        <f t="shared" si="4"/>
        <v>2.0815939903259277</v>
      </c>
      <c r="J143" s="28">
        <f t="shared" si="5"/>
        <v>4.3330335405610185</v>
      </c>
      <c r="K143" s="30">
        <f t="shared" si="26"/>
        <v>2.0815939903259277</v>
      </c>
      <c r="L143" s="5"/>
      <c r="M143" s="30">
        <f t="shared" si="27"/>
        <v>-2.0815939903259277</v>
      </c>
      <c r="N143" s="42">
        <f t="shared" si="28"/>
        <v>-2.0815939903259277</v>
      </c>
      <c r="O143" s="43">
        <f t="shared" si="29"/>
        <v>4.3330335405610185</v>
      </c>
      <c r="P143" s="43">
        <f t="shared" si="30"/>
        <v>0.7216007821982422</v>
      </c>
      <c r="Q143" s="43">
        <f t="shared" si="31"/>
        <v>0.7216007821982422</v>
      </c>
      <c r="R143" s="43">
        <f t="shared" si="32"/>
        <v>0.520707688869115</v>
      </c>
    </row>
    <row r="144" spans="1:18" x14ac:dyDescent="0.3">
      <c r="A144" s="47">
        <v>38126</v>
      </c>
      <c r="B144" s="48">
        <v>0.33342942595481873</v>
      </c>
      <c r="C144" s="50">
        <v>0.29975327849388123</v>
      </c>
      <c r="D144" s="10">
        <f t="shared" si="24"/>
        <v>-5.637835144282205E-2</v>
      </c>
      <c r="E144" s="10">
        <f t="shared" si="25"/>
        <v>-0.18632271847826432</v>
      </c>
      <c r="F144" s="10">
        <f t="shared" si="23"/>
        <v>3.178518511410355E-3</v>
      </c>
      <c r="G144" s="10">
        <f t="shared" si="23"/>
        <v>3.4716155421130539E-2</v>
      </c>
      <c r="H144" s="11">
        <f t="shared" si="3"/>
        <v>1.050456770414958E-2</v>
      </c>
      <c r="I144" s="12">
        <f t="shared" si="4"/>
        <v>3.36761474609375E-2</v>
      </c>
      <c r="J144" s="28">
        <f t="shared" si="5"/>
        <v>1.1340829078108072E-3</v>
      </c>
      <c r="K144" s="30">
        <f t="shared" si="26"/>
        <v>-3.36761474609375E-2</v>
      </c>
      <c r="L144" s="5"/>
      <c r="M144" s="30">
        <f t="shared" si="27"/>
        <v>3.36761474609375E-2</v>
      </c>
      <c r="N144" s="42">
        <f t="shared" si="28"/>
        <v>3.36761474609375E-2</v>
      </c>
      <c r="O144" s="43">
        <f t="shared" si="29"/>
        <v>1.1340829078108072E-3</v>
      </c>
      <c r="P144" s="43">
        <f t="shared" si="30"/>
        <v>-6.7049450451812653E-3</v>
      </c>
      <c r="Q144" s="43">
        <f t="shared" si="31"/>
        <v>-6.7049450451812653E-3</v>
      </c>
      <c r="R144" s="43">
        <f t="shared" si="32"/>
        <v>4.4956288058900803E-5</v>
      </c>
    </row>
    <row r="145" spans="1:18" x14ac:dyDescent="0.3">
      <c r="A145" s="47">
        <v>38127</v>
      </c>
      <c r="B145" s="48">
        <v>0</v>
      </c>
      <c r="C145" s="50">
        <v>0</v>
      </c>
      <c r="D145" s="10">
        <f t="shared" si="24"/>
        <v>-0.38980777739764078</v>
      </c>
      <c r="E145" s="10">
        <f t="shared" si="25"/>
        <v>-0.48607599697214554</v>
      </c>
      <c r="F145" s="10">
        <f t="shared" si="23"/>
        <v>0.15195010331968867</v>
      </c>
      <c r="G145" s="10">
        <f t="shared" si="23"/>
        <v>0.23626987483246525</v>
      </c>
      <c r="H145" s="11">
        <f t="shared" si="3"/>
        <v>0.18947620402605442</v>
      </c>
      <c r="I145" s="12">
        <f t="shared" si="4"/>
        <v>0</v>
      </c>
      <c r="J145" s="28">
        <f t="shared" si="5"/>
        <v>0</v>
      </c>
      <c r="K145" s="30">
        <f t="shared" si="26"/>
        <v>0</v>
      </c>
      <c r="L145" s="5"/>
      <c r="M145" s="30">
        <f t="shared" si="27"/>
        <v>0</v>
      </c>
      <c r="N145" s="42">
        <f t="shared" si="28"/>
        <v>0</v>
      </c>
      <c r="O145" s="43">
        <f t="shared" si="29"/>
        <v>0</v>
      </c>
      <c r="P145" s="43">
        <f t="shared" si="30"/>
        <v>-0.34013437099999999</v>
      </c>
      <c r="Q145" s="43">
        <f t="shared" si="31"/>
        <v>-0.34013437099999999</v>
      </c>
      <c r="R145" s="43">
        <f t="shared" si="32"/>
        <v>0.11569139033556564</v>
      </c>
    </row>
    <row r="146" spans="1:18" x14ac:dyDescent="0.3">
      <c r="A146" s="47">
        <v>38128</v>
      </c>
      <c r="B146" s="48">
        <v>0</v>
      </c>
      <c r="C146" s="50">
        <v>0</v>
      </c>
      <c r="D146" s="10">
        <f t="shared" si="24"/>
        <v>-0.38980777739764078</v>
      </c>
      <c r="E146" s="10">
        <f t="shared" si="25"/>
        <v>-0.48607599697214554</v>
      </c>
      <c r="F146" s="10">
        <f t="shared" si="23"/>
        <v>0.15195010331968867</v>
      </c>
      <c r="G146" s="10">
        <f t="shared" si="23"/>
        <v>0.23626987483246525</v>
      </c>
      <c r="H146" s="11">
        <f t="shared" si="3"/>
        <v>0.18947620402605442</v>
      </c>
      <c r="I146" s="12">
        <f t="shared" si="4"/>
        <v>0</v>
      </c>
      <c r="J146" s="28">
        <f t="shared" si="5"/>
        <v>0</v>
      </c>
      <c r="K146" s="30">
        <f t="shared" si="26"/>
        <v>0</v>
      </c>
      <c r="L146" s="5"/>
      <c r="M146" s="30">
        <f t="shared" si="27"/>
        <v>0</v>
      </c>
      <c r="N146" s="42">
        <f t="shared" si="28"/>
        <v>0</v>
      </c>
      <c r="O146" s="43">
        <f t="shared" si="29"/>
        <v>0</v>
      </c>
      <c r="P146" s="43">
        <f t="shared" si="30"/>
        <v>-0.34013437099999999</v>
      </c>
      <c r="Q146" s="43">
        <f t="shared" si="31"/>
        <v>-0.34013437099999999</v>
      </c>
      <c r="R146" s="43">
        <f t="shared" si="32"/>
        <v>0.11569139033556564</v>
      </c>
    </row>
    <row r="147" spans="1:18" x14ac:dyDescent="0.3">
      <c r="A147" s="47">
        <v>38129</v>
      </c>
      <c r="B147" s="48">
        <v>0</v>
      </c>
      <c r="C147" s="50">
        <v>0</v>
      </c>
      <c r="D147" s="10">
        <f t="shared" si="24"/>
        <v>-0.38980777739764078</v>
      </c>
      <c r="E147" s="10">
        <f t="shared" si="25"/>
        <v>-0.48607599697214554</v>
      </c>
      <c r="F147" s="10">
        <f t="shared" si="23"/>
        <v>0.15195010331968867</v>
      </c>
      <c r="G147" s="10">
        <f t="shared" si="23"/>
        <v>0.23626987483246525</v>
      </c>
      <c r="H147" s="11">
        <f t="shared" si="3"/>
        <v>0.18947620402605442</v>
      </c>
      <c r="I147" s="12">
        <f t="shared" si="4"/>
        <v>0</v>
      </c>
      <c r="J147" s="28">
        <f t="shared" si="5"/>
        <v>0</v>
      </c>
      <c r="K147" s="30">
        <f t="shared" si="26"/>
        <v>0</v>
      </c>
      <c r="L147" s="5"/>
      <c r="M147" s="30">
        <f t="shared" si="27"/>
        <v>0</v>
      </c>
      <c r="N147" s="42">
        <f t="shared" si="28"/>
        <v>0</v>
      </c>
      <c r="O147" s="43">
        <f t="shared" si="29"/>
        <v>0</v>
      </c>
      <c r="P147" s="43">
        <f t="shared" si="30"/>
        <v>-0.34013437099999999</v>
      </c>
      <c r="Q147" s="43">
        <f t="shared" si="31"/>
        <v>-0.34013437099999999</v>
      </c>
      <c r="R147" s="43">
        <f t="shared" si="32"/>
        <v>0.11569139033556564</v>
      </c>
    </row>
    <row r="148" spans="1:18" x14ac:dyDescent="0.3">
      <c r="A148" s="47">
        <v>38130</v>
      </c>
      <c r="B148" s="48">
        <v>0</v>
      </c>
      <c r="C148" s="50">
        <v>0</v>
      </c>
      <c r="D148" s="10">
        <f t="shared" si="24"/>
        <v>-0.38980777739764078</v>
      </c>
      <c r="E148" s="10">
        <f t="shared" si="25"/>
        <v>-0.48607599697214554</v>
      </c>
      <c r="F148" s="10">
        <f t="shared" si="23"/>
        <v>0.15195010331968867</v>
      </c>
      <c r="G148" s="10">
        <f t="shared" si="23"/>
        <v>0.23626987483246525</v>
      </c>
      <c r="H148" s="11">
        <f t="shared" si="3"/>
        <v>0.18947620402605442</v>
      </c>
      <c r="I148" s="12">
        <f t="shared" si="4"/>
        <v>0</v>
      </c>
      <c r="J148" s="28">
        <f t="shared" si="5"/>
        <v>0</v>
      </c>
      <c r="K148" s="30">
        <f t="shared" si="26"/>
        <v>0</v>
      </c>
      <c r="L148" s="5"/>
      <c r="M148" s="30">
        <f t="shared" si="27"/>
        <v>0</v>
      </c>
      <c r="N148" s="42">
        <f t="shared" si="28"/>
        <v>0</v>
      </c>
      <c r="O148" s="43">
        <f t="shared" si="29"/>
        <v>0</v>
      </c>
      <c r="P148" s="43">
        <f t="shared" si="30"/>
        <v>-0.34013437099999999</v>
      </c>
      <c r="Q148" s="43">
        <f t="shared" si="31"/>
        <v>-0.34013437099999999</v>
      </c>
      <c r="R148" s="43">
        <f t="shared" si="32"/>
        <v>0.11569139033556564</v>
      </c>
    </row>
    <row r="149" spans="1:18" x14ac:dyDescent="0.3">
      <c r="A149" s="47">
        <v>38131</v>
      </c>
      <c r="B149" s="48">
        <v>0</v>
      </c>
      <c r="C149" s="50">
        <v>0</v>
      </c>
      <c r="D149" s="10">
        <f t="shared" si="24"/>
        <v>-0.38980777739764078</v>
      </c>
      <c r="E149" s="10">
        <f t="shared" si="25"/>
        <v>-0.48607599697214554</v>
      </c>
      <c r="F149" s="10">
        <f t="shared" ref="F149:G212" si="33">D149^2</f>
        <v>0.15195010331968867</v>
      </c>
      <c r="G149" s="10">
        <f t="shared" si="33"/>
        <v>0.23626987483246525</v>
      </c>
      <c r="H149" s="11">
        <f t="shared" si="3"/>
        <v>0.18947620402605442</v>
      </c>
      <c r="I149" s="12">
        <f t="shared" si="4"/>
        <v>0</v>
      </c>
      <c r="J149" s="28">
        <f t="shared" si="5"/>
        <v>0</v>
      </c>
      <c r="K149" s="30">
        <f t="shared" si="26"/>
        <v>0</v>
      </c>
      <c r="L149" s="5"/>
      <c r="M149" s="30">
        <f t="shared" si="27"/>
        <v>0</v>
      </c>
      <c r="N149" s="42">
        <f t="shared" si="28"/>
        <v>0</v>
      </c>
      <c r="O149" s="43">
        <f t="shared" si="29"/>
        <v>0</v>
      </c>
      <c r="P149" s="43">
        <f t="shared" si="30"/>
        <v>-0.34013437099999999</v>
      </c>
      <c r="Q149" s="43">
        <f t="shared" si="31"/>
        <v>-0.34013437099999999</v>
      </c>
      <c r="R149" s="43">
        <f t="shared" si="32"/>
        <v>0.11569139033556564</v>
      </c>
    </row>
    <row r="150" spans="1:18" x14ac:dyDescent="0.3">
      <c r="A150" s="47">
        <v>38132</v>
      </c>
      <c r="B150" s="48">
        <v>0</v>
      </c>
      <c r="C150" s="50">
        <v>0</v>
      </c>
      <c r="D150" s="10">
        <f t="shared" si="24"/>
        <v>-0.38980777739764078</v>
      </c>
      <c r="E150" s="10">
        <f t="shared" si="25"/>
        <v>-0.48607599697214554</v>
      </c>
      <c r="F150" s="10">
        <f t="shared" si="33"/>
        <v>0.15195010331968867</v>
      </c>
      <c r="G150" s="10">
        <f t="shared" si="33"/>
        <v>0.23626987483246525</v>
      </c>
      <c r="H150" s="11">
        <f t="shared" si="3"/>
        <v>0.18947620402605442</v>
      </c>
      <c r="I150" s="12">
        <f t="shared" si="4"/>
        <v>0</v>
      </c>
      <c r="J150" s="28">
        <f t="shared" si="5"/>
        <v>0</v>
      </c>
      <c r="K150" s="30">
        <f t="shared" si="26"/>
        <v>0</v>
      </c>
      <c r="L150" s="5"/>
      <c r="M150" s="30">
        <f t="shared" si="27"/>
        <v>0</v>
      </c>
      <c r="N150" s="42">
        <f t="shared" si="28"/>
        <v>0</v>
      </c>
      <c r="O150" s="43">
        <f t="shared" si="29"/>
        <v>0</v>
      </c>
      <c r="P150" s="43">
        <f t="shared" si="30"/>
        <v>-0.34013437099999999</v>
      </c>
      <c r="Q150" s="43">
        <f t="shared" si="31"/>
        <v>-0.34013437099999999</v>
      </c>
      <c r="R150" s="43">
        <f t="shared" si="32"/>
        <v>0.11569139033556564</v>
      </c>
    </row>
    <row r="151" spans="1:18" x14ac:dyDescent="0.3">
      <c r="A151" s="47">
        <v>38133</v>
      </c>
      <c r="B151" s="48">
        <v>0</v>
      </c>
      <c r="C151" s="50">
        <v>0.24060359597206116</v>
      </c>
      <c r="D151" s="10">
        <f t="shared" si="24"/>
        <v>-0.38980777739764078</v>
      </c>
      <c r="E151" s="10">
        <f t="shared" si="25"/>
        <v>-0.24547240100008438</v>
      </c>
      <c r="F151" s="10">
        <f t="shared" si="33"/>
        <v>0.15195010331968867</v>
      </c>
      <c r="G151" s="10">
        <f t="shared" si="33"/>
        <v>6.0256699652746229E-2</v>
      </c>
      <c r="H151" s="11">
        <f t="shared" si="3"/>
        <v>9.5687051046305302E-2</v>
      </c>
      <c r="I151" s="12">
        <f t="shared" si="4"/>
        <v>0.24060359597206116</v>
      </c>
      <c r="J151" s="28">
        <f t="shared" si="5"/>
        <v>5.7890090394686844E-2</v>
      </c>
      <c r="K151" s="30">
        <f t="shared" si="26"/>
        <v>0.24060359597206116</v>
      </c>
      <c r="L151" s="5"/>
      <c r="M151" s="30">
        <f t="shared" si="27"/>
        <v>-0.24060359597206116</v>
      </c>
      <c r="N151" s="42">
        <f t="shared" si="28"/>
        <v>-0.24060359597206116</v>
      </c>
      <c r="O151" s="43">
        <f t="shared" si="29"/>
        <v>5.7890090394686844E-2</v>
      </c>
      <c r="P151" s="43">
        <f t="shared" si="30"/>
        <v>-0.34013437099999999</v>
      </c>
      <c r="Q151" s="43">
        <f t="shared" si="31"/>
        <v>-0.34013437099999999</v>
      </c>
      <c r="R151" s="43">
        <f t="shared" si="32"/>
        <v>0.11569139033556564</v>
      </c>
    </row>
    <row r="152" spans="1:18" x14ac:dyDescent="0.3">
      <c r="A152" s="47">
        <v>38134</v>
      </c>
      <c r="B152" s="48">
        <v>0</v>
      </c>
      <c r="C152" s="50">
        <v>0</v>
      </c>
      <c r="D152" s="10">
        <f t="shared" si="24"/>
        <v>-0.38980777739764078</v>
      </c>
      <c r="E152" s="10">
        <f t="shared" si="25"/>
        <v>-0.48607599697214554</v>
      </c>
      <c r="F152" s="10">
        <f t="shared" si="33"/>
        <v>0.15195010331968867</v>
      </c>
      <c r="G152" s="10">
        <f t="shared" si="33"/>
        <v>0.23626987483246525</v>
      </c>
      <c r="H152" s="11">
        <f t="shared" si="3"/>
        <v>0.18947620402605442</v>
      </c>
      <c r="I152" s="12">
        <f t="shared" si="4"/>
        <v>0</v>
      </c>
      <c r="J152" s="28">
        <f t="shared" si="5"/>
        <v>0</v>
      </c>
      <c r="K152" s="30">
        <f t="shared" si="26"/>
        <v>0</v>
      </c>
      <c r="L152" s="5"/>
      <c r="M152" s="30">
        <f t="shared" si="27"/>
        <v>0</v>
      </c>
      <c r="N152" s="42">
        <f t="shared" si="28"/>
        <v>0</v>
      </c>
      <c r="O152" s="43">
        <f t="shared" si="29"/>
        <v>0</v>
      </c>
      <c r="P152" s="43">
        <f t="shared" si="30"/>
        <v>-0.34013437099999999</v>
      </c>
      <c r="Q152" s="43">
        <f t="shared" si="31"/>
        <v>-0.34013437099999999</v>
      </c>
      <c r="R152" s="43">
        <f t="shared" si="32"/>
        <v>0.11569139033556564</v>
      </c>
    </row>
    <row r="153" spans="1:18" x14ac:dyDescent="0.3">
      <c r="A153" s="47">
        <v>38135</v>
      </c>
      <c r="B153" s="48">
        <v>0</v>
      </c>
      <c r="C153" s="50">
        <v>0</v>
      </c>
      <c r="D153" s="10">
        <f t="shared" si="24"/>
        <v>-0.38980777739764078</v>
      </c>
      <c r="E153" s="10">
        <f t="shared" si="25"/>
        <v>-0.48607599697214554</v>
      </c>
      <c r="F153" s="10">
        <f t="shared" si="33"/>
        <v>0.15195010331968867</v>
      </c>
      <c r="G153" s="10">
        <f t="shared" si="33"/>
        <v>0.23626987483246525</v>
      </c>
      <c r="H153" s="11">
        <f t="shared" si="3"/>
        <v>0.18947620402605442</v>
      </c>
      <c r="I153" s="12">
        <f t="shared" si="4"/>
        <v>0</v>
      </c>
      <c r="J153" s="28">
        <f t="shared" si="5"/>
        <v>0</v>
      </c>
      <c r="K153" s="30">
        <f t="shared" si="26"/>
        <v>0</v>
      </c>
      <c r="L153" s="5"/>
      <c r="M153" s="30">
        <f t="shared" si="27"/>
        <v>0</v>
      </c>
      <c r="N153" s="42">
        <f t="shared" si="28"/>
        <v>0</v>
      </c>
      <c r="O153" s="43">
        <f t="shared" si="29"/>
        <v>0</v>
      </c>
      <c r="P153" s="43">
        <f t="shared" si="30"/>
        <v>-0.34013437099999999</v>
      </c>
      <c r="Q153" s="43">
        <f t="shared" si="31"/>
        <v>-0.34013437099999999</v>
      </c>
      <c r="R153" s="43">
        <f t="shared" si="32"/>
        <v>0.11569139033556564</v>
      </c>
    </row>
    <row r="154" spans="1:18" x14ac:dyDescent="0.3">
      <c r="A154" s="47">
        <v>38136</v>
      </c>
      <c r="B154" s="48">
        <v>0</v>
      </c>
      <c r="C154" s="50">
        <v>3.2842271029949188E-3</v>
      </c>
      <c r="D154" s="10">
        <f t="shared" si="24"/>
        <v>-0.38980777739764078</v>
      </c>
      <c r="E154" s="10">
        <f t="shared" si="25"/>
        <v>-0.48279176986915062</v>
      </c>
      <c r="F154" s="10">
        <f t="shared" si="33"/>
        <v>0.15195010331968867</v>
      </c>
      <c r="G154" s="10">
        <f t="shared" si="33"/>
        <v>0.2330878930533869</v>
      </c>
      <c r="H154" s="11">
        <f t="shared" si="3"/>
        <v>0.18819598675856689</v>
      </c>
      <c r="I154" s="12">
        <f t="shared" si="4"/>
        <v>3.2842271029949188E-3</v>
      </c>
      <c r="J154" s="28">
        <f t="shared" si="5"/>
        <v>1.0786147664046397E-5</v>
      </c>
      <c r="K154" s="30">
        <f t="shared" si="26"/>
        <v>3.2842271029949188E-3</v>
      </c>
      <c r="L154" s="5"/>
      <c r="M154" s="30">
        <f t="shared" si="27"/>
        <v>-3.2842271029949188E-3</v>
      </c>
      <c r="N154" s="42">
        <f t="shared" si="28"/>
        <v>-3.2842271029949188E-3</v>
      </c>
      <c r="O154" s="43">
        <f t="shared" si="29"/>
        <v>1.0786147664046397E-5</v>
      </c>
      <c r="P154" s="43">
        <f t="shared" si="30"/>
        <v>-0.34013437099999999</v>
      </c>
      <c r="Q154" s="43">
        <f t="shared" si="31"/>
        <v>-0.34013437099999999</v>
      </c>
      <c r="R154" s="43">
        <f t="shared" si="32"/>
        <v>0.11569139033556564</v>
      </c>
    </row>
    <row r="155" spans="1:18" x14ac:dyDescent="0.3">
      <c r="A155" s="47">
        <v>38137</v>
      </c>
      <c r="B155" s="48">
        <v>0</v>
      </c>
      <c r="C155" s="50">
        <v>0</v>
      </c>
      <c r="D155" s="10">
        <f t="shared" si="24"/>
        <v>-0.38980777739764078</v>
      </c>
      <c r="E155" s="10">
        <f t="shared" si="25"/>
        <v>-0.48607599697214554</v>
      </c>
      <c r="F155" s="10">
        <f t="shared" si="33"/>
        <v>0.15195010331968867</v>
      </c>
      <c r="G155" s="10">
        <f t="shared" si="33"/>
        <v>0.23626987483246525</v>
      </c>
      <c r="H155" s="11">
        <f t="shared" si="3"/>
        <v>0.18947620402605442</v>
      </c>
      <c r="I155" s="12">
        <f t="shared" si="4"/>
        <v>0</v>
      </c>
      <c r="J155" s="28">
        <f t="shared" si="5"/>
        <v>0</v>
      </c>
      <c r="K155" s="30">
        <f t="shared" si="26"/>
        <v>0</v>
      </c>
      <c r="L155" s="5"/>
      <c r="M155" s="30">
        <f t="shared" si="27"/>
        <v>0</v>
      </c>
      <c r="N155" s="42">
        <f t="shared" si="28"/>
        <v>0</v>
      </c>
      <c r="O155" s="43">
        <f t="shared" si="29"/>
        <v>0</v>
      </c>
      <c r="P155" s="43">
        <f t="shared" si="30"/>
        <v>-0.34013437099999999</v>
      </c>
      <c r="Q155" s="43">
        <f t="shared" si="31"/>
        <v>-0.34013437099999999</v>
      </c>
      <c r="R155" s="43">
        <f t="shared" si="32"/>
        <v>0.11569139033556564</v>
      </c>
    </row>
    <row r="156" spans="1:18" x14ac:dyDescent="0.3">
      <c r="A156" s="47">
        <v>38138</v>
      </c>
      <c r="B156" s="48">
        <v>0</v>
      </c>
      <c r="C156" s="50">
        <v>0</v>
      </c>
      <c r="D156" s="10">
        <f t="shared" si="24"/>
        <v>-0.38980777739764078</v>
      </c>
      <c r="E156" s="10">
        <f t="shared" si="25"/>
        <v>-0.48607599697214554</v>
      </c>
      <c r="F156" s="10">
        <f t="shared" si="33"/>
        <v>0.15195010331968867</v>
      </c>
      <c r="G156" s="10">
        <f t="shared" si="33"/>
        <v>0.23626987483246525</v>
      </c>
      <c r="H156" s="11">
        <f t="shared" si="3"/>
        <v>0.18947620402605442</v>
      </c>
      <c r="I156" s="12">
        <f t="shared" si="4"/>
        <v>0</v>
      </c>
      <c r="J156" s="28">
        <f t="shared" si="5"/>
        <v>0</v>
      </c>
      <c r="K156" s="30">
        <f t="shared" si="26"/>
        <v>0</v>
      </c>
      <c r="L156" s="5"/>
      <c r="M156" s="30">
        <f t="shared" si="27"/>
        <v>0</v>
      </c>
      <c r="N156" s="42">
        <f t="shared" si="28"/>
        <v>0</v>
      </c>
      <c r="O156" s="43">
        <f t="shared" si="29"/>
        <v>0</v>
      </c>
      <c r="P156" s="43">
        <f t="shared" si="30"/>
        <v>-0.34013437099999999</v>
      </c>
      <c r="Q156" s="43">
        <f t="shared" si="31"/>
        <v>-0.34013437099999999</v>
      </c>
      <c r="R156" s="43">
        <f t="shared" si="32"/>
        <v>0.11569139033556564</v>
      </c>
    </row>
    <row r="157" spans="1:18" x14ac:dyDescent="0.3">
      <c r="A157" s="47">
        <v>38139</v>
      </c>
      <c r="B157" s="48">
        <v>0</v>
      </c>
      <c r="C157" s="50">
        <v>0</v>
      </c>
      <c r="D157" s="10">
        <f t="shared" si="24"/>
        <v>-0.38980777739764078</v>
      </c>
      <c r="E157" s="10">
        <f t="shared" si="25"/>
        <v>-0.48607599697214554</v>
      </c>
      <c r="F157" s="10">
        <f t="shared" si="33"/>
        <v>0.15195010331968867</v>
      </c>
      <c r="G157" s="10">
        <f t="shared" si="33"/>
        <v>0.23626987483246525</v>
      </c>
      <c r="H157" s="11">
        <f t="shared" si="3"/>
        <v>0.18947620402605442</v>
      </c>
      <c r="I157" s="12">
        <f t="shared" si="4"/>
        <v>0</v>
      </c>
      <c r="J157" s="28">
        <f t="shared" si="5"/>
        <v>0</v>
      </c>
      <c r="K157" s="30">
        <f t="shared" si="26"/>
        <v>0</v>
      </c>
      <c r="L157" s="5"/>
      <c r="M157" s="30">
        <f t="shared" si="27"/>
        <v>0</v>
      </c>
      <c r="N157" s="42">
        <f t="shared" si="28"/>
        <v>0</v>
      </c>
      <c r="O157" s="43">
        <f t="shared" si="29"/>
        <v>0</v>
      </c>
      <c r="P157" s="43">
        <f t="shared" si="30"/>
        <v>-0.34013437099999999</v>
      </c>
      <c r="Q157" s="43">
        <f t="shared" si="31"/>
        <v>-0.34013437099999999</v>
      </c>
      <c r="R157" s="43">
        <f t="shared" si="32"/>
        <v>0.11569139033556564</v>
      </c>
    </row>
    <row r="158" spans="1:18" x14ac:dyDescent="0.3">
      <c r="A158" s="47">
        <v>38140</v>
      </c>
      <c r="B158" s="48">
        <v>0</v>
      </c>
      <c r="C158" s="50">
        <v>0</v>
      </c>
      <c r="D158" s="10">
        <f t="shared" si="24"/>
        <v>-0.38980777739764078</v>
      </c>
      <c r="E158" s="10">
        <f t="shared" si="25"/>
        <v>-0.48607599697214554</v>
      </c>
      <c r="F158" s="10">
        <f t="shared" si="33"/>
        <v>0.15195010331968867</v>
      </c>
      <c r="G158" s="10">
        <f t="shared" si="33"/>
        <v>0.23626987483246525</v>
      </c>
      <c r="H158" s="11">
        <f t="shared" si="3"/>
        <v>0.18947620402605442</v>
      </c>
      <c r="I158" s="12">
        <f t="shared" si="4"/>
        <v>0</v>
      </c>
      <c r="J158" s="28">
        <f t="shared" si="5"/>
        <v>0</v>
      </c>
      <c r="K158" s="30">
        <f t="shared" si="26"/>
        <v>0</v>
      </c>
      <c r="L158" s="5"/>
      <c r="M158" s="30">
        <f t="shared" si="27"/>
        <v>0</v>
      </c>
      <c r="N158" s="42">
        <f t="shared" si="28"/>
        <v>0</v>
      </c>
      <c r="O158" s="43">
        <f t="shared" si="29"/>
        <v>0</v>
      </c>
      <c r="P158" s="43">
        <f t="shared" si="30"/>
        <v>-0.34013437099999999</v>
      </c>
      <c r="Q158" s="43">
        <f t="shared" si="31"/>
        <v>-0.34013437099999999</v>
      </c>
      <c r="R158" s="43">
        <f t="shared" si="32"/>
        <v>0.11569139033556564</v>
      </c>
    </row>
    <row r="159" spans="1:18" x14ac:dyDescent="0.3">
      <c r="A159" s="47">
        <v>38141</v>
      </c>
      <c r="B159" s="48">
        <v>0</v>
      </c>
      <c r="C159" s="50">
        <v>0</v>
      </c>
      <c r="D159" s="10">
        <f t="shared" si="24"/>
        <v>-0.38980777739764078</v>
      </c>
      <c r="E159" s="10">
        <f t="shared" si="25"/>
        <v>-0.48607599697214554</v>
      </c>
      <c r="F159" s="10">
        <f t="shared" si="33"/>
        <v>0.15195010331968867</v>
      </c>
      <c r="G159" s="10">
        <f t="shared" si="33"/>
        <v>0.23626987483246525</v>
      </c>
      <c r="H159" s="11">
        <f t="shared" si="3"/>
        <v>0.18947620402605442</v>
      </c>
      <c r="I159" s="12">
        <f t="shared" si="4"/>
        <v>0</v>
      </c>
      <c r="J159" s="28">
        <f t="shared" si="5"/>
        <v>0</v>
      </c>
      <c r="K159" s="30">
        <f t="shared" si="26"/>
        <v>0</v>
      </c>
      <c r="L159" s="5"/>
      <c r="M159" s="30">
        <f t="shared" si="27"/>
        <v>0</v>
      </c>
      <c r="N159" s="42">
        <f t="shared" si="28"/>
        <v>0</v>
      </c>
      <c r="O159" s="43">
        <f t="shared" si="29"/>
        <v>0</v>
      </c>
      <c r="P159" s="43">
        <f t="shared" si="30"/>
        <v>-0.34013437099999999</v>
      </c>
      <c r="Q159" s="43">
        <f t="shared" si="31"/>
        <v>-0.34013437099999999</v>
      </c>
      <c r="R159" s="43">
        <f t="shared" si="32"/>
        <v>0.11569139033556564</v>
      </c>
    </row>
    <row r="160" spans="1:18" x14ac:dyDescent="0.3">
      <c r="A160" s="47">
        <v>38142</v>
      </c>
      <c r="B160" s="48">
        <v>0</v>
      </c>
      <c r="C160" s="50">
        <v>0</v>
      </c>
      <c r="D160" s="10">
        <f t="shared" si="24"/>
        <v>-0.38980777739764078</v>
      </c>
      <c r="E160" s="10">
        <f t="shared" si="25"/>
        <v>-0.48607599697214554</v>
      </c>
      <c r="F160" s="10">
        <f t="shared" si="33"/>
        <v>0.15195010331968867</v>
      </c>
      <c r="G160" s="10">
        <f t="shared" si="33"/>
        <v>0.23626987483246525</v>
      </c>
      <c r="H160" s="11">
        <f t="shared" si="3"/>
        <v>0.18947620402605442</v>
      </c>
      <c r="I160" s="12">
        <f t="shared" si="4"/>
        <v>0</v>
      </c>
      <c r="J160" s="28">
        <f t="shared" si="5"/>
        <v>0</v>
      </c>
      <c r="K160" s="30">
        <f t="shared" si="26"/>
        <v>0</v>
      </c>
      <c r="L160" s="5"/>
      <c r="M160" s="30">
        <f t="shared" si="27"/>
        <v>0</v>
      </c>
      <c r="N160" s="42">
        <f t="shared" si="28"/>
        <v>0</v>
      </c>
      <c r="O160" s="43">
        <f t="shared" si="29"/>
        <v>0</v>
      </c>
      <c r="P160" s="43">
        <f t="shared" si="30"/>
        <v>-0.34013437099999999</v>
      </c>
      <c r="Q160" s="43">
        <f t="shared" si="31"/>
        <v>-0.34013437099999999</v>
      </c>
      <c r="R160" s="43">
        <f t="shared" si="32"/>
        <v>0.11569139033556564</v>
      </c>
    </row>
    <row r="161" spans="1:18" x14ac:dyDescent="0.3">
      <c r="A161" s="47">
        <v>38143</v>
      </c>
      <c r="B161" s="48">
        <v>0</v>
      </c>
      <c r="C161" s="50">
        <v>0</v>
      </c>
      <c r="D161" s="10">
        <f t="shared" si="24"/>
        <v>-0.38980777739764078</v>
      </c>
      <c r="E161" s="10">
        <f t="shared" si="25"/>
        <v>-0.48607599697214554</v>
      </c>
      <c r="F161" s="10">
        <f t="shared" si="33"/>
        <v>0.15195010331968867</v>
      </c>
      <c r="G161" s="10">
        <f t="shared" si="33"/>
        <v>0.23626987483246525</v>
      </c>
      <c r="H161" s="11">
        <f t="shared" si="3"/>
        <v>0.18947620402605442</v>
      </c>
      <c r="I161" s="12">
        <f t="shared" si="4"/>
        <v>0</v>
      </c>
      <c r="J161" s="28">
        <f t="shared" si="5"/>
        <v>0</v>
      </c>
      <c r="K161" s="30">
        <f t="shared" si="26"/>
        <v>0</v>
      </c>
      <c r="L161" s="5"/>
      <c r="M161" s="30">
        <f t="shared" si="27"/>
        <v>0</v>
      </c>
      <c r="N161" s="42">
        <f t="shared" si="28"/>
        <v>0</v>
      </c>
      <c r="O161" s="43">
        <f t="shared" si="29"/>
        <v>0</v>
      </c>
      <c r="P161" s="43">
        <f t="shared" si="30"/>
        <v>-0.34013437099999999</v>
      </c>
      <c r="Q161" s="43">
        <f t="shared" si="31"/>
        <v>-0.34013437099999999</v>
      </c>
      <c r="R161" s="43">
        <f t="shared" si="32"/>
        <v>0.11569139033556564</v>
      </c>
    </row>
    <row r="162" spans="1:18" x14ac:dyDescent="0.3">
      <c r="A162" s="47">
        <v>38144</v>
      </c>
      <c r="B162" s="48">
        <v>0</v>
      </c>
      <c r="C162" s="50">
        <v>0</v>
      </c>
      <c r="D162" s="10">
        <f t="shared" si="24"/>
        <v>-0.38980777739764078</v>
      </c>
      <c r="E162" s="10">
        <f t="shared" si="25"/>
        <v>-0.48607599697214554</v>
      </c>
      <c r="F162" s="10">
        <f t="shared" si="33"/>
        <v>0.15195010331968867</v>
      </c>
      <c r="G162" s="10">
        <f t="shared" si="33"/>
        <v>0.23626987483246525</v>
      </c>
      <c r="H162" s="11">
        <f t="shared" si="3"/>
        <v>0.18947620402605442</v>
      </c>
      <c r="I162" s="12">
        <f t="shared" si="4"/>
        <v>0</v>
      </c>
      <c r="J162" s="28">
        <f t="shared" si="5"/>
        <v>0</v>
      </c>
      <c r="K162" s="30">
        <f t="shared" si="26"/>
        <v>0</v>
      </c>
      <c r="L162" s="5"/>
      <c r="M162" s="30">
        <f t="shared" si="27"/>
        <v>0</v>
      </c>
      <c r="N162" s="42">
        <f t="shared" si="28"/>
        <v>0</v>
      </c>
      <c r="O162" s="43">
        <f t="shared" si="29"/>
        <v>0</v>
      </c>
      <c r="P162" s="43">
        <f t="shared" si="30"/>
        <v>-0.34013437099999999</v>
      </c>
      <c r="Q162" s="43">
        <f t="shared" si="31"/>
        <v>-0.34013437099999999</v>
      </c>
      <c r="R162" s="43">
        <f t="shared" si="32"/>
        <v>0.11569139033556564</v>
      </c>
    </row>
    <row r="163" spans="1:18" x14ac:dyDescent="0.3">
      <c r="A163" s="47">
        <v>38145</v>
      </c>
      <c r="B163" s="48">
        <v>0</v>
      </c>
      <c r="C163" s="50">
        <v>0</v>
      </c>
      <c r="D163" s="10">
        <f t="shared" si="24"/>
        <v>-0.38980777739764078</v>
      </c>
      <c r="E163" s="10">
        <f t="shared" si="25"/>
        <v>-0.48607599697214554</v>
      </c>
      <c r="F163" s="10">
        <f t="shared" si="33"/>
        <v>0.15195010331968867</v>
      </c>
      <c r="G163" s="10">
        <f t="shared" si="33"/>
        <v>0.23626987483246525</v>
      </c>
      <c r="H163" s="11">
        <f t="shared" si="3"/>
        <v>0.18947620402605442</v>
      </c>
      <c r="I163" s="12">
        <f t="shared" si="4"/>
        <v>0</v>
      </c>
      <c r="J163" s="28">
        <f t="shared" si="5"/>
        <v>0</v>
      </c>
      <c r="K163" s="30">
        <f t="shared" si="26"/>
        <v>0</v>
      </c>
      <c r="L163" s="5"/>
      <c r="M163" s="30">
        <f t="shared" si="27"/>
        <v>0</v>
      </c>
      <c r="N163" s="42">
        <f t="shared" si="28"/>
        <v>0</v>
      </c>
      <c r="O163" s="43">
        <f t="shared" si="29"/>
        <v>0</v>
      </c>
      <c r="P163" s="43">
        <f t="shared" si="30"/>
        <v>-0.34013437099999999</v>
      </c>
      <c r="Q163" s="43">
        <f t="shared" si="31"/>
        <v>-0.34013437099999999</v>
      </c>
      <c r="R163" s="43">
        <f t="shared" si="32"/>
        <v>0.11569139033556564</v>
      </c>
    </row>
    <row r="164" spans="1:18" x14ac:dyDescent="0.3">
      <c r="A164" s="47">
        <v>38146</v>
      </c>
      <c r="B164" s="48">
        <v>0</v>
      </c>
      <c r="C164" s="50">
        <v>0</v>
      </c>
      <c r="D164" s="10">
        <f t="shared" si="24"/>
        <v>-0.38980777739764078</v>
      </c>
      <c r="E164" s="10">
        <f t="shared" si="25"/>
        <v>-0.48607599697214554</v>
      </c>
      <c r="F164" s="10">
        <f t="shared" si="33"/>
        <v>0.15195010331968867</v>
      </c>
      <c r="G164" s="10">
        <f t="shared" si="33"/>
        <v>0.23626987483246525</v>
      </c>
      <c r="H164" s="11">
        <f t="shared" si="3"/>
        <v>0.18947620402605442</v>
      </c>
      <c r="I164" s="12">
        <f t="shared" si="4"/>
        <v>0</v>
      </c>
      <c r="J164" s="28">
        <f t="shared" si="5"/>
        <v>0</v>
      </c>
      <c r="K164" s="30">
        <f t="shared" si="26"/>
        <v>0</v>
      </c>
      <c r="L164" s="5"/>
      <c r="M164" s="30">
        <f t="shared" si="27"/>
        <v>0</v>
      </c>
      <c r="N164" s="42">
        <f t="shared" si="28"/>
        <v>0</v>
      </c>
      <c r="O164" s="43">
        <f t="shared" si="29"/>
        <v>0</v>
      </c>
      <c r="P164" s="43">
        <f t="shared" si="30"/>
        <v>-0.34013437099999999</v>
      </c>
      <c r="Q164" s="43">
        <f t="shared" si="31"/>
        <v>-0.34013437099999999</v>
      </c>
      <c r="R164" s="43">
        <f t="shared" si="32"/>
        <v>0.11569139033556564</v>
      </c>
    </row>
    <row r="165" spans="1:18" x14ac:dyDescent="0.3">
      <c r="A165" s="47">
        <v>38147</v>
      </c>
      <c r="B165" s="48">
        <v>0</v>
      </c>
      <c r="C165" s="50">
        <v>0</v>
      </c>
      <c r="D165" s="10">
        <f t="shared" si="24"/>
        <v>-0.38980777739764078</v>
      </c>
      <c r="E165" s="10">
        <f t="shared" si="25"/>
        <v>-0.48607599697214554</v>
      </c>
      <c r="F165" s="10">
        <f t="shared" si="33"/>
        <v>0.15195010331968867</v>
      </c>
      <c r="G165" s="10">
        <f t="shared" si="33"/>
        <v>0.23626987483246525</v>
      </c>
      <c r="H165" s="11">
        <f t="shared" si="3"/>
        <v>0.18947620402605442</v>
      </c>
      <c r="I165" s="12">
        <f t="shared" si="4"/>
        <v>0</v>
      </c>
      <c r="J165" s="28">
        <f t="shared" si="5"/>
        <v>0</v>
      </c>
      <c r="K165" s="30">
        <f t="shared" si="26"/>
        <v>0</v>
      </c>
      <c r="L165" s="5"/>
      <c r="M165" s="30">
        <f t="shared" si="27"/>
        <v>0</v>
      </c>
      <c r="N165" s="42">
        <f t="shared" si="28"/>
        <v>0</v>
      </c>
      <c r="O165" s="43">
        <f t="shared" si="29"/>
        <v>0</v>
      </c>
      <c r="P165" s="43">
        <f t="shared" si="30"/>
        <v>-0.34013437099999999</v>
      </c>
      <c r="Q165" s="43">
        <f t="shared" si="31"/>
        <v>-0.34013437099999999</v>
      </c>
      <c r="R165" s="43">
        <f t="shared" si="32"/>
        <v>0.11569139033556564</v>
      </c>
    </row>
    <row r="166" spans="1:18" x14ac:dyDescent="0.3">
      <c r="A166" s="47">
        <v>38148</v>
      </c>
      <c r="B166" s="48">
        <v>0</v>
      </c>
      <c r="C166" s="50">
        <v>0</v>
      </c>
      <c r="D166" s="10">
        <f t="shared" si="24"/>
        <v>-0.38980777739764078</v>
      </c>
      <c r="E166" s="10">
        <f t="shared" si="25"/>
        <v>-0.48607599697214554</v>
      </c>
      <c r="F166" s="10">
        <f t="shared" si="33"/>
        <v>0.15195010331968867</v>
      </c>
      <c r="G166" s="10">
        <f t="shared" si="33"/>
        <v>0.23626987483246525</v>
      </c>
      <c r="H166" s="11">
        <f t="shared" si="3"/>
        <v>0.18947620402605442</v>
      </c>
      <c r="I166" s="12">
        <f t="shared" si="4"/>
        <v>0</v>
      </c>
      <c r="J166" s="28">
        <f t="shared" si="5"/>
        <v>0</v>
      </c>
      <c r="K166" s="30">
        <f t="shared" si="26"/>
        <v>0</v>
      </c>
      <c r="L166" s="5"/>
      <c r="M166" s="30">
        <f t="shared" si="27"/>
        <v>0</v>
      </c>
      <c r="N166" s="42">
        <f t="shared" si="28"/>
        <v>0</v>
      </c>
      <c r="O166" s="43">
        <f t="shared" si="29"/>
        <v>0</v>
      </c>
      <c r="P166" s="43">
        <f t="shared" si="30"/>
        <v>-0.34013437099999999</v>
      </c>
      <c r="Q166" s="43">
        <f t="shared" si="31"/>
        <v>-0.34013437099999999</v>
      </c>
      <c r="R166" s="43">
        <f t="shared" si="32"/>
        <v>0.11569139033556564</v>
      </c>
    </row>
    <row r="167" spans="1:18" x14ac:dyDescent="0.3">
      <c r="A167" s="47">
        <v>38149</v>
      </c>
      <c r="B167" s="48">
        <v>0</v>
      </c>
      <c r="C167" s="50">
        <v>0</v>
      </c>
      <c r="D167" s="10">
        <f t="shared" si="24"/>
        <v>-0.38980777739764078</v>
      </c>
      <c r="E167" s="10">
        <f t="shared" si="25"/>
        <v>-0.48607599697214554</v>
      </c>
      <c r="F167" s="10">
        <f t="shared" si="33"/>
        <v>0.15195010331968867</v>
      </c>
      <c r="G167" s="10">
        <f t="shared" si="33"/>
        <v>0.23626987483246525</v>
      </c>
      <c r="H167" s="11">
        <f t="shared" si="3"/>
        <v>0.18947620402605442</v>
      </c>
      <c r="I167" s="12">
        <f t="shared" si="4"/>
        <v>0</v>
      </c>
      <c r="J167" s="28">
        <f t="shared" si="5"/>
        <v>0</v>
      </c>
      <c r="K167" s="30">
        <f t="shared" si="26"/>
        <v>0</v>
      </c>
      <c r="L167" s="5"/>
      <c r="M167" s="30">
        <f t="shared" si="27"/>
        <v>0</v>
      </c>
      <c r="N167" s="42">
        <f t="shared" si="28"/>
        <v>0</v>
      </c>
      <c r="O167" s="43">
        <f t="shared" si="29"/>
        <v>0</v>
      </c>
      <c r="P167" s="43">
        <f t="shared" si="30"/>
        <v>-0.34013437099999999</v>
      </c>
      <c r="Q167" s="43">
        <f t="shared" si="31"/>
        <v>-0.34013437099999999</v>
      </c>
      <c r="R167" s="43">
        <f t="shared" si="32"/>
        <v>0.11569139033556564</v>
      </c>
    </row>
    <row r="168" spans="1:18" x14ac:dyDescent="0.3">
      <c r="A168" s="47">
        <v>38150</v>
      </c>
      <c r="B168" s="48">
        <v>0</v>
      </c>
      <c r="C168" s="50">
        <v>0</v>
      </c>
      <c r="D168" s="10">
        <f t="shared" si="24"/>
        <v>-0.38980777739764078</v>
      </c>
      <c r="E168" s="10">
        <f t="shared" si="25"/>
        <v>-0.48607599697214554</v>
      </c>
      <c r="F168" s="10">
        <f t="shared" si="33"/>
        <v>0.15195010331968867</v>
      </c>
      <c r="G168" s="10">
        <f t="shared" si="33"/>
        <v>0.23626987483246525</v>
      </c>
      <c r="H168" s="11">
        <f t="shared" si="3"/>
        <v>0.18947620402605442</v>
      </c>
      <c r="I168" s="12">
        <f t="shared" si="4"/>
        <v>0</v>
      </c>
      <c r="J168" s="28">
        <f t="shared" si="5"/>
        <v>0</v>
      </c>
      <c r="K168" s="30">
        <f t="shared" si="26"/>
        <v>0</v>
      </c>
      <c r="L168" s="5"/>
      <c r="M168" s="30">
        <f t="shared" si="27"/>
        <v>0</v>
      </c>
      <c r="N168" s="42">
        <f t="shared" si="28"/>
        <v>0</v>
      </c>
      <c r="O168" s="43">
        <f t="shared" si="29"/>
        <v>0</v>
      </c>
      <c r="P168" s="43">
        <f t="shared" si="30"/>
        <v>-0.34013437099999999</v>
      </c>
      <c r="Q168" s="43">
        <f t="shared" si="31"/>
        <v>-0.34013437099999999</v>
      </c>
      <c r="R168" s="43">
        <f t="shared" si="32"/>
        <v>0.11569139033556564</v>
      </c>
    </row>
    <row r="169" spans="1:18" x14ac:dyDescent="0.3">
      <c r="A169" s="47">
        <v>38151</v>
      </c>
      <c r="B169" s="48">
        <v>0</v>
      </c>
      <c r="C169" s="50">
        <v>0</v>
      </c>
      <c r="D169" s="10">
        <f t="shared" si="24"/>
        <v>-0.38980777739764078</v>
      </c>
      <c r="E169" s="10">
        <f t="shared" si="25"/>
        <v>-0.48607599697214554</v>
      </c>
      <c r="F169" s="10">
        <f t="shared" si="33"/>
        <v>0.15195010331968867</v>
      </c>
      <c r="G169" s="10">
        <f t="shared" si="33"/>
        <v>0.23626987483246525</v>
      </c>
      <c r="H169" s="11">
        <f t="shared" si="3"/>
        <v>0.18947620402605442</v>
      </c>
      <c r="I169" s="12">
        <f t="shared" si="4"/>
        <v>0</v>
      </c>
      <c r="J169" s="28">
        <f t="shared" si="5"/>
        <v>0</v>
      </c>
      <c r="K169" s="30">
        <f t="shared" si="26"/>
        <v>0</v>
      </c>
      <c r="L169" s="5"/>
      <c r="M169" s="30">
        <f t="shared" si="27"/>
        <v>0</v>
      </c>
      <c r="N169" s="42">
        <f t="shared" si="28"/>
        <v>0</v>
      </c>
      <c r="O169" s="43">
        <f t="shared" si="29"/>
        <v>0</v>
      </c>
      <c r="P169" s="43">
        <f t="shared" si="30"/>
        <v>-0.34013437099999999</v>
      </c>
      <c r="Q169" s="43">
        <f t="shared" si="31"/>
        <v>-0.34013437099999999</v>
      </c>
      <c r="R169" s="43">
        <f t="shared" si="32"/>
        <v>0.11569139033556564</v>
      </c>
    </row>
    <row r="170" spans="1:18" x14ac:dyDescent="0.3">
      <c r="A170" s="47">
        <v>38152</v>
      </c>
      <c r="B170" s="48">
        <v>0</v>
      </c>
      <c r="C170" s="50">
        <v>0</v>
      </c>
      <c r="D170" s="10">
        <f t="shared" si="24"/>
        <v>-0.38980777739764078</v>
      </c>
      <c r="E170" s="10">
        <f t="shared" si="25"/>
        <v>-0.48607599697214554</v>
      </c>
      <c r="F170" s="10">
        <f t="shared" si="33"/>
        <v>0.15195010331968867</v>
      </c>
      <c r="G170" s="10">
        <f t="shared" si="33"/>
        <v>0.23626987483246525</v>
      </c>
      <c r="H170" s="11">
        <f t="shared" si="3"/>
        <v>0.18947620402605442</v>
      </c>
      <c r="I170" s="12">
        <f t="shared" si="4"/>
        <v>0</v>
      </c>
      <c r="J170" s="28">
        <f t="shared" si="5"/>
        <v>0</v>
      </c>
      <c r="K170" s="30">
        <f t="shared" si="26"/>
        <v>0</v>
      </c>
      <c r="L170" s="5"/>
      <c r="M170" s="30">
        <f t="shared" si="27"/>
        <v>0</v>
      </c>
      <c r="N170" s="42">
        <f t="shared" si="28"/>
        <v>0</v>
      </c>
      <c r="O170" s="43">
        <f t="shared" si="29"/>
        <v>0</v>
      </c>
      <c r="P170" s="43">
        <f t="shared" si="30"/>
        <v>-0.34013437099999999</v>
      </c>
      <c r="Q170" s="43">
        <f t="shared" si="31"/>
        <v>-0.34013437099999999</v>
      </c>
      <c r="R170" s="43">
        <f t="shared" si="32"/>
        <v>0.11569139033556564</v>
      </c>
    </row>
    <row r="171" spans="1:18" x14ac:dyDescent="0.3">
      <c r="A171" s="47">
        <v>38153</v>
      </c>
      <c r="B171" s="48">
        <v>0</v>
      </c>
      <c r="C171" s="50">
        <v>0</v>
      </c>
      <c r="D171" s="10">
        <f t="shared" si="24"/>
        <v>-0.38980777739764078</v>
      </c>
      <c r="E171" s="10">
        <f t="shared" si="25"/>
        <v>-0.48607599697214554</v>
      </c>
      <c r="F171" s="10">
        <f t="shared" si="33"/>
        <v>0.15195010331968867</v>
      </c>
      <c r="G171" s="10">
        <f t="shared" si="33"/>
        <v>0.23626987483246525</v>
      </c>
      <c r="H171" s="11">
        <f t="shared" si="3"/>
        <v>0.18947620402605442</v>
      </c>
      <c r="I171" s="12">
        <f t="shared" si="4"/>
        <v>0</v>
      </c>
      <c r="J171" s="28">
        <f t="shared" si="5"/>
        <v>0</v>
      </c>
      <c r="K171" s="30">
        <f t="shared" si="26"/>
        <v>0</v>
      </c>
      <c r="L171" s="5"/>
      <c r="M171" s="30">
        <f t="shared" si="27"/>
        <v>0</v>
      </c>
      <c r="N171" s="42">
        <f t="shared" si="28"/>
        <v>0</v>
      </c>
      <c r="O171" s="43">
        <f t="shared" si="29"/>
        <v>0</v>
      </c>
      <c r="P171" s="43">
        <f t="shared" si="30"/>
        <v>-0.34013437099999999</v>
      </c>
      <c r="Q171" s="43">
        <f t="shared" si="31"/>
        <v>-0.34013437099999999</v>
      </c>
      <c r="R171" s="43">
        <f t="shared" si="32"/>
        <v>0.11569139033556564</v>
      </c>
    </row>
    <row r="172" spans="1:18" x14ac:dyDescent="0.3">
      <c r="A172" s="47">
        <v>38154</v>
      </c>
      <c r="B172" s="48">
        <v>0</v>
      </c>
      <c r="C172" s="50">
        <v>0</v>
      </c>
      <c r="D172" s="10">
        <f t="shared" si="24"/>
        <v>-0.38980777739764078</v>
      </c>
      <c r="E172" s="10">
        <f t="shared" si="25"/>
        <v>-0.48607599697214554</v>
      </c>
      <c r="F172" s="10">
        <f t="shared" si="33"/>
        <v>0.15195010331968867</v>
      </c>
      <c r="G172" s="10">
        <f t="shared" si="33"/>
        <v>0.23626987483246525</v>
      </c>
      <c r="H172" s="11">
        <f t="shared" si="3"/>
        <v>0.18947620402605442</v>
      </c>
      <c r="I172" s="12">
        <f t="shared" si="4"/>
        <v>0</v>
      </c>
      <c r="J172" s="28">
        <f t="shared" si="5"/>
        <v>0</v>
      </c>
      <c r="K172" s="30">
        <f t="shared" si="26"/>
        <v>0</v>
      </c>
      <c r="L172" s="5"/>
      <c r="M172" s="30">
        <f t="shared" si="27"/>
        <v>0</v>
      </c>
      <c r="N172" s="42">
        <f t="shared" si="28"/>
        <v>0</v>
      </c>
      <c r="O172" s="43">
        <f t="shared" si="29"/>
        <v>0</v>
      </c>
      <c r="P172" s="43">
        <f t="shared" si="30"/>
        <v>-0.34013437099999999</v>
      </c>
      <c r="Q172" s="43">
        <f t="shared" si="31"/>
        <v>-0.34013437099999999</v>
      </c>
      <c r="R172" s="43">
        <f t="shared" si="32"/>
        <v>0.11569139033556564</v>
      </c>
    </row>
    <row r="173" spans="1:18" x14ac:dyDescent="0.3">
      <c r="A173" s="47">
        <v>38155</v>
      </c>
      <c r="B173" s="48">
        <v>0</v>
      </c>
      <c r="C173" s="50">
        <v>0</v>
      </c>
      <c r="D173" s="10">
        <f t="shared" si="24"/>
        <v>-0.38980777739764078</v>
      </c>
      <c r="E173" s="10">
        <f t="shared" si="25"/>
        <v>-0.48607599697214554</v>
      </c>
      <c r="F173" s="10">
        <f t="shared" si="33"/>
        <v>0.15195010331968867</v>
      </c>
      <c r="G173" s="10">
        <f t="shared" si="33"/>
        <v>0.23626987483246525</v>
      </c>
      <c r="H173" s="11">
        <f t="shared" si="3"/>
        <v>0.18947620402605442</v>
      </c>
      <c r="I173" s="12">
        <f t="shared" si="4"/>
        <v>0</v>
      </c>
      <c r="J173" s="28">
        <f t="shared" si="5"/>
        <v>0</v>
      </c>
      <c r="K173" s="30">
        <f t="shared" si="26"/>
        <v>0</v>
      </c>
      <c r="L173" s="5"/>
      <c r="M173" s="30">
        <f t="shared" si="27"/>
        <v>0</v>
      </c>
      <c r="N173" s="42">
        <f t="shared" si="28"/>
        <v>0</v>
      </c>
      <c r="O173" s="43">
        <f t="shared" si="29"/>
        <v>0</v>
      </c>
      <c r="P173" s="43">
        <f t="shared" si="30"/>
        <v>-0.34013437099999999</v>
      </c>
      <c r="Q173" s="43">
        <f t="shared" si="31"/>
        <v>-0.34013437099999999</v>
      </c>
      <c r="R173" s="43">
        <f t="shared" si="32"/>
        <v>0.11569139033556564</v>
      </c>
    </row>
    <row r="174" spans="1:18" x14ac:dyDescent="0.3">
      <c r="A174" s="47">
        <v>38156</v>
      </c>
      <c r="B174" s="48">
        <v>0</v>
      </c>
      <c r="C174" s="50">
        <v>0</v>
      </c>
      <c r="D174" s="10">
        <f t="shared" si="24"/>
        <v>-0.38980777739764078</v>
      </c>
      <c r="E174" s="10">
        <f t="shared" si="25"/>
        <v>-0.48607599697214554</v>
      </c>
      <c r="F174" s="10">
        <f t="shared" si="33"/>
        <v>0.15195010331968867</v>
      </c>
      <c r="G174" s="10">
        <f t="shared" si="33"/>
        <v>0.23626987483246525</v>
      </c>
      <c r="H174" s="11">
        <f t="shared" si="3"/>
        <v>0.18947620402605442</v>
      </c>
      <c r="I174" s="12">
        <f t="shared" si="4"/>
        <v>0</v>
      </c>
      <c r="J174" s="28">
        <f t="shared" si="5"/>
        <v>0</v>
      </c>
      <c r="K174" s="30">
        <f t="shared" si="26"/>
        <v>0</v>
      </c>
      <c r="L174" s="5"/>
      <c r="M174" s="30">
        <f t="shared" si="27"/>
        <v>0</v>
      </c>
      <c r="N174" s="42">
        <f t="shared" si="28"/>
        <v>0</v>
      </c>
      <c r="O174" s="43">
        <f t="shared" si="29"/>
        <v>0</v>
      </c>
      <c r="P174" s="43">
        <f t="shared" si="30"/>
        <v>-0.34013437099999999</v>
      </c>
      <c r="Q174" s="43">
        <f t="shared" si="31"/>
        <v>-0.34013437099999999</v>
      </c>
      <c r="R174" s="43">
        <f t="shared" si="32"/>
        <v>0.11569139033556564</v>
      </c>
    </row>
    <row r="175" spans="1:18" x14ac:dyDescent="0.3">
      <c r="A175" s="47">
        <v>38157</v>
      </c>
      <c r="B175" s="48">
        <v>0</v>
      </c>
      <c r="C175" s="50">
        <v>4.4101206585764885E-3</v>
      </c>
      <c r="D175" s="10">
        <f t="shared" si="24"/>
        <v>-0.38980777739764078</v>
      </c>
      <c r="E175" s="10">
        <f t="shared" si="25"/>
        <v>-0.48166587631356905</v>
      </c>
      <c r="F175" s="10">
        <f t="shared" si="33"/>
        <v>0.15195010331968867</v>
      </c>
      <c r="G175" s="10">
        <f t="shared" si="33"/>
        <v>0.23200201640491841</v>
      </c>
      <c r="H175" s="11">
        <f t="shared" si="3"/>
        <v>0.1877571046940793</v>
      </c>
      <c r="I175" s="12">
        <f t="shared" si="4"/>
        <v>4.4101206585764885E-3</v>
      </c>
      <c r="J175" s="28">
        <f t="shared" si="5"/>
        <v>1.9449164223203121E-5</v>
      </c>
      <c r="K175" s="30">
        <f t="shared" si="26"/>
        <v>4.4101206585764885E-3</v>
      </c>
      <c r="L175" s="5"/>
      <c r="M175" s="30">
        <f t="shared" si="27"/>
        <v>-4.4101206585764885E-3</v>
      </c>
      <c r="N175" s="42">
        <f t="shared" si="28"/>
        <v>-4.4101206585764885E-3</v>
      </c>
      <c r="O175" s="43">
        <f t="shared" si="29"/>
        <v>1.9449164223203121E-5</v>
      </c>
      <c r="P175" s="43">
        <f t="shared" si="30"/>
        <v>-0.34013437099999999</v>
      </c>
      <c r="Q175" s="43">
        <f t="shared" si="31"/>
        <v>-0.34013437099999999</v>
      </c>
      <c r="R175" s="43">
        <f t="shared" si="32"/>
        <v>0.11569139033556564</v>
      </c>
    </row>
    <row r="176" spans="1:18" x14ac:dyDescent="0.3">
      <c r="A176" s="47">
        <v>38158</v>
      </c>
      <c r="B176" s="48">
        <v>0</v>
      </c>
      <c r="C176" s="50">
        <v>0</v>
      </c>
      <c r="D176" s="10">
        <f t="shared" si="24"/>
        <v>-0.38980777739764078</v>
      </c>
      <c r="E176" s="10">
        <f t="shared" si="25"/>
        <v>-0.48607599697214554</v>
      </c>
      <c r="F176" s="10">
        <f t="shared" si="33"/>
        <v>0.15195010331968867</v>
      </c>
      <c r="G176" s="10">
        <f t="shared" si="33"/>
        <v>0.23626987483246525</v>
      </c>
      <c r="H176" s="11">
        <f t="shared" si="3"/>
        <v>0.18947620402605442</v>
      </c>
      <c r="I176" s="12">
        <f t="shared" si="4"/>
        <v>0</v>
      </c>
      <c r="J176" s="28">
        <f t="shared" si="5"/>
        <v>0</v>
      </c>
      <c r="K176" s="30">
        <f t="shared" si="26"/>
        <v>0</v>
      </c>
      <c r="L176" s="5"/>
      <c r="M176" s="30">
        <f t="shared" si="27"/>
        <v>0</v>
      </c>
      <c r="N176" s="42">
        <f t="shared" si="28"/>
        <v>0</v>
      </c>
      <c r="O176" s="43">
        <f t="shared" si="29"/>
        <v>0</v>
      </c>
      <c r="P176" s="43">
        <f t="shared" si="30"/>
        <v>-0.34013437099999999</v>
      </c>
      <c r="Q176" s="43">
        <f t="shared" si="31"/>
        <v>-0.34013437099999999</v>
      </c>
      <c r="R176" s="43">
        <f t="shared" si="32"/>
        <v>0.11569139033556564</v>
      </c>
    </row>
    <row r="177" spans="1:18" x14ac:dyDescent="0.3">
      <c r="A177" s="47">
        <v>38159</v>
      </c>
      <c r="B177" s="48">
        <v>0</v>
      </c>
      <c r="C177" s="50">
        <v>0</v>
      </c>
      <c r="D177" s="10">
        <f t="shared" si="24"/>
        <v>-0.38980777739764078</v>
      </c>
      <c r="E177" s="10">
        <f t="shared" si="25"/>
        <v>-0.48607599697214554</v>
      </c>
      <c r="F177" s="10">
        <f t="shared" si="33"/>
        <v>0.15195010331968867</v>
      </c>
      <c r="G177" s="10">
        <f t="shared" si="33"/>
        <v>0.23626987483246525</v>
      </c>
      <c r="H177" s="11">
        <f t="shared" si="3"/>
        <v>0.18947620402605442</v>
      </c>
      <c r="I177" s="12">
        <f t="shared" si="4"/>
        <v>0</v>
      </c>
      <c r="J177" s="28">
        <f t="shared" si="5"/>
        <v>0</v>
      </c>
      <c r="K177" s="30">
        <f t="shared" si="26"/>
        <v>0</v>
      </c>
      <c r="L177" s="5"/>
      <c r="M177" s="30">
        <f t="shared" si="27"/>
        <v>0</v>
      </c>
      <c r="N177" s="42">
        <f t="shared" si="28"/>
        <v>0</v>
      </c>
      <c r="O177" s="43">
        <f t="shared" si="29"/>
        <v>0</v>
      </c>
      <c r="P177" s="43">
        <f t="shared" si="30"/>
        <v>-0.34013437099999999</v>
      </c>
      <c r="Q177" s="43">
        <f t="shared" si="31"/>
        <v>-0.34013437099999999</v>
      </c>
      <c r="R177" s="43">
        <f t="shared" si="32"/>
        <v>0.11569139033556564</v>
      </c>
    </row>
    <row r="178" spans="1:18" x14ac:dyDescent="0.3">
      <c r="A178" s="47">
        <v>38160</v>
      </c>
      <c r="B178" s="48">
        <v>0</v>
      </c>
      <c r="C178" s="50">
        <v>0</v>
      </c>
      <c r="D178" s="10">
        <f t="shared" si="24"/>
        <v>-0.38980777739764078</v>
      </c>
      <c r="E178" s="10">
        <f t="shared" si="25"/>
        <v>-0.48607599697214554</v>
      </c>
      <c r="F178" s="10">
        <f t="shared" si="33"/>
        <v>0.15195010331968867</v>
      </c>
      <c r="G178" s="10">
        <f t="shared" si="33"/>
        <v>0.23626987483246525</v>
      </c>
      <c r="H178" s="11">
        <f t="shared" si="3"/>
        <v>0.18947620402605442</v>
      </c>
      <c r="I178" s="12">
        <f t="shared" si="4"/>
        <v>0</v>
      </c>
      <c r="J178" s="28">
        <f t="shared" si="5"/>
        <v>0</v>
      </c>
      <c r="K178" s="30">
        <f t="shared" si="26"/>
        <v>0</v>
      </c>
      <c r="L178" s="5"/>
      <c r="M178" s="30">
        <f t="shared" si="27"/>
        <v>0</v>
      </c>
      <c r="N178" s="42">
        <f t="shared" si="28"/>
        <v>0</v>
      </c>
      <c r="O178" s="43">
        <f t="shared" si="29"/>
        <v>0</v>
      </c>
      <c r="P178" s="43">
        <f t="shared" si="30"/>
        <v>-0.34013437099999999</v>
      </c>
      <c r="Q178" s="43">
        <f t="shared" si="31"/>
        <v>-0.34013437099999999</v>
      </c>
      <c r="R178" s="43">
        <f t="shared" si="32"/>
        <v>0.11569139033556564</v>
      </c>
    </row>
    <row r="179" spans="1:18" x14ac:dyDescent="0.3">
      <c r="A179" s="47">
        <v>38161</v>
      </c>
      <c r="B179" s="48">
        <v>0</v>
      </c>
      <c r="C179" s="50">
        <v>0</v>
      </c>
      <c r="D179" s="10">
        <f t="shared" si="24"/>
        <v>-0.38980777739764078</v>
      </c>
      <c r="E179" s="10">
        <f t="shared" si="25"/>
        <v>-0.48607599697214554</v>
      </c>
      <c r="F179" s="10">
        <f t="shared" si="33"/>
        <v>0.15195010331968867</v>
      </c>
      <c r="G179" s="10">
        <f t="shared" si="33"/>
        <v>0.23626987483246525</v>
      </c>
      <c r="H179" s="11">
        <f t="shared" si="3"/>
        <v>0.18947620402605442</v>
      </c>
      <c r="I179" s="12">
        <f t="shared" si="4"/>
        <v>0</v>
      </c>
      <c r="J179" s="28">
        <f t="shared" si="5"/>
        <v>0</v>
      </c>
      <c r="K179" s="30">
        <f t="shared" si="26"/>
        <v>0</v>
      </c>
      <c r="L179" s="5"/>
      <c r="M179" s="30">
        <f t="shared" si="27"/>
        <v>0</v>
      </c>
      <c r="N179" s="42">
        <f t="shared" si="28"/>
        <v>0</v>
      </c>
      <c r="O179" s="43">
        <f t="shared" si="29"/>
        <v>0</v>
      </c>
      <c r="P179" s="43">
        <f t="shared" si="30"/>
        <v>-0.34013437099999999</v>
      </c>
      <c r="Q179" s="43">
        <f t="shared" si="31"/>
        <v>-0.34013437099999999</v>
      </c>
      <c r="R179" s="43">
        <f t="shared" si="32"/>
        <v>0.11569139033556564</v>
      </c>
    </row>
    <row r="180" spans="1:18" x14ac:dyDescent="0.3">
      <c r="A180" s="47">
        <v>38162</v>
      </c>
      <c r="B180" s="48">
        <v>0</v>
      </c>
      <c r="C180" s="50">
        <v>0</v>
      </c>
      <c r="D180" s="10">
        <f t="shared" si="24"/>
        <v>-0.38980777739764078</v>
      </c>
      <c r="E180" s="10">
        <f t="shared" si="25"/>
        <v>-0.48607599697214554</v>
      </c>
      <c r="F180" s="10">
        <f t="shared" si="33"/>
        <v>0.15195010331968867</v>
      </c>
      <c r="G180" s="10">
        <f t="shared" si="33"/>
        <v>0.23626987483246525</v>
      </c>
      <c r="H180" s="11">
        <f t="shared" si="3"/>
        <v>0.18947620402605442</v>
      </c>
      <c r="I180" s="12">
        <f t="shared" si="4"/>
        <v>0</v>
      </c>
      <c r="J180" s="28">
        <f t="shared" si="5"/>
        <v>0</v>
      </c>
      <c r="K180" s="30">
        <f t="shared" si="26"/>
        <v>0</v>
      </c>
      <c r="L180" s="5"/>
      <c r="M180" s="30">
        <f t="shared" si="27"/>
        <v>0</v>
      </c>
      <c r="N180" s="42">
        <f t="shared" si="28"/>
        <v>0</v>
      </c>
      <c r="O180" s="43">
        <f t="shared" si="29"/>
        <v>0</v>
      </c>
      <c r="P180" s="43">
        <f t="shared" si="30"/>
        <v>-0.34013437099999999</v>
      </c>
      <c r="Q180" s="43">
        <f t="shared" si="31"/>
        <v>-0.34013437099999999</v>
      </c>
      <c r="R180" s="43">
        <f t="shared" si="32"/>
        <v>0.11569139033556564</v>
      </c>
    </row>
    <row r="181" spans="1:18" x14ac:dyDescent="0.3">
      <c r="A181" s="47">
        <v>38163</v>
      </c>
      <c r="B181" s="48">
        <v>0</v>
      </c>
      <c r="C181" s="50">
        <v>0</v>
      </c>
      <c r="D181" s="10">
        <f t="shared" si="24"/>
        <v>-0.38980777739764078</v>
      </c>
      <c r="E181" s="10">
        <f t="shared" si="25"/>
        <v>-0.48607599697214554</v>
      </c>
      <c r="F181" s="10">
        <f t="shared" si="33"/>
        <v>0.15195010331968867</v>
      </c>
      <c r="G181" s="10">
        <f t="shared" si="33"/>
        <v>0.23626987483246525</v>
      </c>
      <c r="H181" s="11">
        <f t="shared" si="3"/>
        <v>0.18947620402605442</v>
      </c>
      <c r="I181" s="12">
        <f t="shared" si="4"/>
        <v>0</v>
      </c>
      <c r="J181" s="28">
        <f t="shared" si="5"/>
        <v>0</v>
      </c>
      <c r="K181" s="30">
        <f t="shared" si="26"/>
        <v>0</v>
      </c>
      <c r="L181" s="5"/>
      <c r="M181" s="30">
        <f t="shared" si="27"/>
        <v>0</v>
      </c>
      <c r="N181" s="42">
        <f t="shared" si="28"/>
        <v>0</v>
      </c>
      <c r="O181" s="43">
        <f t="shared" si="29"/>
        <v>0</v>
      </c>
      <c r="P181" s="43">
        <f t="shared" si="30"/>
        <v>-0.34013437099999999</v>
      </c>
      <c r="Q181" s="43">
        <f t="shared" si="31"/>
        <v>-0.34013437099999999</v>
      </c>
      <c r="R181" s="43">
        <f t="shared" si="32"/>
        <v>0.11569139033556564</v>
      </c>
    </row>
    <row r="182" spans="1:18" x14ac:dyDescent="0.3">
      <c r="A182" s="47">
        <v>38164</v>
      </c>
      <c r="B182" s="48">
        <v>0</v>
      </c>
      <c r="C182" s="50">
        <v>1.31990946829319E-2</v>
      </c>
      <c r="D182" s="10">
        <f t="shared" si="24"/>
        <v>-0.38980777739764078</v>
      </c>
      <c r="E182" s="10">
        <f t="shared" si="25"/>
        <v>-0.47287690228921364</v>
      </c>
      <c r="F182" s="10">
        <f t="shared" si="33"/>
        <v>0.15195010331968867</v>
      </c>
      <c r="G182" s="10">
        <f t="shared" si="33"/>
        <v>0.22361256471864249</v>
      </c>
      <c r="H182" s="11">
        <f t="shared" si="3"/>
        <v>0.18433109426403971</v>
      </c>
      <c r="I182" s="12">
        <f t="shared" si="4"/>
        <v>1.31990946829319E-2</v>
      </c>
      <c r="J182" s="28">
        <f t="shared" si="5"/>
        <v>1.7421610044900115E-4</v>
      </c>
      <c r="K182" s="30">
        <f t="shared" si="26"/>
        <v>1.31990946829319E-2</v>
      </c>
      <c r="L182" s="5"/>
      <c r="M182" s="30">
        <f t="shared" si="27"/>
        <v>-1.31990946829319E-2</v>
      </c>
      <c r="N182" s="42">
        <f t="shared" si="28"/>
        <v>-1.31990946829319E-2</v>
      </c>
      <c r="O182" s="43">
        <f t="shared" si="29"/>
        <v>1.7421610044900115E-4</v>
      </c>
      <c r="P182" s="43">
        <f t="shared" si="30"/>
        <v>-0.34013437099999999</v>
      </c>
      <c r="Q182" s="43">
        <f t="shared" si="31"/>
        <v>-0.34013437099999999</v>
      </c>
      <c r="R182" s="43">
        <f t="shared" si="32"/>
        <v>0.11569139033556564</v>
      </c>
    </row>
    <row r="183" spans="1:18" x14ac:dyDescent="0.3">
      <c r="A183" s="47">
        <v>38165</v>
      </c>
      <c r="B183" s="48">
        <v>0</v>
      </c>
      <c r="C183" s="50">
        <v>3.8725338876247406E-2</v>
      </c>
      <c r="D183" s="10">
        <f t="shared" si="24"/>
        <v>-0.38980777739764078</v>
      </c>
      <c r="E183" s="10">
        <f t="shared" si="25"/>
        <v>-0.44735065809589813</v>
      </c>
      <c r="F183" s="10">
        <f t="shared" si="33"/>
        <v>0.15195010331968867</v>
      </c>
      <c r="G183" s="10">
        <f t="shared" si="33"/>
        <v>0.20012261129883316</v>
      </c>
      <c r="H183" s="11">
        <f t="shared" si="3"/>
        <v>0.17438076574973396</v>
      </c>
      <c r="I183" s="12">
        <f t="shared" si="4"/>
        <v>3.8725338876247406E-2</v>
      </c>
      <c r="J183" s="28">
        <f t="shared" si="5"/>
        <v>1.4996518710801987E-3</v>
      </c>
      <c r="K183" s="30">
        <f t="shared" si="26"/>
        <v>3.8725338876247406E-2</v>
      </c>
      <c r="L183" s="5"/>
      <c r="M183" s="30">
        <f t="shared" si="27"/>
        <v>-3.8725338876247406E-2</v>
      </c>
      <c r="N183" s="42">
        <f t="shared" si="28"/>
        <v>-3.8725338876247406E-2</v>
      </c>
      <c r="O183" s="43">
        <f t="shared" si="29"/>
        <v>1.4996518710801987E-3</v>
      </c>
      <c r="P183" s="43">
        <f t="shared" si="30"/>
        <v>-0.34013437099999999</v>
      </c>
      <c r="Q183" s="43">
        <f t="shared" si="31"/>
        <v>-0.34013437099999999</v>
      </c>
      <c r="R183" s="43">
        <f t="shared" si="32"/>
        <v>0.11569139033556564</v>
      </c>
    </row>
    <row r="184" spans="1:18" x14ac:dyDescent="0.3">
      <c r="A184" s="47">
        <v>38166</v>
      </c>
      <c r="B184" s="48">
        <v>0</v>
      </c>
      <c r="C184" s="50">
        <v>0</v>
      </c>
      <c r="D184" s="10">
        <f t="shared" si="24"/>
        <v>-0.38980777739764078</v>
      </c>
      <c r="E184" s="10">
        <f t="shared" si="25"/>
        <v>-0.48607599697214554</v>
      </c>
      <c r="F184" s="10">
        <f t="shared" si="33"/>
        <v>0.15195010331968867</v>
      </c>
      <c r="G184" s="10">
        <f t="shared" si="33"/>
        <v>0.23626987483246525</v>
      </c>
      <c r="H184" s="11">
        <f t="shared" si="3"/>
        <v>0.18947620402605442</v>
      </c>
      <c r="I184" s="12">
        <f t="shared" si="4"/>
        <v>0</v>
      </c>
      <c r="J184" s="28">
        <f t="shared" si="5"/>
        <v>0</v>
      </c>
      <c r="K184" s="30">
        <f t="shared" si="26"/>
        <v>0</v>
      </c>
      <c r="L184" s="5"/>
      <c r="M184" s="30">
        <f t="shared" si="27"/>
        <v>0</v>
      </c>
      <c r="N184" s="42">
        <f t="shared" si="28"/>
        <v>0</v>
      </c>
      <c r="O184" s="43">
        <f t="shared" si="29"/>
        <v>0</v>
      </c>
      <c r="P184" s="43">
        <f t="shared" si="30"/>
        <v>-0.34013437099999999</v>
      </c>
      <c r="Q184" s="43">
        <f t="shared" si="31"/>
        <v>-0.34013437099999999</v>
      </c>
      <c r="R184" s="43">
        <f t="shared" si="32"/>
        <v>0.11569139033556564</v>
      </c>
    </row>
    <row r="185" spans="1:18" x14ac:dyDescent="0.3">
      <c r="A185" s="47">
        <v>38167</v>
      </c>
      <c r="B185" s="48">
        <v>0</v>
      </c>
      <c r="C185" s="50">
        <v>0</v>
      </c>
      <c r="D185" s="10">
        <f t="shared" si="24"/>
        <v>-0.38980777739764078</v>
      </c>
      <c r="E185" s="10">
        <f t="shared" si="25"/>
        <v>-0.48607599697214554</v>
      </c>
      <c r="F185" s="10">
        <f t="shared" si="33"/>
        <v>0.15195010331968867</v>
      </c>
      <c r="G185" s="10">
        <f t="shared" si="33"/>
        <v>0.23626987483246525</v>
      </c>
      <c r="H185" s="11">
        <f t="shared" si="3"/>
        <v>0.18947620402605442</v>
      </c>
      <c r="I185" s="12">
        <f t="shared" si="4"/>
        <v>0</v>
      </c>
      <c r="J185" s="28">
        <f t="shared" si="5"/>
        <v>0</v>
      </c>
      <c r="K185" s="30">
        <f t="shared" si="26"/>
        <v>0</v>
      </c>
      <c r="L185" s="5"/>
      <c r="M185" s="30">
        <f t="shared" si="27"/>
        <v>0</v>
      </c>
      <c r="N185" s="42">
        <f t="shared" si="28"/>
        <v>0</v>
      </c>
      <c r="O185" s="43">
        <f t="shared" si="29"/>
        <v>0</v>
      </c>
      <c r="P185" s="43">
        <f t="shared" si="30"/>
        <v>-0.34013437099999999</v>
      </c>
      <c r="Q185" s="43">
        <f t="shared" si="31"/>
        <v>-0.34013437099999999</v>
      </c>
      <c r="R185" s="43">
        <f t="shared" si="32"/>
        <v>0.11569139033556564</v>
      </c>
    </row>
    <row r="186" spans="1:18" x14ac:dyDescent="0.3">
      <c r="A186" s="47">
        <v>38168</v>
      </c>
      <c r="B186" s="48">
        <v>0</v>
      </c>
      <c r="C186" s="50">
        <v>0</v>
      </c>
      <c r="D186" s="10">
        <f t="shared" si="24"/>
        <v>-0.38980777739764078</v>
      </c>
      <c r="E186" s="10">
        <f t="shared" si="25"/>
        <v>-0.48607599697214554</v>
      </c>
      <c r="F186" s="10">
        <f t="shared" si="33"/>
        <v>0.15195010331968867</v>
      </c>
      <c r="G186" s="10">
        <f t="shared" si="33"/>
        <v>0.23626987483246525</v>
      </c>
      <c r="H186" s="11">
        <f t="shared" si="3"/>
        <v>0.18947620402605442</v>
      </c>
      <c r="I186" s="12">
        <f t="shared" si="4"/>
        <v>0</v>
      </c>
      <c r="J186" s="28">
        <f t="shared" si="5"/>
        <v>0</v>
      </c>
      <c r="K186" s="30">
        <f t="shared" si="26"/>
        <v>0</v>
      </c>
      <c r="L186" s="5"/>
      <c r="M186" s="30">
        <f t="shared" si="27"/>
        <v>0</v>
      </c>
      <c r="N186" s="42">
        <f t="shared" si="28"/>
        <v>0</v>
      </c>
      <c r="O186" s="43">
        <f t="shared" si="29"/>
        <v>0</v>
      </c>
      <c r="P186" s="43">
        <f t="shared" si="30"/>
        <v>-0.34013437099999999</v>
      </c>
      <c r="Q186" s="43">
        <f t="shared" si="31"/>
        <v>-0.34013437099999999</v>
      </c>
      <c r="R186" s="43">
        <f t="shared" si="32"/>
        <v>0.11569139033556564</v>
      </c>
    </row>
    <row r="187" spans="1:18" x14ac:dyDescent="0.3">
      <c r="A187" s="47">
        <v>38169</v>
      </c>
      <c r="B187" s="48">
        <v>0</v>
      </c>
      <c r="C187" s="50">
        <v>0</v>
      </c>
      <c r="D187" s="10">
        <f t="shared" si="24"/>
        <v>-0.38980777739764078</v>
      </c>
      <c r="E187" s="10">
        <f t="shared" si="25"/>
        <v>-0.48607599697214554</v>
      </c>
      <c r="F187" s="10">
        <f t="shared" si="33"/>
        <v>0.15195010331968867</v>
      </c>
      <c r="G187" s="10">
        <f t="shared" si="33"/>
        <v>0.23626987483246525</v>
      </c>
      <c r="H187" s="11">
        <f t="shared" si="3"/>
        <v>0.18947620402605442</v>
      </c>
      <c r="I187" s="12">
        <f t="shared" si="4"/>
        <v>0</v>
      </c>
      <c r="J187" s="28">
        <f t="shared" si="5"/>
        <v>0</v>
      </c>
      <c r="K187" s="30">
        <f t="shared" si="26"/>
        <v>0</v>
      </c>
      <c r="L187" s="5"/>
      <c r="M187" s="30">
        <f t="shared" si="27"/>
        <v>0</v>
      </c>
      <c r="N187" s="42">
        <f t="shared" si="28"/>
        <v>0</v>
      </c>
      <c r="O187" s="43">
        <f t="shared" si="29"/>
        <v>0</v>
      </c>
      <c r="P187" s="43">
        <f t="shared" si="30"/>
        <v>-0.34013437099999999</v>
      </c>
      <c r="Q187" s="43">
        <f t="shared" si="31"/>
        <v>-0.34013437099999999</v>
      </c>
      <c r="R187" s="43">
        <f t="shared" si="32"/>
        <v>0.11569139033556564</v>
      </c>
    </row>
    <row r="188" spans="1:18" x14ac:dyDescent="0.3">
      <c r="A188" s="47">
        <v>38170</v>
      </c>
      <c r="B188" s="48">
        <v>0</v>
      </c>
      <c r="C188" s="50">
        <v>0</v>
      </c>
      <c r="D188" s="10">
        <f t="shared" si="24"/>
        <v>-0.38980777739764078</v>
      </c>
      <c r="E188" s="10">
        <f t="shared" si="25"/>
        <v>-0.48607599697214554</v>
      </c>
      <c r="F188" s="10">
        <f t="shared" si="33"/>
        <v>0.15195010331968867</v>
      </c>
      <c r="G188" s="10">
        <f t="shared" si="33"/>
        <v>0.23626987483246525</v>
      </c>
      <c r="H188" s="11">
        <f t="shared" si="3"/>
        <v>0.18947620402605442</v>
      </c>
      <c r="I188" s="12">
        <f t="shared" si="4"/>
        <v>0</v>
      </c>
      <c r="J188" s="28">
        <f t="shared" si="5"/>
        <v>0</v>
      </c>
      <c r="K188" s="30">
        <f t="shared" si="26"/>
        <v>0</v>
      </c>
      <c r="L188" s="5"/>
      <c r="M188" s="30">
        <f t="shared" si="27"/>
        <v>0</v>
      </c>
      <c r="N188" s="42">
        <f t="shared" si="28"/>
        <v>0</v>
      </c>
      <c r="O188" s="43">
        <f t="shared" si="29"/>
        <v>0</v>
      </c>
      <c r="P188" s="43">
        <f t="shared" si="30"/>
        <v>-0.34013437099999999</v>
      </c>
      <c r="Q188" s="43">
        <f t="shared" si="31"/>
        <v>-0.34013437099999999</v>
      </c>
      <c r="R188" s="43">
        <f t="shared" si="32"/>
        <v>0.11569139033556564</v>
      </c>
    </row>
    <row r="189" spans="1:18" x14ac:dyDescent="0.3">
      <c r="A189" s="47">
        <v>38171</v>
      </c>
      <c r="B189" s="48">
        <v>0</v>
      </c>
      <c r="C189" s="50">
        <v>0</v>
      </c>
      <c r="D189" s="10">
        <f t="shared" si="24"/>
        <v>-0.38980777739764078</v>
      </c>
      <c r="E189" s="10">
        <f t="shared" si="25"/>
        <v>-0.48607599697214554</v>
      </c>
      <c r="F189" s="10">
        <f t="shared" si="33"/>
        <v>0.15195010331968867</v>
      </c>
      <c r="G189" s="10">
        <f t="shared" si="33"/>
        <v>0.23626987483246525</v>
      </c>
      <c r="H189" s="11">
        <f t="shared" si="3"/>
        <v>0.18947620402605442</v>
      </c>
      <c r="I189" s="12">
        <f t="shared" si="4"/>
        <v>0</v>
      </c>
      <c r="J189" s="28">
        <f t="shared" si="5"/>
        <v>0</v>
      </c>
      <c r="K189" s="30">
        <f t="shared" si="26"/>
        <v>0</v>
      </c>
      <c r="L189" s="5"/>
      <c r="M189" s="30">
        <f t="shared" si="27"/>
        <v>0</v>
      </c>
      <c r="N189" s="42">
        <f t="shared" si="28"/>
        <v>0</v>
      </c>
      <c r="O189" s="43">
        <f t="shared" si="29"/>
        <v>0</v>
      </c>
      <c r="P189" s="43">
        <f t="shared" si="30"/>
        <v>-0.34013437099999999</v>
      </c>
      <c r="Q189" s="43">
        <f t="shared" si="31"/>
        <v>-0.34013437099999999</v>
      </c>
      <c r="R189" s="43">
        <f t="shared" si="32"/>
        <v>0.11569139033556564</v>
      </c>
    </row>
    <row r="190" spans="1:18" x14ac:dyDescent="0.3">
      <c r="A190" s="47">
        <v>38172</v>
      </c>
      <c r="B190" s="48">
        <v>0</v>
      </c>
      <c r="C190" s="50">
        <v>0</v>
      </c>
      <c r="D190" s="10">
        <f t="shared" si="24"/>
        <v>-0.38980777739764078</v>
      </c>
      <c r="E190" s="10">
        <f t="shared" si="25"/>
        <v>-0.48607599697214554</v>
      </c>
      <c r="F190" s="10">
        <f t="shared" si="33"/>
        <v>0.15195010331968867</v>
      </c>
      <c r="G190" s="10">
        <f t="shared" si="33"/>
        <v>0.23626987483246525</v>
      </c>
      <c r="H190" s="11">
        <f t="shared" si="3"/>
        <v>0.18947620402605442</v>
      </c>
      <c r="I190" s="12">
        <f t="shared" si="4"/>
        <v>0</v>
      </c>
      <c r="J190" s="28">
        <f t="shared" si="5"/>
        <v>0</v>
      </c>
      <c r="K190" s="30">
        <f t="shared" si="26"/>
        <v>0</v>
      </c>
      <c r="L190" s="5"/>
      <c r="M190" s="30">
        <f t="shared" si="27"/>
        <v>0</v>
      </c>
      <c r="N190" s="42">
        <f t="shared" si="28"/>
        <v>0</v>
      </c>
      <c r="O190" s="43">
        <f t="shared" si="29"/>
        <v>0</v>
      </c>
      <c r="P190" s="43">
        <f t="shared" si="30"/>
        <v>-0.34013437099999999</v>
      </c>
      <c r="Q190" s="43">
        <f t="shared" si="31"/>
        <v>-0.34013437099999999</v>
      </c>
      <c r="R190" s="43">
        <f t="shared" si="32"/>
        <v>0.11569139033556564</v>
      </c>
    </row>
    <row r="191" spans="1:18" x14ac:dyDescent="0.3">
      <c r="A191" s="47">
        <v>38173</v>
      </c>
      <c r="B191" s="48">
        <v>0</v>
      </c>
      <c r="C191" s="50">
        <v>0</v>
      </c>
      <c r="D191" s="10">
        <f t="shared" si="24"/>
        <v>-0.38980777739764078</v>
      </c>
      <c r="E191" s="10">
        <f t="shared" si="25"/>
        <v>-0.48607599697214554</v>
      </c>
      <c r="F191" s="10">
        <f t="shared" si="33"/>
        <v>0.15195010331968867</v>
      </c>
      <c r="G191" s="10">
        <f t="shared" si="33"/>
        <v>0.23626987483246525</v>
      </c>
      <c r="H191" s="11">
        <f t="shared" si="3"/>
        <v>0.18947620402605442</v>
      </c>
      <c r="I191" s="12">
        <f t="shared" si="4"/>
        <v>0</v>
      </c>
      <c r="J191" s="28">
        <f t="shared" si="5"/>
        <v>0</v>
      </c>
      <c r="K191" s="30">
        <f t="shared" si="26"/>
        <v>0</v>
      </c>
      <c r="L191" s="5"/>
      <c r="M191" s="30">
        <f t="shared" si="27"/>
        <v>0</v>
      </c>
      <c r="N191" s="42">
        <f t="shared" si="28"/>
        <v>0</v>
      </c>
      <c r="O191" s="43">
        <f t="shared" si="29"/>
        <v>0</v>
      </c>
      <c r="P191" s="43">
        <f t="shared" si="30"/>
        <v>-0.34013437099999999</v>
      </c>
      <c r="Q191" s="43">
        <f t="shared" si="31"/>
        <v>-0.34013437099999999</v>
      </c>
      <c r="R191" s="43">
        <f t="shared" si="32"/>
        <v>0.11569139033556564</v>
      </c>
    </row>
    <row r="192" spans="1:18" x14ac:dyDescent="0.3">
      <c r="A192" s="47">
        <v>38174</v>
      </c>
      <c r="B192" s="48">
        <v>0</v>
      </c>
      <c r="C192" s="50">
        <v>0</v>
      </c>
      <c r="D192" s="10">
        <f t="shared" si="24"/>
        <v>-0.38980777739764078</v>
      </c>
      <c r="E192" s="10">
        <f t="shared" si="25"/>
        <v>-0.48607599697214554</v>
      </c>
      <c r="F192" s="10">
        <f t="shared" si="33"/>
        <v>0.15195010331968867</v>
      </c>
      <c r="G192" s="10">
        <f t="shared" si="33"/>
        <v>0.23626987483246525</v>
      </c>
      <c r="H192" s="11">
        <f t="shared" si="3"/>
        <v>0.18947620402605442</v>
      </c>
      <c r="I192" s="12">
        <f t="shared" si="4"/>
        <v>0</v>
      </c>
      <c r="J192" s="28">
        <f t="shared" si="5"/>
        <v>0</v>
      </c>
      <c r="K192" s="30">
        <f t="shared" si="26"/>
        <v>0</v>
      </c>
      <c r="L192" s="5"/>
      <c r="M192" s="30">
        <f t="shared" si="27"/>
        <v>0</v>
      </c>
      <c r="N192" s="42">
        <f t="shared" si="28"/>
        <v>0</v>
      </c>
      <c r="O192" s="43">
        <f t="shared" si="29"/>
        <v>0</v>
      </c>
      <c r="P192" s="43">
        <f t="shared" si="30"/>
        <v>-0.34013437099999999</v>
      </c>
      <c r="Q192" s="43">
        <f t="shared" si="31"/>
        <v>-0.34013437099999999</v>
      </c>
      <c r="R192" s="43">
        <f t="shared" si="32"/>
        <v>0.11569139033556564</v>
      </c>
    </row>
    <row r="193" spans="1:18" x14ac:dyDescent="0.3">
      <c r="A193" s="47">
        <v>38175</v>
      </c>
      <c r="B193" s="48">
        <v>0</v>
      </c>
      <c r="C193" s="50">
        <v>0</v>
      </c>
      <c r="D193" s="10">
        <f t="shared" si="24"/>
        <v>-0.38980777739764078</v>
      </c>
      <c r="E193" s="10">
        <f t="shared" si="25"/>
        <v>-0.48607599697214554</v>
      </c>
      <c r="F193" s="10">
        <f t="shared" si="33"/>
        <v>0.15195010331968867</v>
      </c>
      <c r="G193" s="10">
        <f t="shared" si="33"/>
        <v>0.23626987483246525</v>
      </c>
      <c r="H193" s="11">
        <f t="shared" si="3"/>
        <v>0.18947620402605442</v>
      </c>
      <c r="I193" s="12">
        <f t="shared" si="4"/>
        <v>0</v>
      </c>
      <c r="J193" s="28">
        <f t="shared" si="5"/>
        <v>0</v>
      </c>
      <c r="K193" s="30">
        <f t="shared" si="26"/>
        <v>0</v>
      </c>
      <c r="L193" s="5"/>
      <c r="M193" s="30">
        <f t="shared" si="27"/>
        <v>0</v>
      </c>
      <c r="N193" s="42">
        <f t="shared" si="28"/>
        <v>0</v>
      </c>
      <c r="O193" s="43">
        <f t="shared" si="29"/>
        <v>0</v>
      </c>
      <c r="P193" s="43">
        <f t="shared" si="30"/>
        <v>-0.34013437099999999</v>
      </c>
      <c r="Q193" s="43">
        <f t="shared" si="31"/>
        <v>-0.34013437099999999</v>
      </c>
      <c r="R193" s="43">
        <f t="shared" si="32"/>
        <v>0.11569139033556564</v>
      </c>
    </row>
    <row r="194" spans="1:18" x14ac:dyDescent="0.3">
      <c r="A194" s="47">
        <v>38176</v>
      </c>
      <c r="B194" s="48">
        <v>0</v>
      </c>
      <c r="C194" s="50">
        <v>0</v>
      </c>
      <c r="D194" s="10">
        <f t="shared" si="24"/>
        <v>-0.38980777739764078</v>
      </c>
      <c r="E194" s="10">
        <f t="shared" si="25"/>
        <v>-0.48607599697214554</v>
      </c>
      <c r="F194" s="10">
        <f t="shared" si="33"/>
        <v>0.15195010331968867</v>
      </c>
      <c r="G194" s="10">
        <f t="shared" si="33"/>
        <v>0.23626987483246525</v>
      </c>
      <c r="H194" s="11">
        <f t="shared" si="3"/>
        <v>0.18947620402605442</v>
      </c>
      <c r="I194" s="12">
        <f t="shared" si="4"/>
        <v>0</v>
      </c>
      <c r="J194" s="28">
        <f t="shared" si="5"/>
        <v>0</v>
      </c>
      <c r="K194" s="30">
        <f t="shared" si="26"/>
        <v>0</v>
      </c>
      <c r="L194" s="5"/>
      <c r="M194" s="30">
        <f t="shared" si="27"/>
        <v>0</v>
      </c>
      <c r="N194" s="42">
        <f t="shared" si="28"/>
        <v>0</v>
      </c>
      <c r="O194" s="43">
        <f t="shared" si="29"/>
        <v>0</v>
      </c>
      <c r="P194" s="43">
        <f t="shared" si="30"/>
        <v>-0.34013437099999999</v>
      </c>
      <c r="Q194" s="43">
        <f t="shared" si="31"/>
        <v>-0.34013437099999999</v>
      </c>
      <c r="R194" s="43">
        <f t="shared" si="32"/>
        <v>0.11569139033556564</v>
      </c>
    </row>
    <row r="195" spans="1:18" x14ac:dyDescent="0.3">
      <c r="A195" s="47">
        <v>38177</v>
      </c>
      <c r="B195" s="48">
        <v>0</v>
      </c>
      <c r="C195" s="50">
        <v>6.175715010613203E-3</v>
      </c>
      <c r="D195" s="10">
        <f t="shared" si="24"/>
        <v>-0.38980777739764078</v>
      </c>
      <c r="E195" s="10">
        <f t="shared" si="25"/>
        <v>-0.47990028196153234</v>
      </c>
      <c r="F195" s="10">
        <f t="shared" si="33"/>
        <v>0.15195010331968867</v>
      </c>
      <c r="G195" s="10">
        <f t="shared" si="33"/>
        <v>0.23030428062675823</v>
      </c>
      <c r="H195" s="11">
        <f t="shared" si="3"/>
        <v>0.18706886228392605</v>
      </c>
      <c r="I195" s="12">
        <f t="shared" si="4"/>
        <v>6.175715010613203E-3</v>
      </c>
      <c r="J195" s="28">
        <f t="shared" si="5"/>
        <v>3.8139455892313235E-5</v>
      </c>
      <c r="K195" s="30">
        <f t="shared" si="26"/>
        <v>6.175715010613203E-3</v>
      </c>
      <c r="L195" s="5"/>
      <c r="M195" s="30">
        <f t="shared" si="27"/>
        <v>-6.175715010613203E-3</v>
      </c>
      <c r="N195" s="42">
        <f t="shared" si="28"/>
        <v>-6.175715010613203E-3</v>
      </c>
      <c r="O195" s="43">
        <f t="shared" si="29"/>
        <v>3.8139455892313235E-5</v>
      </c>
      <c r="P195" s="43">
        <f t="shared" si="30"/>
        <v>-0.34013437099999999</v>
      </c>
      <c r="Q195" s="43">
        <f t="shared" si="31"/>
        <v>-0.34013437099999999</v>
      </c>
      <c r="R195" s="43">
        <f t="shared" si="32"/>
        <v>0.11569139033556564</v>
      </c>
    </row>
    <row r="196" spans="1:18" x14ac:dyDescent="0.3">
      <c r="A196" s="47">
        <v>38178</v>
      </c>
      <c r="B196" s="48">
        <v>0</v>
      </c>
      <c r="C196" s="50">
        <v>0</v>
      </c>
      <c r="D196" s="10">
        <f t="shared" si="24"/>
        <v>-0.38980777739764078</v>
      </c>
      <c r="E196" s="10">
        <f t="shared" si="25"/>
        <v>-0.48607599697214554</v>
      </c>
      <c r="F196" s="10">
        <f t="shared" si="33"/>
        <v>0.15195010331968867</v>
      </c>
      <c r="G196" s="10">
        <f t="shared" si="33"/>
        <v>0.23626987483246525</v>
      </c>
      <c r="H196" s="11">
        <f t="shared" si="3"/>
        <v>0.18947620402605442</v>
      </c>
      <c r="I196" s="12">
        <f t="shared" si="4"/>
        <v>0</v>
      </c>
      <c r="J196" s="28">
        <f t="shared" si="5"/>
        <v>0</v>
      </c>
      <c r="K196" s="30">
        <f t="shared" si="26"/>
        <v>0</v>
      </c>
      <c r="L196" s="5"/>
      <c r="M196" s="30">
        <f t="shared" si="27"/>
        <v>0</v>
      </c>
      <c r="N196" s="42">
        <f t="shared" si="28"/>
        <v>0</v>
      </c>
      <c r="O196" s="43">
        <f t="shared" si="29"/>
        <v>0</v>
      </c>
      <c r="P196" s="43">
        <f t="shared" si="30"/>
        <v>-0.34013437099999999</v>
      </c>
      <c r="Q196" s="43">
        <f t="shared" si="31"/>
        <v>-0.34013437099999999</v>
      </c>
      <c r="R196" s="43">
        <f t="shared" si="32"/>
        <v>0.11569139033556564</v>
      </c>
    </row>
    <row r="197" spans="1:18" x14ac:dyDescent="0.3">
      <c r="A197" s="47">
        <v>38179</v>
      </c>
      <c r="B197" s="48">
        <v>0</v>
      </c>
      <c r="C197" s="50">
        <v>0</v>
      </c>
      <c r="D197" s="10">
        <f t="shared" ref="D197:D260" si="34">B197-$C$375</f>
        <v>-0.38980777739764078</v>
      </c>
      <c r="E197" s="10">
        <f t="shared" ref="E197:E260" si="35">C197-$D$375</f>
        <v>-0.48607599697214554</v>
      </c>
      <c r="F197" s="10">
        <f t="shared" si="33"/>
        <v>0.15195010331968867</v>
      </c>
      <c r="G197" s="10">
        <f t="shared" si="33"/>
        <v>0.23626987483246525</v>
      </c>
      <c r="H197" s="11">
        <f t="shared" si="3"/>
        <v>0.18947620402605442</v>
      </c>
      <c r="I197" s="12">
        <f t="shared" si="4"/>
        <v>0</v>
      </c>
      <c r="J197" s="28">
        <f t="shared" si="5"/>
        <v>0</v>
      </c>
      <c r="K197" s="30">
        <f t="shared" si="26"/>
        <v>0</v>
      </c>
      <c r="L197" s="5"/>
      <c r="M197" s="30">
        <f t="shared" si="27"/>
        <v>0</v>
      </c>
      <c r="N197" s="42">
        <f t="shared" si="28"/>
        <v>0</v>
      </c>
      <c r="O197" s="43">
        <f t="shared" si="29"/>
        <v>0</v>
      </c>
      <c r="P197" s="43">
        <f t="shared" si="30"/>
        <v>-0.34013437099999999</v>
      </c>
      <c r="Q197" s="43">
        <f t="shared" si="31"/>
        <v>-0.34013437099999999</v>
      </c>
      <c r="R197" s="43">
        <f t="shared" si="32"/>
        <v>0.11569139033556564</v>
      </c>
    </row>
    <row r="198" spans="1:18" x14ac:dyDescent="0.3">
      <c r="A198" s="47">
        <v>38180</v>
      </c>
      <c r="B198" s="48">
        <v>0</v>
      </c>
      <c r="C198" s="50">
        <v>0</v>
      </c>
      <c r="D198" s="10">
        <f t="shared" si="34"/>
        <v>-0.38980777739764078</v>
      </c>
      <c r="E198" s="10">
        <f t="shared" si="35"/>
        <v>-0.48607599697214554</v>
      </c>
      <c r="F198" s="10">
        <f t="shared" si="33"/>
        <v>0.15195010331968867</v>
      </c>
      <c r="G198" s="10">
        <f t="shared" si="33"/>
        <v>0.23626987483246525</v>
      </c>
      <c r="H198" s="11">
        <f t="shared" si="3"/>
        <v>0.18947620402605442</v>
      </c>
      <c r="I198" s="12">
        <f t="shared" si="4"/>
        <v>0</v>
      </c>
      <c r="J198" s="28">
        <f t="shared" si="5"/>
        <v>0</v>
      </c>
      <c r="K198" s="30">
        <f t="shared" ref="K198:K261" si="36">C198-B198</f>
        <v>0</v>
      </c>
      <c r="L198" s="5"/>
      <c r="M198" s="30">
        <f t="shared" ref="M198:M261" si="37">B198-C198</f>
        <v>0</v>
      </c>
      <c r="N198" s="42">
        <f t="shared" ref="N198:N261" si="38">B198-C198</f>
        <v>0</v>
      </c>
      <c r="O198" s="43">
        <f t="shared" ref="O198:O261" si="39">M198*N198</f>
        <v>0</v>
      </c>
      <c r="P198" s="43">
        <f t="shared" ref="P198:P261" si="40">B198-0.340134371</f>
        <v>-0.34013437099999999</v>
      </c>
      <c r="Q198" s="43">
        <f t="shared" ref="Q198:Q261" si="41">B198-0.340134371</f>
        <v>-0.34013437099999999</v>
      </c>
      <c r="R198" s="43">
        <f t="shared" ref="R198:R261" si="42">P198*Q198</f>
        <v>0.11569139033556564</v>
      </c>
    </row>
    <row r="199" spans="1:18" x14ac:dyDescent="0.3">
      <c r="A199" s="47">
        <v>38181</v>
      </c>
      <c r="B199" s="48">
        <v>0</v>
      </c>
      <c r="C199" s="50">
        <v>0</v>
      </c>
      <c r="D199" s="10">
        <f t="shared" si="34"/>
        <v>-0.38980777739764078</v>
      </c>
      <c r="E199" s="10">
        <f t="shared" si="35"/>
        <v>-0.48607599697214554</v>
      </c>
      <c r="F199" s="10">
        <f t="shared" si="33"/>
        <v>0.15195010331968867</v>
      </c>
      <c r="G199" s="10">
        <f t="shared" si="33"/>
        <v>0.23626987483246525</v>
      </c>
      <c r="H199" s="11">
        <f t="shared" si="3"/>
        <v>0.18947620402605442</v>
      </c>
      <c r="I199" s="12">
        <f t="shared" si="4"/>
        <v>0</v>
      </c>
      <c r="J199" s="28">
        <f t="shared" si="5"/>
        <v>0</v>
      </c>
      <c r="K199" s="30">
        <f t="shared" si="36"/>
        <v>0</v>
      </c>
      <c r="L199" s="5"/>
      <c r="M199" s="30">
        <f t="shared" si="37"/>
        <v>0</v>
      </c>
      <c r="N199" s="42">
        <f t="shared" si="38"/>
        <v>0</v>
      </c>
      <c r="O199" s="43">
        <f t="shared" si="39"/>
        <v>0</v>
      </c>
      <c r="P199" s="43">
        <f t="shared" si="40"/>
        <v>-0.34013437099999999</v>
      </c>
      <c r="Q199" s="43">
        <f t="shared" si="41"/>
        <v>-0.34013437099999999</v>
      </c>
      <c r="R199" s="43">
        <f t="shared" si="42"/>
        <v>0.11569139033556564</v>
      </c>
    </row>
    <row r="200" spans="1:18" x14ac:dyDescent="0.3">
      <c r="A200" s="47">
        <v>38182</v>
      </c>
      <c r="B200" s="48">
        <v>0</v>
      </c>
      <c r="C200" s="50">
        <v>0</v>
      </c>
      <c r="D200" s="10">
        <f t="shared" si="34"/>
        <v>-0.38980777739764078</v>
      </c>
      <c r="E200" s="10">
        <f t="shared" si="35"/>
        <v>-0.48607599697214554</v>
      </c>
      <c r="F200" s="10">
        <f t="shared" si="33"/>
        <v>0.15195010331968867</v>
      </c>
      <c r="G200" s="10">
        <f t="shared" si="33"/>
        <v>0.23626987483246525</v>
      </c>
      <c r="H200" s="11">
        <f t="shared" si="3"/>
        <v>0.18947620402605442</v>
      </c>
      <c r="I200" s="12">
        <f t="shared" si="4"/>
        <v>0</v>
      </c>
      <c r="J200" s="28">
        <f t="shared" si="5"/>
        <v>0</v>
      </c>
      <c r="K200" s="30">
        <f t="shared" si="36"/>
        <v>0</v>
      </c>
      <c r="L200" s="5"/>
      <c r="M200" s="30">
        <f t="shared" si="37"/>
        <v>0</v>
      </c>
      <c r="N200" s="42">
        <f t="shared" si="38"/>
        <v>0</v>
      </c>
      <c r="O200" s="43">
        <f t="shared" si="39"/>
        <v>0</v>
      </c>
      <c r="P200" s="43">
        <f t="shared" si="40"/>
        <v>-0.34013437099999999</v>
      </c>
      <c r="Q200" s="43">
        <f t="shared" si="41"/>
        <v>-0.34013437099999999</v>
      </c>
      <c r="R200" s="43">
        <f t="shared" si="42"/>
        <v>0.11569139033556564</v>
      </c>
    </row>
    <row r="201" spans="1:18" x14ac:dyDescent="0.3">
      <c r="A201" s="47">
        <v>38183</v>
      </c>
      <c r="B201" s="48">
        <v>0</v>
      </c>
      <c r="C201" s="50">
        <v>0</v>
      </c>
      <c r="D201" s="10">
        <f t="shared" si="34"/>
        <v>-0.38980777739764078</v>
      </c>
      <c r="E201" s="10">
        <f t="shared" si="35"/>
        <v>-0.48607599697214554</v>
      </c>
      <c r="F201" s="10">
        <f t="shared" si="33"/>
        <v>0.15195010331968867</v>
      </c>
      <c r="G201" s="10">
        <f t="shared" si="33"/>
        <v>0.23626987483246525</v>
      </c>
      <c r="H201" s="11">
        <f t="shared" si="3"/>
        <v>0.18947620402605442</v>
      </c>
      <c r="I201" s="12">
        <f t="shared" si="4"/>
        <v>0</v>
      </c>
      <c r="J201" s="28">
        <f t="shared" si="5"/>
        <v>0</v>
      </c>
      <c r="K201" s="30">
        <f t="shared" si="36"/>
        <v>0</v>
      </c>
      <c r="L201" s="5"/>
      <c r="M201" s="30">
        <f t="shared" si="37"/>
        <v>0</v>
      </c>
      <c r="N201" s="42">
        <f t="shared" si="38"/>
        <v>0</v>
      </c>
      <c r="O201" s="43">
        <f t="shared" si="39"/>
        <v>0</v>
      </c>
      <c r="P201" s="43">
        <f t="shared" si="40"/>
        <v>-0.34013437099999999</v>
      </c>
      <c r="Q201" s="43">
        <f t="shared" si="41"/>
        <v>-0.34013437099999999</v>
      </c>
      <c r="R201" s="43">
        <f t="shared" si="42"/>
        <v>0.11569139033556564</v>
      </c>
    </row>
    <row r="202" spans="1:18" x14ac:dyDescent="0.3">
      <c r="A202" s="47">
        <v>38184</v>
      </c>
      <c r="B202" s="48">
        <v>0</v>
      </c>
      <c r="C202" s="50">
        <v>7.4729323387145996E-6</v>
      </c>
      <c r="D202" s="10">
        <f t="shared" si="34"/>
        <v>-0.38980777739764078</v>
      </c>
      <c r="E202" s="10">
        <f t="shared" si="35"/>
        <v>-0.48606852403980683</v>
      </c>
      <c r="F202" s="10">
        <f t="shared" si="33"/>
        <v>0.15195010331968867</v>
      </c>
      <c r="G202" s="10">
        <f t="shared" si="33"/>
        <v>0.23626261006223626</v>
      </c>
      <c r="H202" s="11">
        <f t="shared" si="3"/>
        <v>0.18947329101890883</v>
      </c>
      <c r="I202" s="12">
        <f t="shared" si="4"/>
        <v>7.4729323387145996E-6</v>
      </c>
      <c r="J202" s="28">
        <f t="shared" si="5"/>
        <v>5.5844717739006455E-11</v>
      </c>
      <c r="K202" s="30">
        <f t="shared" si="36"/>
        <v>7.4729323387145996E-6</v>
      </c>
      <c r="L202" s="5"/>
      <c r="M202" s="30">
        <f t="shared" si="37"/>
        <v>-7.4729323387145996E-6</v>
      </c>
      <c r="N202" s="42">
        <f t="shared" si="38"/>
        <v>-7.4729323387145996E-6</v>
      </c>
      <c r="O202" s="43">
        <f t="shared" si="39"/>
        <v>5.5844717739006455E-11</v>
      </c>
      <c r="P202" s="43">
        <f t="shared" si="40"/>
        <v>-0.34013437099999999</v>
      </c>
      <c r="Q202" s="43">
        <f t="shared" si="41"/>
        <v>-0.34013437099999999</v>
      </c>
      <c r="R202" s="43">
        <f t="shared" si="42"/>
        <v>0.11569139033556564</v>
      </c>
    </row>
    <row r="203" spans="1:18" x14ac:dyDescent="0.3">
      <c r="A203" s="47">
        <v>38185</v>
      </c>
      <c r="B203" s="48">
        <v>0</v>
      </c>
      <c r="C203" s="50">
        <v>0</v>
      </c>
      <c r="D203" s="10">
        <f t="shared" si="34"/>
        <v>-0.38980777739764078</v>
      </c>
      <c r="E203" s="10">
        <f t="shared" si="35"/>
        <v>-0.48607599697214554</v>
      </c>
      <c r="F203" s="10">
        <f t="shared" si="33"/>
        <v>0.15195010331968867</v>
      </c>
      <c r="G203" s="10">
        <f t="shared" si="33"/>
        <v>0.23626987483246525</v>
      </c>
      <c r="H203" s="11">
        <f t="shared" ref="H203:H266" si="43">D203*E203</f>
        <v>0.18947620402605442</v>
      </c>
      <c r="I203" s="12">
        <f t="shared" ref="I203:I266" si="44">ABS(C203-B203)</f>
        <v>0</v>
      </c>
      <c r="J203" s="28">
        <f t="shared" ref="J203:J266" si="45">I203^2</f>
        <v>0</v>
      </c>
      <c r="K203" s="30">
        <f t="shared" si="36"/>
        <v>0</v>
      </c>
      <c r="L203" s="5"/>
      <c r="M203" s="30">
        <f t="shared" si="37"/>
        <v>0</v>
      </c>
      <c r="N203" s="42">
        <f t="shared" si="38"/>
        <v>0</v>
      </c>
      <c r="O203" s="43">
        <f t="shared" si="39"/>
        <v>0</v>
      </c>
      <c r="P203" s="43">
        <f t="shared" si="40"/>
        <v>-0.34013437099999999</v>
      </c>
      <c r="Q203" s="43">
        <f t="shared" si="41"/>
        <v>-0.34013437099999999</v>
      </c>
      <c r="R203" s="43">
        <f t="shared" si="42"/>
        <v>0.11569139033556564</v>
      </c>
    </row>
    <row r="204" spans="1:18" x14ac:dyDescent="0.3">
      <c r="A204" s="47">
        <v>38186</v>
      </c>
      <c r="B204" s="48">
        <v>0</v>
      </c>
      <c r="C204" s="50">
        <v>0</v>
      </c>
      <c r="D204" s="10">
        <f t="shared" si="34"/>
        <v>-0.38980777739764078</v>
      </c>
      <c r="E204" s="10">
        <f t="shared" si="35"/>
        <v>-0.48607599697214554</v>
      </c>
      <c r="F204" s="10">
        <f t="shared" si="33"/>
        <v>0.15195010331968867</v>
      </c>
      <c r="G204" s="10">
        <f t="shared" si="33"/>
        <v>0.23626987483246525</v>
      </c>
      <c r="H204" s="11">
        <f t="shared" si="43"/>
        <v>0.18947620402605442</v>
      </c>
      <c r="I204" s="12">
        <f t="shared" si="44"/>
        <v>0</v>
      </c>
      <c r="J204" s="28">
        <f t="shared" si="45"/>
        <v>0</v>
      </c>
      <c r="K204" s="30">
        <f t="shared" si="36"/>
        <v>0</v>
      </c>
      <c r="L204" s="5"/>
      <c r="M204" s="30">
        <f t="shared" si="37"/>
        <v>0</v>
      </c>
      <c r="N204" s="42">
        <f t="shared" si="38"/>
        <v>0</v>
      </c>
      <c r="O204" s="43">
        <f t="shared" si="39"/>
        <v>0</v>
      </c>
      <c r="P204" s="43">
        <f t="shared" si="40"/>
        <v>-0.34013437099999999</v>
      </c>
      <c r="Q204" s="43">
        <f t="shared" si="41"/>
        <v>-0.34013437099999999</v>
      </c>
      <c r="R204" s="43">
        <f t="shared" si="42"/>
        <v>0.11569139033556564</v>
      </c>
    </row>
    <row r="205" spans="1:18" x14ac:dyDescent="0.3">
      <c r="A205" s="47">
        <v>38187</v>
      </c>
      <c r="B205" s="48">
        <v>0</v>
      </c>
      <c r="C205" s="50">
        <v>0</v>
      </c>
      <c r="D205" s="10">
        <f t="shared" si="34"/>
        <v>-0.38980777739764078</v>
      </c>
      <c r="E205" s="10">
        <f t="shared" si="35"/>
        <v>-0.48607599697214554</v>
      </c>
      <c r="F205" s="10">
        <f t="shared" si="33"/>
        <v>0.15195010331968867</v>
      </c>
      <c r="G205" s="10">
        <f t="shared" si="33"/>
        <v>0.23626987483246525</v>
      </c>
      <c r="H205" s="11">
        <f t="shared" si="43"/>
        <v>0.18947620402605442</v>
      </c>
      <c r="I205" s="12">
        <f t="shared" si="44"/>
        <v>0</v>
      </c>
      <c r="J205" s="28">
        <f t="shared" si="45"/>
        <v>0</v>
      </c>
      <c r="K205" s="30">
        <f t="shared" si="36"/>
        <v>0</v>
      </c>
      <c r="L205" s="5"/>
      <c r="M205" s="30">
        <f t="shared" si="37"/>
        <v>0</v>
      </c>
      <c r="N205" s="42">
        <f t="shared" si="38"/>
        <v>0</v>
      </c>
      <c r="O205" s="43">
        <f t="shared" si="39"/>
        <v>0</v>
      </c>
      <c r="P205" s="43">
        <f t="shared" si="40"/>
        <v>-0.34013437099999999</v>
      </c>
      <c r="Q205" s="43">
        <f t="shared" si="41"/>
        <v>-0.34013437099999999</v>
      </c>
      <c r="R205" s="43">
        <f t="shared" si="42"/>
        <v>0.11569139033556564</v>
      </c>
    </row>
    <row r="206" spans="1:18" x14ac:dyDescent="0.3">
      <c r="A206" s="47">
        <v>38188</v>
      </c>
      <c r="B206" s="48">
        <v>0</v>
      </c>
      <c r="C206" s="50">
        <v>0</v>
      </c>
      <c r="D206" s="10">
        <f t="shared" si="34"/>
        <v>-0.38980777739764078</v>
      </c>
      <c r="E206" s="10">
        <f t="shared" si="35"/>
        <v>-0.48607599697214554</v>
      </c>
      <c r="F206" s="10">
        <f t="shared" si="33"/>
        <v>0.15195010331968867</v>
      </c>
      <c r="G206" s="10">
        <f t="shared" si="33"/>
        <v>0.23626987483246525</v>
      </c>
      <c r="H206" s="11">
        <f t="shared" si="43"/>
        <v>0.18947620402605442</v>
      </c>
      <c r="I206" s="12">
        <f t="shared" si="44"/>
        <v>0</v>
      </c>
      <c r="J206" s="28">
        <f t="shared" si="45"/>
        <v>0</v>
      </c>
      <c r="K206" s="30">
        <f t="shared" si="36"/>
        <v>0</v>
      </c>
      <c r="L206" s="5"/>
      <c r="M206" s="30">
        <f t="shared" si="37"/>
        <v>0</v>
      </c>
      <c r="N206" s="42">
        <f t="shared" si="38"/>
        <v>0</v>
      </c>
      <c r="O206" s="43">
        <f t="shared" si="39"/>
        <v>0</v>
      </c>
      <c r="P206" s="43">
        <f t="shared" si="40"/>
        <v>-0.34013437099999999</v>
      </c>
      <c r="Q206" s="43">
        <f t="shared" si="41"/>
        <v>-0.34013437099999999</v>
      </c>
      <c r="R206" s="43">
        <f t="shared" si="42"/>
        <v>0.11569139033556564</v>
      </c>
    </row>
    <row r="207" spans="1:18" x14ac:dyDescent="0.3">
      <c r="A207" s="47">
        <v>38189</v>
      </c>
      <c r="B207" s="48">
        <v>0</v>
      </c>
      <c r="C207" s="50">
        <v>0</v>
      </c>
      <c r="D207" s="10">
        <f t="shared" si="34"/>
        <v>-0.38980777739764078</v>
      </c>
      <c r="E207" s="10">
        <f t="shared" si="35"/>
        <v>-0.48607599697214554</v>
      </c>
      <c r="F207" s="10">
        <f t="shared" si="33"/>
        <v>0.15195010331968867</v>
      </c>
      <c r="G207" s="10">
        <f t="shared" si="33"/>
        <v>0.23626987483246525</v>
      </c>
      <c r="H207" s="11">
        <f t="shared" si="43"/>
        <v>0.18947620402605442</v>
      </c>
      <c r="I207" s="12">
        <f t="shared" si="44"/>
        <v>0</v>
      </c>
      <c r="J207" s="28">
        <f t="shared" si="45"/>
        <v>0</v>
      </c>
      <c r="K207" s="30">
        <f t="shared" si="36"/>
        <v>0</v>
      </c>
      <c r="L207" s="5"/>
      <c r="M207" s="30">
        <f t="shared" si="37"/>
        <v>0</v>
      </c>
      <c r="N207" s="42">
        <f t="shared" si="38"/>
        <v>0</v>
      </c>
      <c r="O207" s="43">
        <f t="shared" si="39"/>
        <v>0</v>
      </c>
      <c r="P207" s="43">
        <f t="shared" si="40"/>
        <v>-0.34013437099999999</v>
      </c>
      <c r="Q207" s="43">
        <f t="shared" si="41"/>
        <v>-0.34013437099999999</v>
      </c>
      <c r="R207" s="43">
        <f t="shared" si="42"/>
        <v>0.11569139033556564</v>
      </c>
    </row>
    <row r="208" spans="1:18" x14ac:dyDescent="0.3">
      <c r="A208" s="47">
        <v>38190</v>
      </c>
      <c r="B208" s="48">
        <v>0</v>
      </c>
      <c r="C208" s="50">
        <v>0</v>
      </c>
      <c r="D208" s="10">
        <f t="shared" si="34"/>
        <v>-0.38980777739764078</v>
      </c>
      <c r="E208" s="10">
        <f t="shared" si="35"/>
        <v>-0.48607599697214554</v>
      </c>
      <c r="F208" s="10">
        <f t="shared" si="33"/>
        <v>0.15195010331968867</v>
      </c>
      <c r="G208" s="10">
        <f t="shared" si="33"/>
        <v>0.23626987483246525</v>
      </c>
      <c r="H208" s="11">
        <f t="shared" si="43"/>
        <v>0.18947620402605442</v>
      </c>
      <c r="I208" s="12">
        <f t="shared" si="44"/>
        <v>0</v>
      </c>
      <c r="J208" s="28">
        <f t="shared" si="45"/>
        <v>0</v>
      </c>
      <c r="K208" s="30">
        <f t="shared" si="36"/>
        <v>0</v>
      </c>
      <c r="L208" s="5"/>
      <c r="M208" s="30">
        <f t="shared" si="37"/>
        <v>0</v>
      </c>
      <c r="N208" s="42">
        <f t="shared" si="38"/>
        <v>0</v>
      </c>
      <c r="O208" s="43">
        <f t="shared" si="39"/>
        <v>0</v>
      </c>
      <c r="P208" s="43">
        <f t="shared" si="40"/>
        <v>-0.34013437099999999</v>
      </c>
      <c r="Q208" s="43">
        <f t="shared" si="41"/>
        <v>-0.34013437099999999</v>
      </c>
      <c r="R208" s="43">
        <f t="shared" si="42"/>
        <v>0.11569139033556564</v>
      </c>
    </row>
    <row r="209" spans="1:18" x14ac:dyDescent="0.3">
      <c r="A209" s="47">
        <v>38191</v>
      </c>
      <c r="B209" s="48">
        <v>0</v>
      </c>
      <c r="C209" s="50">
        <v>0</v>
      </c>
      <c r="D209" s="10">
        <f t="shared" si="34"/>
        <v>-0.38980777739764078</v>
      </c>
      <c r="E209" s="10">
        <f t="shared" si="35"/>
        <v>-0.48607599697214554</v>
      </c>
      <c r="F209" s="10">
        <f t="shared" si="33"/>
        <v>0.15195010331968867</v>
      </c>
      <c r="G209" s="10">
        <f t="shared" si="33"/>
        <v>0.23626987483246525</v>
      </c>
      <c r="H209" s="11">
        <f t="shared" si="43"/>
        <v>0.18947620402605442</v>
      </c>
      <c r="I209" s="12">
        <f t="shared" si="44"/>
        <v>0</v>
      </c>
      <c r="J209" s="28">
        <f t="shared" si="45"/>
        <v>0</v>
      </c>
      <c r="K209" s="30">
        <f t="shared" si="36"/>
        <v>0</v>
      </c>
      <c r="L209" s="5"/>
      <c r="M209" s="30">
        <f t="shared" si="37"/>
        <v>0</v>
      </c>
      <c r="N209" s="42">
        <f t="shared" si="38"/>
        <v>0</v>
      </c>
      <c r="O209" s="43">
        <f t="shared" si="39"/>
        <v>0</v>
      </c>
      <c r="P209" s="43">
        <f t="shared" si="40"/>
        <v>-0.34013437099999999</v>
      </c>
      <c r="Q209" s="43">
        <f t="shared" si="41"/>
        <v>-0.34013437099999999</v>
      </c>
      <c r="R209" s="43">
        <f t="shared" si="42"/>
        <v>0.11569139033556564</v>
      </c>
    </row>
    <row r="210" spans="1:18" x14ac:dyDescent="0.3">
      <c r="A210" s="47">
        <v>38192</v>
      </c>
      <c r="B210" s="48">
        <v>0</v>
      </c>
      <c r="C210" s="50">
        <v>0</v>
      </c>
      <c r="D210" s="10">
        <f t="shared" si="34"/>
        <v>-0.38980777739764078</v>
      </c>
      <c r="E210" s="10">
        <f t="shared" si="35"/>
        <v>-0.48607599697214554</v>
      </c>
      <c r="F210" s="10">
        <f t="shared" si="33"/>
        <v>0.15195010331968867</v>
      </c>
      <c r="G210" s="10">
        <f t="shared" si="33"/>
        <v>0.23626987483246525</v>
      </c>
      <c r="H210" s="11">
        <f t="shared" si="43"/>
        <v>0.18947620402605442</v>
      </c>
      <c r="I210" s="12">
        <f t="shared" si="44"/>
        <v>0</v>
      </c>
      <c r="J210" s="28">
        <f t="shared" si="45"/>
        <v>0</v>
      </c>
      <c r="K210" s="30">
        <f t="shared" si="36"/>
        <v>0</v>
      </c>
      <c r="L210" s="5"/>
      <c r="M210" s="30">
        <f t="shared" si="37"/>
        <v>0</v>
      </c>
      <c r="N210" s="42">
        <f t="shared" si="38"/>
        <v>0</v>
      </c>
      <c r="O210" s="43">
        <f t="shared" si="39"/>
        <v>0</v>
      </c>
      <c r="P210" s="43">
        <f t="shared" si="40"/>
        <v>-0.34013437099999999</v>
      </c>
      <c r="Q210" s="43">
        <f t="shared" si="41"/>
        <v>-0.34013437099999999</v>
      </c>
      <c r="R210" s="43">
        <f t="shared" si="42"/>
        <v>0.11569139033556564</v>
      </c>
    </row>
    <row r="211" spans="1:18" x14ac:dyDescent="0.3">
      <c r="A211" s="47">
        <v>38193</v>
      </c>
      <c r="B211" s="48">
        <v>0</v>
      </c>
      <c r="C211" s="50">
        <v>0</v>
      </c>
      <c r="D211" s="10">
        <f t="shared" si="34"/>
        <v>-0.38980777739764078</v>
      </c>
      <c r="E211" s="10">
        <f t="shared" si="35"/>
        <v>-0.48607599697214554</v>
      </c>
      <c r="F211" s="10">
        <f t="shared" si="33"/>
        <v>0.15195010331968867</v>
      </c>
      <c r="G211" s="10">
        <f t="shared" si="33"/>
        <v>0.23626987483246525</v>
      </c>
      <c r="H211" s="11">
        <f t="shared" si="43"/>
        <v>0.18947620402605442</v>
      </c>
      <c r="I211" s="12">
        <f t="shared" si="44"/>
        <v>0</v>
      </c>
      <c r="J211" s="28">
        <f t="shared" si="45"/>
        <v>0</v>
      </c>
      <c r="K211" s="30">
        <f t="shared" si="36"/>
        <v>0</v>
      </c>
      <c r="L211" s="5"/>
      <c r="M211" s="30">
        <f t="shared" si="37"/>
        <v>0</v>
      </c>
      <c r="N211" s="42">
        <f t="shared" si="38"/>
        <v>0</v>
      </c>
      <c r="O211" s="43">
        <f t="shared" si="39"/>
        <v>0</v>
      </c>
      <c r="P211" s="43">
        <f t="shared" si="40"/>
        <v>-0.34013437099999999</v>
      </c>
      <c r="Q211" s="43">
        <f t="shared" si="41"/>
        <v>-0.34013437099999999</v>
      </c>
      <c r="R211" s="43">
        <f t="shared" si="42"/>
        <v>0.11569139033556564</v>
      </c>
    </row>
    <row r="212" spans="1:18" x14ac:dyDescent="0.3">
      <c r="A212" s="47">
        <v>38194</v>
      </c>
      <c r="B212" s="48">
        <v>0</v>
      </c>
      <c r="C212" s="50">
        <v>0</v>
      </c>
      <c r="D212" s="10">
        <f t="shared" si="34"/>
        <v>-0.38980777739764078</v>
      </c>
      <c r="E212" s="10">
        <f t="shared" si="35"/>
        <v>-0.48607599697214554</v>
      </c>
      <c r="F212" s="10">
        <f t="shared" si="33"/>
        <v>0.15195010331968867</v>
      </c>
      <c r="G212" s="10">
        <f t="shared" si="33"/>
        <v>0.23626987483246525</v>
      </c>
      <c r="H212" s="11">
        <f t="shared" si="43"/>
        <v>0.18947620402605442</v>
      </c>
      <c r="I212" s="12">
        <f t="shared" si="44"/>
        <v>0</v>
      </c>
      <c r="J212" s="28">
        <f t="shared" si="45"/>
        <v>0</v>
      </c>
      <c r="K212" s="30">
        <f t="shared" si="36"/>
        <v>0</v>
      </c>
      <c r="L212" s="5"/>
      <c r="M212" s="30">
        <f t="shared" si="37"/>
        <v>0</v>
      </c>
      <c r="N212" s="42">
        <f t="shared" si="38"/>
        <v>0</v>
      </c>
      <c r="O212" s="43">
        <f t="shared" si="39"/>
        <v>0</v>
      </c>
      <c r="P212" s="43">
        <f t="shared" si="40"/>
        <v>-0.34013437099999999</v>
      </c>
      <c r="Q212" s="43">
        <f t="shared" si="41"/>
        <v>-0.34013437099999999</v>
      </c>
      <c r="R212" s="43">
        <f t="shared" si="42"/>
        <v>0.11569139033556564</v>
      </c>
    </row>
    <row r="213" spans="1:18" x14ac:dyDescent="0.3">
      <c r="A213" s="47">
        <v>38195</v>
      </c>
      <c r="B213" s="48">
        <v>0</v>
      </c>
      <c r="C213" s="50">
        <v>0</v>
      </c>
      <c r="D213" s="10">
        <f t="shared" si="34"/>
        <v>-0.38980777739764078</v>
      </c>
      <c r="E213" s="10">
        <f t="shared" si="35"/>
        <v>-0.48607599697214554</v>
      </c>
      <c r="F213" s="10">
        <f t="shared" ref="F213:G276" si="46">D213^2</f>
        <v>0.15195010331968867</v>
      </c>
      <c r="G213" s="10">
        <f t="shared" si="46"/>
        <v>0.23626987483246525</v>
      </c>
      <c r="H213" s="11">
        <f t="shared" si="43"/>
        <v>0.18947620402605442</v>
      </c>
      <c r="I213" s="12">
        <f t="shared" si="44"/>
        <v>0</v>
      </c>
      <c r="J213" s="28">
        <f t="shared" si="45"/>
        <v>0</v>
      </c>
      <c r="K213" s="30">
        <f t="shared" si="36"/>
        <v>0</v>
      </c>
      <c r="L213" s="5"/>
      <c r="M213" s="30">
        <f t="shared" si="37"/>
        <v>0</v>
      </c>
      <c r="N213" s="42">
        <f t="shared" si="38"/>
        <v>0</v>
      </c>
      <c r="O213" s="43">
        <f t="shared" si="39"/>
        <v>0</v>
      </c>
      <c r="P213" s="43">
        <f t="shared" si="40"/>
        <v>-0.34013437099999999</v>
      </c>
      <c r="Q213" s="43">
        <f t="shared" si="41"/>
        <v>-0.34013437099999999</v>
      </c>
      <c r="R213" s="43">
        <f t="shared" si="42"/>
        <v>0.11569139033556564</v>
      </c>
    </row>
    <row r="214" spans="1:18" x14ac:dyDescent="0.3">
      <c r="A214" s="47">
        <v>38196</v>
      </c>
      <c r="B214" s="48">
        <v>0</v>
      </c>
      <c r="C214" s="50">
        <v>0</v>
      </c>
      <c r="D214" s="10">
        <f t="shared" si="34"/>
        <v>-0.38980777739764078</v>
      </c>
      <c r="E214" s="10">
        <f t="shared" si="35"/>
        <v>-0.48607599697214554</v>
      </c>
      <c r="F214" s="10">
        <f t="shared" si="46"/>
        <v>0.15195010331968867</v>
      </c>
      <c r="G214" s="10">
        <f t="shared" si="46"/>
        <v>0.23626987483246525</v>
      </c>
      <c r="H214" s="11">
        <f t="shared" si="43"/>
        <v>0.18947620402605442</v>
      </c>
      <c r="I214" s="12">
        <f t="shared" si="44"/>
        <v>0</v>
      </c>
      <c r="J214" s="28">
        <f t="shared" si="45"/>
        <v>0</v>
      </c>
      <c r="K214" s="30">
        <f t="shared" si="36"/>
        <v>0</v>
      </c>
      <c r="L214" s="5"/>
      <c r="M214" s="30">
        <f t="shared" si="37"/>
        <v>0</v>
      </c>
      <c r="N214" s="42">
        <f t="shared" si="38"/>
        <v>0</v>
      </c>
      <c r="O214" s="43">
        <f t="shared" si="39"/>
        <v>0</v>
      </c>
      <c r="P214" s="43">
        <f t="shared" si="40"/>
        <v>-0.34013437099999999</v>
      </c>
      <c r="Q214" s="43">
        <f t="shared" si="41"/>
        <v>-0.34013437099999999</v>
      </c>
      <c r="R214" s="43">
        <f t="shared" si="42"/>
        <v>0.11569139033556564</v>
      </c>
    </row>
    <row r="215" spans="1:18" x14ac:dyDescent="0.3">
      <c r="A215" s="47">
        <v>38197</v>
      </c>
      <c r="B215" s="48">
        <v>0</v>
      </c>
      <c r="C215" s="50">
        <v>0</v>
      </c>
      <c r="D215" s="10">
        <f t="shared" si="34"/>
        <v>-0.38980777739764078</v>
      </c>
      <c r="E215" s="10">
        <f t="shared" si="35"/>
        <v>-0.48607599697214554</v>
      </c>
      <c r="F215" s="10">
        <f t="shared" si="46"/>
        <v>0.15195010331968867</v>
      </c>
      <c r="G215" s="10">
        <f t="shared" si="46"/>
        <v>0.23626987483246525</v>
      </c>
      <c r="H215" s="11">
        <f t="shared" si="43"/>
        <v>0.18947620402605442</v>
      </c>
      <c r="I215" s="12">
        <f t="shared" si="44"/>
        <v>0</v>
      </c>
      <c r="J215" s="28">
        <f t="shared" si="45"/>
        <v>0</v>
      </c>
      <c r="K215" s="30">
        <f t="shared" si="36"/>
        <v>0</v>
      </c>
      <c r="L215" s="5"/>
      <c r="M215" s="30">
        <f t="shared" si="37"/>
        <v>0</v>
      </c>
      <c r="N215" s="42">
        <f t="shared" si="38"/>
        <v>0</v>
      </c>
      <c r="O215" s="43">
        <f t="shared" si="39"/>
        <v>0</v>
      </c>
      <c r="P215" s="43">
        <f t="shared" si="40"/>
        <v>-0.34013437099999999</v>
      </c>
      <c r="Q215" s="43">
        <f t="shared" si="41"/>
        <v>-0.34013437099999999</v>
      </c>
      <c r="R215" s="43">
        <f t="shared" si="42"/>
        <v>0.11569139033556564</v>
      </c>
    </row>
    <row r="216" spans="1:18" x14ac:dyDescent="0.3">
      <c r="A216" s="47">
        <v>38198</v>
      </c>
      <c r="B216" s="48">
        <v>0</v>
      </c>
      <c r="C216" s="50">
        <v>0</v>
      </c>
      <c r="D216" s="10">
        <f t="shared" si="34"/>
        <v>-0.38980777739764078</v>
      </c>
      <c r="E216" s="10">
        <f t="shared" si="35"/>
        <v>-0.48607599697214554</v>
      </c>
      <c r="F216" s="10">
        <f t="shared" si="46"/>
        <v>0.15195010331968867</v>
      </c>
      <c r="G216" s="10">
        <f t="shared" si="46"/>
        <v>0.23626987483246525</v>
      </c>
      <c r="H216" s="11">
        <f t="shared" si="43"/>
        <v>0.18947620402605442</v>
      </c>
      <c r="I216" s="12">
        <f t="shared" si="44"/>
        <v>0</v>
      </c>
      <c r="J216" s="28">
        <f t="shared" si="45"/>
        <v>0</v>
      </c>
      <c r="K216" s="30">
        <f t="shared" si="36"/>
        <v>0</v>
      </c>
      <c r="L216" s="5"/>
      <c r="M216" s="30">
        <f t="shared" si="37"/>
        <v>0</v>
      </c>
      <c r="N216" s="42">
        <f t="shared" si="38"/>
        <v>0</v>
      </c>
      <c r="O216" s="43">
        <f t="shared" si="39"/>
        <v>0</v>
      </c>
      <c r="P216" s="43">
        <f t="shared" si="40"/>
        <v>-0.34013437099999999</v>
      </c>
      <c r="Q216" s="43">
        <f t="shared" si="41"/>
        <v>-0.34013437099999999</v>
      </c>
      <c r="R216" s="43">
        <f t="shared" si="42"/>
        <v>0.11569139033556564</v>
      </c>
    </row>
    <row r="217" spans="1:18" x14ac:dyDescent="0.3">
      <c r="A217" s="47">
        <v>38199</v>
      </c>
      <c r="B217" s="48">
        <v>0</v>
      </c>
      <c r="C217" s="50">
        <v>0</v>
      </c>
      <c r="D217" s="10">
        <f t="shared" si="34"/>
        <v>-0.38980777739764078</v>
      </c>
      <c r="E217" s="10">
        <f t="shared" si="35"/>
        <v>-0.48607599697214554</v>
      </c>
      <c r="F217" s="10">
        <f t="shared" si="46"/>
        <v>0.15195010331968867</v>
      </c>
      <c r="G217" s="10">
        <f t="shared" si="46"/>
        <v>0.23626987483246525</v>
      </c>
      <c r="H217" s="11">
        <f t="shared" si="43"/>
        <v>0.18947620402605442</v>
      </c>
      <c r="I217" s="12">
        <f t="shared" si="44"/>
        <v>0</v>
      </c>
      <c r="J217" s="28">
        <f t="shared" si="45"/>
        <v>0</v>
      </c>
      <c r="K217" s="30">
        <f t="shared" si="36"/>
        <v>0</v>
      </c>
      <c r="L217" s="5"/>
      <c r="M217" s="30">
        <f t="shared" si="37"/>
        <v>0</v>
      </c>
      <c r="N217" s="42">
        <f t="shared" si="38"/>
        <v>0</v>
      </c>
      <c r="O217" s="43">
        <f t="shared" si="39"/>
        <v>0</v>
      </c>
      <c r="P217" s="43">
        <f t="shared" si="40"/>
        <v>-0.34013437099999999</v>
      </c>
      <c r="Q217" s="43">
        <f t="shared" si="41"/>
        <v>-0.34013437099999999</v>
      </c>
      <c r="R217" s="43">
        <f t="shared" si="42"/>
        <v>0.11569139033556564</v>
      </c>
    </row>
    <row r="218" spans="1:18" x14ac:dyDescent="0.3">
      <c r="A218" s="47">
        <v>38200</v>
      </c>
      <c r="B218" s="48">
        <v>0</v>
      </c>
      <c r="C218" s="50">
        <v>0</v>
      </c>
      <c r="D218" s="10">
        <f t="shared" si="34"/>
        <v>-0.38980777739764078</v>
      </c>
      <c r="E218" s="10">
        <f t="shared" si="35"/>
        <v>-0.48607599697214554</v>
      </c>
      <c r="F218" s="10">
        <f t="shared" si="46"/>
        <v>0.15195010331968867</v>
      </c>
      <c r="G218" s="10">
        <f t="shared" si="46"/>
        <v>0.23626987483246525</v>
      </c>
      <c r="H218" s="11">
        <f t="shared" si="43"/>
        <v>0.18947620402605442</v>
      </c>
      <c r="I218" s="12">
        <f t="shared" si="44"/>
        <v>0</v>
      </c>
      <c r="J218" s="28">
        <f t="shared" si="45"/>
        <v>0</v>
      </c>
      <c r="K218" s="30">
        <f t="shared" si="36"/>
        <v>0</v>
      </c>
      <c r="L218" s="5"/>
      <c r="M218" s="30">
        <f t="shared" si="37"/>
        <v>0</v>
      </c>
      <c r="N218" s="42">
        <f t="shared" si="38"/>
        <v>0</v>
      </c>
      <c r="O218" s="43">
        <f t="shared" si="39"/>
        <v>0</v>
      </c>
      <c r="P218" s="43">
        <f t="shared" si="40"/>
        <v>-0.34013437099999999</v>
      </c>
      <c r="Q218" s="43">
        <f t="shared" si="41"/>
        <v>-0.34013437099999999</v>
      </c>
      <c r="R218" s="43">
        <f t="shared" si="42"/>
        <v>0.11569139033556564</v>
      </c>
    </row>
    <row r="219" spans="1:18" ht="15.75" customHeight="1" x14ac:dyDescent="0.3">
      <c r="A219" s="47">
        <v>38201</v>
      </c>
      <c r="B219" s="48">
        <v>0</v>
      </c>
      <c r="C219" s="50">
        <v>0</v>
      </c>
      <c r="D219" s="10">
        <f t="shared" si="34"/>
        <v>-0.38980777739764078</v>
      </c>
      <c r="E219" s="10">
        <f t="shared" si="35"/>
        <v>-0.48607599697214554</v>
      </c>
      <c r="F219" s="10">
        <f t="shared" si="46"/>
        <v>0.15195010331968867</v>
      </c>
      <c r="G219" s="10">
        <f t="shared" si="46"/>
        <v>0.23626987483246525</v>
      </c>
      <c r="H219" s="11">
        <f t="shared" si="43"/>
        <v>0.18947620402605442</v>
      </c>
      <c r="I219" s="12">
        <f t="shared" si="44"/>
        <v>0</v>
      </c>
      <c r="J219" s="28">
        <f t="shared" si="45"/>
        <v>0</v>
      </c>
      <c r="K219" s="30">
        <f t="shared" si="36"/>
        <v>0</v>
      </c>
      <c r="L219" s="5"/>
      <c r="M219" s="30">
        <f t="shared" si="37"/>
        <v>0</v>
      </c>
      <c r="N219" s="42">
        <f t="shared" si="38"/>
        <v>0</v>
      </c>
      <c r="O219" s="43">
        <f t="shared" si="39"/>
        <v>0</v>
      </c>
      <c r="P219" s="43">
        <f t="shared" si="40"/>
        <v>-0.34013437099999999</v>
      </c>
      <c r="Q219" s="43">
        <f t="shared" si="41"/>
        <v>-0.34013437099999999</v>
      </c>
      <c r="R219" s="43">
        <f t="shared" si="42"/>
        <v>0.11569139033556564</v>
      </c>
    </row>
    <row r="220" spans="1:18" ht="15.75" customHeight="1" x14ac:dyDescent="0.3">
      <c r="A220" s="47">
        <v>38202</v>
      </c>
      <c r="B220" s="48">
        <v>0</v>
      </c>
      <c r="C220" s="50">
        <v>0</v>
      </c>
      <c r="D220" s="10">
        <f t="shared" si="34"/>
        <v>-0.38980777739764078</v>
      </c>
      <c r="E220" s="10">
        <f t="shared" si="35"/>
        <v>-0.48607599697214554</v>
      </c>
      <c r="F220" s="10">
        <f t="shared" si="46"/>
        <v>0.15195010331968867</v>
      </c>
      <c r="G220" s="10">
        <f t="shared" si="46"/>
        <v>0.23626987483246525</v>
      </c>
      <c r="H220" s="11">
        <f t="shared" si="43"/>
        <v>0.18947620402605442</v>
      </c>
      <c r="I220" s="12">
        <f t="shared" si="44"/>
        <v>0</v>
      </c>
      <c r="J220" s="28">
        <f t="shared" si="45"/>
        <v>0</v>
      </c>
      <c r="K220" s="30">
        <f t="shared" si="36"/>
        <v>0</v>
      </c>
      <c r="L220" s="5"/>
      <c r="M220" s="30">
        <f t="shared" si="37"/>
        <v>0</v>
      </c>
      <c r="N220" s="42">
        <f t="shared" si="38"/>
        <v>0</v>
      </c>
      <c r="O220" s="43">
        <f t="shared" si="39"/>
        <v>0</v>
      </c>
      <c r="P220" s="43">
        <f t="shared" si="40"/>
        <v>-0.34013437099999999</v>
      </c>
      <c r="Q220" s="43">
        <f t="shared" si="41"/>
        <v>-0.34013437099999999</v>
      </c>
      <c r="R220" s="43">
        <f t="shared" si="42"/>
        <v>0.11569139033556564</v>
      </c>
    </row>
    <row r="221" spans="1:18" ht="15.75" customHeight="1" x14ac:dyDescent="0.3">
      <c r="A221" s="47">
        <v>38203</v>
      </c>
      <c r="B221" s="48">
        <v>0</v>
      </c>
      <c r="C221" s="50">
        <v>0</v>
      </c>
      <c r="D221" s="10">
        <f t="shared" si="34"/>
        <v>-0.38980777739764078</v>
      </c>
      <c r="E221" s="10">
        <f t="shared" si="35"/>
        <v>-0.48607599697214554</v>
      </c>
      <c r="F221" s="10">
        <f t="shared" si="46"/>
        <v>0.15195010331968867</v>
      </c>
      <c r="G221" s="10">
        <f t="shared" si="46"/>
        <v>0.23626987483246525</v>
      </c>
      <c r="H221" s="11">
        <f t="shared" si="43"/>
        <v>0.18947620402605442</v>
      </c>
      <c r="I221" s="12">
        <f t="shared" si="44"/>
        <v>0</v>
      </c>
      <c r="J221" s="28">
        <f t="shared" si="45"/>
        <v>0</v>
      </c>
      <c r="K221" s="30">
        <f t="shared" si="36"/>
        <v>0</v>
      </c>
      <c r="L221" s="5"/>
      <c r="M221" s="30">
        <f t="shared" si="37"/>
        <v>0</v>
      </c>
      <c r="N221" s="42">
        <f t="shared" si="38"/>
        <v>0</v>
      </c>
      <c r="O221" s="43">
        <f t="shared" si="39"/>
        <v>0</v>
      </c>
      <c r="P221" s="43">
        <f t="shared" si="40"/>
        <v>-0.34013437099999999</v>
      </c>
      <c r="Q221" s="43">
        <f t="shared" si="41"/>
        <v>-0.34013437099999999</v>
      </c>
      <c r="R221" s="43">
        <f t="shared" si="42"/>
        <v>0.11569139033556564</v>
      </c>
    </row>
    <row r="222" spans="1:18" ht="15.75" customHeight="1" x14ac:dyDescent="0.3">
      <c r="A222" s="47">
        <v>38204</v>
      </c>
      <c r="B222" s="48">
        <v>0</v>
      </c>
      <c r="C222" s="50">
        <v>0</v>
      </c>
      <c r="D222" s="10">
        <f t="shared" si="34"/>
        <v>-0.38980777739764078</v>
      </c>
      <c r="E222" s="10">
        <f t="shared" si="35"/>
        <v>-0.48607599697214554</v>
      </c>
      <c r="F222" s="10">
        <f t="shared" si="46"/>
        <v>0.15195010331968867</v>
      </c>
      <c r="G222" s="10">
        <f t="shared" si="46"/>
        <v>0.23626987483246525</v>
      </c>
      <c r="H222" s="11">
        <f t="shared" si="43"/>
        <v>0.18947620402605442</v>
      </c>
      <c r="I222" s="12">
        <f t="shared" si="44"/>
        <v>0</v>
      </c>
      <c r="J222" s="28">
        <f t="shared" si="45"/>
        <v>0</v>
      </c>
      <c r="K222" s="30">
        <f t="shared" si="36"/>
        <v>0</v>
      </c>
      <c r="L222" s="5"/>
      <c r="M222" s="30">
        <f t="shared" si="37"/>
        <v>0</v>
      </c>
      <c r="N222" s="42">
        <f t="shared" si="38"/>
        <v>0</v>
      </c>
      <c r="O222" s="43">
        <f t="shared" si="39"/>
        <v>0</v>
      </c>
      <c r="P222" s="43">
        <f t="shared" si="40"/>
        <v>-0.34013437099999999</v>
      </c>
      <c r="Q222" s="43">
        <f t="shared" si="41"/>
        <v>-0.34013437099999999</v>
      </c>
      <c r="R222" s="43">
        <f t="shared" si="42"/>
        <v>0.11569139033556564</v>
      </c>
    </row>
    <row r="223" spans="1:18" ht="15.75" customHeight="1" x14ac:dyDescent="0.3">
      <c r="A223" s="47">
        <v>38205</v>
      </c>
      <c r="B223" s="48">
        <v>0</v>
      </c>
      <c r="C223" s="50">
        <v>0</v>
      </c>
      <c r="D223" s="10">
        <f t="shared" si="34"/>
        <v>-0.38980777739764078</v>
      </c>
      <c r="E223" s="10">
        <f t="shared" si="35"/>
        <v>-0.48607599697214554</v>
      </c>
      <c r="F223" s="10">
        <f t="shared" si="46"/>
        <v>0.15195010331968867</v>
      </c>
      <c r="G223" s="10">
        <f t="shared" si="46"/>
        <v>0.23626987483246525</v>
      </c>
      <c r="H223" s="11">
        <f t="shared" si="43"/>
        <v>0.18947620402605442</v>
      </c>
      <c r="I223" s="12">
        <f t="shared" si="44"/>
        <v>0</v>
      </c>
      <c r="J223" s="28">
        <f t="shared" si="45"/>
        <v>0</v>
      </c>
      <c r="K223" s="30">
        <f t="shared" si="36"/>
        <v>0</v>
      </c>
      <c r="L223" s="5"/>
      <c r="M223" s="30">
        <f t="shared" si="37"/>
        <v>0</v>
      </c>
      <c r="N223" s="42">
        <f t="shared" si="38"/>
        <v>0</v>
      </c>
      <c r="O223" s="43">
        <f t="shared" si="39"/>
        <v>0</v>
      </c>
      <c r="P223" s="43">
        <f t="shared" si="40"/>
        <v>-0.34013437099999999</v>
      </c>
      <c r="Q223" s="43">
        <f t="shared" si="41"/>
        <v>-0.34013437099999999</v>
      </c>
      <c r="R223" s="43">
        <f t="shared" si="42"/>
        <v>0.11569139033556564</v>
      </c>
    </row>
    <row r="224" spans="1:18" ht="15.75" customHeight="1" x14ac:dyDescent="0.3">
      <c r="A224" s="47">
        <v>38206</v>
      </c>
      <c r="B224" s="48">
        <v>0</v>
      </c>
      <c r="C224" s="50">
        <v>0</v>
      </c>
      <c r="D224" s="10">
        <f t="shared" si="34"/>
        <v>-0.38980777739764078</v>
      </c>
      <c r="E224" s="10">
        <f t="shared" si="35"/>
        <v>-0.48607599697214554</v>
      </c>
      <c r="F224" s="10">
        <f t="shared" si="46"/>
        <v>0.15195010331968867</v>
      </c>
      <c r="G224" s="10">
        <f t="shared" si="46"/>
        <v>0.23626987483246525</v>
      </c>
      <c r="H224" s="11">
        <f t="shared" si="43"/>
        <v>0.18947620402605442</v>
      </c>
      <c r="I224" s="12">
        <f t="shared" si="44"/>
        <v>0</v>
      </c>
      <c r="J224" s="28">
        <f t="shared" si="45"/>
        <v>0</v>
      </c>
      <c r="K224" s="30">
        <f t="shared" si="36"/>
        <v>0</v>
      </c>
      <c r="L224" s="5"/>
      <c r="M224" s="30">
        <f t="shared" si="37"/>
        <v>0</v>
      </c>
      <c r="N224" s="42">
        <f t="shared" si="38"/>
        <v>0</v>
      </c>
      <c r="O224" s="43">
        <f t="shared" si="39"/>
        <v>0</v>
      </c>
      <c r="P224" s="43">
        <f t="shared" si="40"/>
        <v>-0.34013437099999999</v>
      </c>
      <c r="Q224" s="43">
        <f t="shared" si="41"/>
        <v>-0.34013437099999999</v>
      </c>
      <c r="R224" s="43">
        <f t="shared" si="42"/>
        <v>0.11569139033556564</v>
      </c>
    </row>
    <row r="225" spans="1:18" ht="15.75" customHeight="1" x14ac:dyDescent="0.3">
      <c r="A225" s="47">
        <v>38207</v>
      </c>
      <c r="B225" s="48">
        <v>0</v>
      </c>
      <c r="C225" s="50">
        <v>0</v>
      </c>
      <c r="D225" s="10">
        <f t="shared" si="34"/>
        <v>-0.38980777739764078</v>
      </c>
      <c r="E225" s="10">
        <f t="shared" si="35"/>
        <v>-0.48607599697214554</v>
      </c>
      <c r="F225" s="10">
        <f t="shared" si="46"/>
        <v>0.15195010331968867</v>
      </c>
      <c r="G225" s="10">
        <f t="shared" si="46"/>
        <v>0.23626987483246525</v>
      </c>
      <c r="H225" s="11">
        <f t="shared" si="43"/>
        <v>0.18947620402605442</v>
      </c>
      <c r="I225" s="12">
        <f t="shared" si="44"/>
        <v>0</v>
      </c>
      <c r="J225" s="28">
        <f t="shared" si="45"/>
        <v>0</v>
      </c>
      <c r="K225" s="30">
        <f t="shared" si="36"/>
        <v>0</v>
      </c>
      <c r="L225" s="5"/>
      <c r="M225" s="30">
        <f t="shared" si="37"/>
        <v>0</v>
      </c>
      <c r="N225" s="42">
        <f t="shared" si="38"/>
        <v>0</v>
      </c>
      <c r="O225" s="43">
        <f t="shared" si="39"/>
        <v>0</v>
      </c>
      <c r="P225" s="43">
        <f t="shared" si="40"/>
        <v>-0.34013437099999999</v>
      </c>
      <c r="Q225" s="43">
        <f t="shared" si="41"/>
        <v>-0.34013437099999999</v>
      </c>
      <c r="R225" s="43">
        <f t="shared" si="42"/>
        <v>0.11569139033556564</v>
      </c>
    </row>
    <row r="226" spans="1:18" ht="15.75" customHeight="1" x14ac:dyDescent="0.3">
      <c r="A226" s="47">
        <v>38208</v>
      </c>
      <c r="B226" s="48">
        <v>0</v>
      </c>
      <c r="C226" s="50">
        <v>0</v>
      </c>
      <c r="D226" s="10">
        <f t="shared" si="34"/>
        <v>-0.38980777739764078</v>
      </c>
      <c r="E226" s="10">
        <f t="shared" si="35"/>
        <v>-0.48607599697214554</v>
      </c>
      <c r="F226" s="10">
        <f t="shared" si="46"/>
        <v>0.15195010331968867</v>
      </c>
      <c r="G226" s="10">
        <f t="shared" si="46"/>
        <v>0.23626987483246525</v>
      </c>
      <c r="H226" s="11">
        <f t="shared" si="43"/>
        <v>0.18947620402605442</v>
      </c>
      <c r="I226" s="12">
        <f t="shared" si="44"/>
        <v>0</v>
      </c>
      <c r="J226" s="28">
        <f t="shared" si="45"/>
        <v>0</v>
      </c>
      <c r="K226" s="30">
        <f t="shared" si="36"/>
        <v>0</v>
      </c>
      <c r="L226" s="5"/>
      <c r="M226" s="30">
        <f t="shared" si="37"/>
        <v>0</v>
      </c>
      <c r="N226" s="42">
        <f t="shared" si="38"/>
        <v>0</v>
      </c>
      <c r="O226" s="43">
        <f t="shared" si="39"/>
        <v>0</v>
      </c>
      <c r="P226" s="43">
        <f t="shared" si="40"/>
        <v>-0.34013437099999999</v>
      </c>
      <c r="Q226" s="43">
        <f t="shared" si="41"/>
        <v>-0.34013437099999999</v>
      </c>
      <c r="R226" s="43">
        <f t="shared" si="42"/>
        <v>0.11569139033556564</v>
      </c>
    </row>
    <row r="227" spans="1:18" ht="15.75" customHeight="1" x14ac:dyDescent="0.3">
      <c r="A227" s="47">
        <v>38209</v>
      </c>
      <c r="B227" s="48">
        <v>0</v>
      </c>
      <c r="C227" s="50">
        <v>0</v>
      </c>
      <c r="D227" s="10">
        <f t="shared" si="34"/>
        <v>-0.38980777739764078</v>
      </c>
      <c r="E227" s="10">
        <f t="shared" si="35"/>
        <v>-0.48607599697214554</v>
      </c>
      <c r="F227" s="10">
        <f t="shared" si="46"/>
        <v>0.15195010331968867</v>
      </c>
      <c r="G227" s="10">
        <f t="shared" si="46"/>
        <v>0.23626987483246525</v>
      </c>
      <c r="H227" s="11">
        <f t="shared" si="43"/>
        <v>0.18947620402605442</v>
      </c>
      <c r="I227" s="12">
        <f t="shared" si="44"/>
        <v>0</v>
      </c>
      <c r="J227" s="28">
        <f t="shared" si="45"/>
        <v>0</v>
      </c>
      <c r="K227" s="30">
        <f t="shared" si="36"/>
        <v>0</v>
      </c>
      <c r="L227" s="5"/>
      <c r="M227" s="30">
        <f t="shared" si="37"/>
        <v>0</v>
      </c>
      <c r="N227" s="42">
        <f t="shared" si="38"/>
        <v>0</v>
      </c>
      <c r="O227" s="43">
        <f t="shared" si="39"/>
        <v>0</v>
      </c>
      <c r="P227" s="43">
        <f t="shared" si="40"/>
        <v>-0.34013437099999999</v>
      </c>
      <c r="Q227" s="43">
        <f t="shared" si="41"/>
        <v>-0.34013437099999999</v>
      </c>
      <c r="R227" s="43">
        <f t="shared" si="42"/>
        <v>0.11569139033556564</v>
      </c>
    </row>
    <row r="228" spans="1:18" ht="15.75" customHeight="1" x14ac:dyDescent="0.3">
      <c r="A228" s="47">
        <v>38210</v>
      </c>
      <c r="B228" s="48">
        <v>0</v>
      </c>
      <c r="C228" s="50">
        <v>0</v>
      </c>
      <c r="D228" s="10">
        <f t="shared" si="34"/>
        <v>-0.38980777739764078</v>
      </c>
      <c r="E228" s="10">
        <f t="shared" si="35"/>
        <v>-0.48607599697214554</v>
      </c>
      <c r="F228" s="10">
        <f t="shared" si="46"/>
        <v>0.15195010331968867</v>
      </c>
      <c r="G228" s="10">
        <f t="shared" si="46"/>
        <v>0.23626987483246525</v>
      </c>
      <c r="H228" s="11">
        <f t="shared" si="43"/>
        <v>0.18947620402605442</v>
      </c>
      <c r="I228" s="12">
        <f t="shared" si="44"/>
        <v>0</v>
      </c>
      <c r="J228" s="28">
        <f t="shared" si="45"/>
        <v>0</v>
      </c>
      <c r="K228" s="30">
        <f t="shared" si="36"/>
        <v>0</v>
      </c>
      <c r="L228" s="5"/>
      <c r="M228" s="30">
        <f t="shared" si="37"/>
        <v>0</v>
      </c>
      <c r="N228" s="42">
        <f t="shared" si="38"/>
        <v>0</v>
      </c>
      <c r="O228" s="43">
        <f t="shared" si="39"/>
        <v>0</v>
      </c>
      <c r="P228" s="43">
        <f t="shared" si="40"/>
        <v>-0.34013437099999999</v>
      </c>
      <c r="Q228" s="43">
        <f t="shared" si="41"/>
        <v>-0.34013437099999999</v>
      </c>
      <c r="R228" s="43">
        <f t="shared" si="42"/>
        <v>0.11569139033556564</v>
      </c>
    </row>
    <row r="229" spans="1:18" ht="15.75" customHeight="1" x14ac:dyDescent="0.3">
      <c r="A229" s="47">
        <v>38211</v>
      </c>
      <c r="B229" s="48">
        <v>0</v>
      </c>
      <c r="C229" s="50">
        <v>0</v>
      </c>
      <c r="D229" s="10">
        <f t="shared" si="34"/>
        <v>-0.38980777739764078</v>
      </c>
      <c r="E229" s="10">
        <f t="shared" si="35"/>
        <v>-0.48607599697214554</v>
      </c>
      <c r="F229" s="10">
        <f t="shared" si="46"/>
        <v>0.15195010331968867</v>
      </c>
      <c r="G229" s="10">
        <f t="shared" si="46"/>
        <v>0.23626987483246525</v>
      </c>
      <c r="H229" s="11">
        <f t="shared" si="43"/>
        <v>0.18947620402605442</v>
      </c>
      <c r="I229" s="12">
        <f t="shared" si="44"/>
        <v>0</v>
      </c>
      <c r="J229" s="28">
        <f t="shared" si="45"/>
        <v>0</v>
      </c>
      <c r="K229" s="30">
        <f t="shared" si="36"/>
        <v>0</v>
      </c>
      <c r="L229" s="5"/>
      <c r="M229" s="30">
        <f t="shared" si="37"/>
        <v>0</v>
      </c>
      <c r="N229" s="42">
        <f t="shared" si="38"/>
        <v>0</v>
      </c>
      <c r="O229" s="43">
        <f t="shared" si="39"/>
        <v>0</v>
      </c>
      <c r="P229" s="43">
        <f t="shared" si="40"/>
        <v>-0.34013437099999999</v>
      </c>
      <c r="Q229" s="43">
        <f t="shared" si="41"/>
        <v>-0.34013437099999999</v>
      </c>
      <c r="R229" s="43">
        <f t="shared" si="42"/>
        <v>0.11569139033556564</v>
      </c>
    </row>
    <row r="230" spans="1:18" ht="15.75" customHeight="1" x14ac:dyDescent="0.3">
      <c r="A230" s="47">
        <v>38212</v>
      </c>
      <c r="B230" s="48">
        <v>0</v>
      </c>
      <c r="C230" s="50">
        <v>0</v>
      </c>
      <c r="D230" s="10">
        <f t="shared" si="34"/>
        <v>-0.38980777739764078</v>
      </c>
      <c r="E230" s="10">
        <f t="shared" si="35"/>
        <v>-0.48607599697214554</v>
      </c>
      <c r="F230" s="10">
        <f t="shared" si="46"/>
        <v>0.15195010331968867</v>
      </c>
      <c r="G230" s="10">
        <f t="shared" si="46"/>
        <v>0.23626987483246525</v>
      </c>
      <c r="H230" s="11">
        <f t="shared" si="43"/>
        <v>0.18947620402605442</v>
      </c>
      <c r="I230" s="12">
        <f t="shared" si="44"/>
        <v>0</v>
      </c>
      <c r="J230" s="28">
        <f t="shared" si="45"/>
        <v>0</v>
      </c>
      <c r="K230" s="30">
        <f t="shared" si="36"/>
        <v>0</v>
      </c>
      <c r="L230" s="5"/>
      <c r="M230" s="30">
        <f t="shared" si="37"/>
        <v>0</v>
      </c>
      <c r="N230" s="42">
        <f t="shared" si="38"/>
        <v>0</v>
      </c>
      <c r="O230" s="43">
        <f t="shared" si="39"/>
        <v>0</v>
      </c>
      <c r="P230" s="43">
        <f t="shared" si="40"/>
        <v>-0.34013437099999999</v>
      </c>
      <c r="Q230" s="43">
        <f t="shared" si="41"/>
        <v>-0.34013437099999999</v>
      </c>
      <c r="R230" s="43">
        <f t="shared" si="42"/>
        <v>0.11569139033556564</v>
      </c>
    </row>
    <row r="231" spans="1:18" ht="15.75" customHeight="1" x14ac:dyDescent="0.3">
      <c r="A231" s="47">
        <v>38213</v>
      </c>
      <c r="B231" s="48">
        <v>0</v>
      </c>
      <c r="C231" s="50">
        <v>0</v>
      </c>
      <c r="D231" s="10">
        <f t="shared" si="34"/>
        <v>-0.38980777739764078</v>
      </c>
      <c r="E231" s="10">
        <f t="shared" si="35"/>
        <v>-0.48607599697214554</v>
      </c>
      <c r="F231" s="10">
        <f t="shared" si="46"/>
        <v>0.15195010331968867</v>
      </c>
      <c r="G231" s="10">
        <f t="shared" si="46"/>
        <v>0.23626987483246525</v>
      </c>
      <c r="H231" s="11">
        <f t="shared" si="43"/>
        <v>0.18947620402605442</v>
      </c>
      <c r="I231" s="12">
        <f t="shared" si="44"/>
        <v>0</v>
      </c>
      <c r="J231" s="28">
        <f t="shared" si="45"/>
        <v>0</v>
      </c>
      <c r="K231" s="30">
        <f t="shared" si="36"/>
        <v>0</v>
      </c>
      <c r="L231" s="5"/>
      <c r="M231" s="30">
        <f t="shared" si="37"/>
        <v>0</v>
      </c>
      <c r="N231" s="42">
        <f t="shared" si="38"/>
        <v>0</v>
      </c>
      <c r="O231" s="43">
        <f t="shared" si="39"/>
        <v>0</v>
      </c>
      <c r="P231" s="43">
        <f t="shared" si="40"/>
        <v>-0.34013437099999999</v>
      </c>
      <c r="Q231" s="43">
        <f t="shared" si="41"/>
        <v>-0.34013437099999999</v>
      </c>
      <c r="R231" s="43">
        <f t="shared" si="42"/>
        <v>0.11569139033556564</v>
      </c>
    </row>
    <row r="232" spans="1:18" ht="15.75" customHeight="1" x14ac:dyDescent="0.3">
      <c r="A232" s="47">
        <v>38214</v>
      </c>
      <c r="B232" s="48">
        <v>0</v>
      </c>
      <c r="C232" s="50">
        <v>0</v>
      </c>
      <c r="D232" s="10">
        <f t="shared" si="34"/>
        <v>-0.38980777739764078</v>
      </c>
      <c r="E232" s="10">
        <f t="shared" si="35"/>
        <v>-0.48607599697214554</v>
      </c>
      <c r="F232" s="10">
        <f t="shared" si="46"/>
        <v>0.15195010331968867</v>
      </c>
      <c r="G232" s="10">
        <f t="shared" si="46"/>
        <v>0.23626987483246525</v>
      </c>
      <c r="H232" s="11">
        <f t="shared" si="43"/>
        <v>0.18947620402605442</v>
      </c>
      <c r="I232" s="12">
        <f t="shared" si="44"/>
        <v>0</v>
      </c>
      <c r="J232" s="28">
        <f t="shared" si="45"/>
        <v>0</v>
      </c>
      <c r="K232" s="30">
        <f t="shared" si="36"/>
        <v>0</v>
      </c>
      <c r="L232" s="5"/>
      <c r="M232" s="30">
        <f t="shared" si="37"/>
        <v>0</v>
      </c>
      <c r="N232" s="42">
        <f t="shared" si="38"/>
        <v>0</v>
      </c>
      <c r="O232" s="43">
        <f t="shared" si="39"/>
        <v>0</v>
      </c>
      <c r="P232" s="43">
        <f t="shared" si="40"/>
        <v>-0.34013437099999999</v>
      </c>
      <c r="Q232" s="43">
        <f t="shared" si="41"/>
        <v>-0.34013437099999999</v>
      </c>
      <c r="R232" s="43">
        <f t="shared" si="42"/>
        <v>0.11569139033556564</v>
      </c>
    </row>
    <row r="233" spans="1:18" ht="15.75" customHeight="1" x14ac:dyDescent="0.3">
      <c r="A233" s="47">
        <v>38215</v>
      </c>
      <c r="B233" s="48">
        <v>0</v>
      </c>
      <c r="C233" s="50">
        <v>0</v>
      </c>
      <c r="D233" s="10">
        <f t="shared" si="34"/>
        <v>-0.38980777739764078</v>
      </c>
      <c r="E233" s="10">
        <f t="shared" si="35"/>
        <v>-0.48607599697214554</v>
      </c>
      <c r="F233" s="10">
        <f t="shared" si="46"/>
        <v>0.15195010331968867</v>
      </c>
      <c r="G233" s="10">
        <f t="shared" si="46"/>
        <v>0.23626987483246525</v>
      </c>
      <c r="H233" s="11">
        <f t="shared" si="43"/>
        <v>0.18947620402605442</v>
      </c>
      <c r="I233" s="12">
        <f t="shared" si="44"/>
        <v>0</v>
      </c>
      <c r="J233" s="28">
        <f t="shared" si="45"/>
        <v>0</v>
      </c>
      <c r="K233" s="30">
        <f t="shared" si="36"/>
        <v>0</v>
      </c>
      <c r="L233" s="5"/>
      <c r="M233" s="30">
        <f t="shared" si="37"/>
        <v>0</v>
      </c>
      <c r="N233" s="42">
        <f t="shared" si="38"/>
        <v>0</v>
      </c>
      <c r="O233" s="43">
        <f t="shared" si="39"/>
        <v>0</v>
      </c>
      <c r="P233" s="43">
        <f t="shared" si="40"/>
        <v>-0.34013437099999999</v>
      </c>
      <c r="Q233" s="43">
        <f t="shared" si="41"/>
        <v>-0.34013437099999999</v>
      </c>
      <c r="R233" s="43">
        <f t="shared" si="42"/>
        <v>0.11569139033556564</v>
      </c>
    </row>
    <row r="234" spans="1:18" ht="15.75" customHeight="1" x14ac:dyDescent="0.3">
      <c r="A234" s="47">
        <v>38216</v>
      </c>
      <c r="B234" s="48">
        <v>0</v>
      </c>
      <c r="C234" s="50">
        <v>0</v>
      </c>
      <c r="D234" s="10">
        <f t="shared" si="34"/>
        <v>-0.38980777739764078</v>
      </c>
      <c r="E234" s="10">
        <f t="shared" si="35"/>
        <v>-0.48607599697214554</v>
      </c>
      <c r="F234" s="10">
        <f t="shared" si="46"/>
        <v>0.15195010331968867</v>
      </c>
      <c r="G234" s="10">
        <f t="shared" si="46"/>
        <v>0.23626987483246525</v>
      </c>
      <c r="H234" s="11">
        <f t="shared" si="43"/>
        <v>0.18947620402605442</v>
      </c>
      <c r="I234" s="12">
        <f t="shared" si="44"/>
        <v>0</v>
      </c>
      <c r="J234" s="28">
        <f t="shared" si="45"/>
        <v>0</v>
      </c>
      <c r="K234" s="30">
        <f t="shared" si="36"/>
        <v>0</v>
      </c>
      <c r="L234" s="5"/>
      <c r="M234" s="30">
        <f t="shared" si="37"/>
        <v>0</v>
      </c>
      <c r="N234" s="42">
        <f t="shared" si="38"/>
        <v>0</v>
      </c>
      <c r="O234" s="43">
        <f t="shared" si="39"/>
        <v>0</v>
      </c>
      <c r="P234" s="43">
        <f t="shared" si="40"/>
        <v>-0.34013437099999999</v>
      </c>
      <c r="Q234" s="43">
        <f t="shared" si="41"/>
        <v>-0.34013437099999999</v>
      </c>
      <c r="R234" s="43">
        <f t="shared" si="42"/>
        <v>0.11569139033556564</v>
      </c>
    </row>
    <row r="235" spans="1:18" ht="15.75" customHeight="1" x14ac:dyDescent="0.3">
      <c r="A235" s="47">
        <v>38217</v>
      </c>
      <c r="B235" s="48">
        <v>0</v>
      </c>
      <c r="C235" s="50">
        <v>0</v>
      </c>
      <c r="D235" s="10">
        <f t="shared" si="34"/>
        <v>-0.38980777739764078</v>
      </c>
      <c r="E235" s="10">
        <f t="shared" si="35"/>
        <v>-0.48607599697214554</v>
      </c>
      <c r="F235" s="10">
        <f t="shared" si="46"/>
        <v>0.15195010331968867</v>
      </c>
      <c r="G235" s="10">
        <f t="shared" si="46"/>
        <v>0.23626987483246525</v>
      </c>
      <c r="H235" s="11">
        <f t="shared" si="43"/>
        <v>0.18947620402605442</v>
      </c>
      <c r="I235" s="12">
        <f t="shared" si="44"/>
        <v>0</v>
      </c>
      <c r="J235" s="28">
        <f t="shared" si="45"/>
        <v>0</v>
      </c>
      <c r="K235" s="30">
        <f t="shared" si="36"/>
        <v>0</v>
      </c>
      <c r="L235" s="5"/>
      <c r="M235" s="30">
        <f t="shared" si="37"/>
        <v>0</v>
      </c>
      <c r="N235" s="42">
        <f t="shared" si="38"/>
        <v>0</v>
      </c>
      <c r="O235" s="43">
        <f t="shared" si="39"/>
        <v>0</v>
      </c>
      <c r="P235" s="43">
        <f t="shared" si="40"/>
        <v>-0.34013437099999999</v>
      </c>
      <c r="Q235" s="43">
        <f t="shared" si="41"/>
        <v>-0.34013437099999999</v>
      </c>
      <c r="R235" s="43">
        <f t="shared" si="42"/>
        <v>0.11569139033556564</v>
      </c>
    </row>
    <row r="236" spans="1:18" ht="15.75" customHeight="1" x14ac:dyDescent="0.3">
      <c r="A236" s="47">
        <v>38218</v>
      </c>
      <c r="B236" s="48">
        <v>0</v>
      </c>
      <c r="C236" s="50">
        <v>0</v>
      </c>
      <c r="D236" s="10">
        <f t="shared" si="34"/>
        <v>-0.38980777739764078</v>
      </c>
      <c r="E236" s="10">
        <f t="shared" si="35"/>
        <v>-0.48607599697214554</v>
      </c>
      <c r="F236" s="10">
        <f t="shared" si="46"/>
        <v>0.15195010331968867</v>
      </c>
      <c r="G236" s="10">
        <f t="shared" si="46"/>
        <v>0.23626987483246525</v>
      </c>
      <c r="H236" s="11">
        <f t="shared" si="43"/>
        <v>0.18947620402605442</v>
      </c>
      <c r="I236" s="12">
        <f t="shared" si="44"/>
        <v>0</v>
      </c>
      <c r="J236" s="28">
        <f t="shared" si="45"/>
        <v>0</v>
      </c>
      <c r="K236" s="30">
        <f t="shared" si="36"/>
        <v>0</v>
      </c>
      <c r="L236" s="5"/>
      <c r="M236" s="30">
        <f t="shared" si="37"/>
        <v>0</v>
      </c>
      <c r="N236" s="42">
        <f t="shared" si="38"/>
        <v>0</v>
      </c>
      <c r="O236" s="43">
        <f t="shared" si="39"/>
        <v>0</v>
      </c>
      <c r="P236" s="43">
        <f t="shared" si="40"/>
        <v>-0.34013437099999999</v>
      </c>
      <c r="Q236" s="43">
        <f t="shared" si="41"/>
        <v>-0.34013437099999999</v>
      </c>
      <c r="R236" s="43">
        <f t="shared" si="42"/>
        <v>0.11569139033556564</v>
      </c>
    </row>
    <row r="237" spans="1:18" ht="15.75" customHeight="1" x14ac:dyDescent="0.3">
      <c r="A237" s="47">
        <v>38219</v>
      </c>
      <c r="B237" s="48">
        <v>0</v>
      </c>
      <c r="C237" s="50">
        <v>0</v>
      </c>
      <c r="D237" s="10">
        <f t="shared" si="34"/>
        <v>-0.38980777739764078</v>
      </c>
      <c r="E237" s="10">
        <f t="shared" si="35"/>
        <v>-0.48607599697214554</v>
      </c>
      <c r="F237" s="10">
        <f t="shared" si="46"/>
        <v>0.15195010331968867</v>
      </c>
      <c r="G237" s="10">
        <f t="shared" si="46"/>
        <v>0.23626987483246525</v>
      </c>
      <c r="H237" s="11">
        <f t="shared" si="43"/>
        <v>0.18947620402605442</v>
      </c>
      <c r="I237" s="12">
        <f t="shared" si="44"/>
        <v>0</v>
      </c>
      <c r="J237" s="28">
        <f t="shared" si="45"/>
        <v>0</v>
      </c>
      <c r="K237" s="30">
        <f t="shared" si="36"/>
        <v>0</v>
      </c>
      <c r="L237" s="5"/>
      <c r="M237" s="30">
        <f t="shared" si="37"/>
        <v>0</v>
      </c>
      <c r="N237" s="42">
        <f t="shared" si="38"/>
        <v>0</v>
      </c>
      <c r="O237" s="43">
        <f t="shared" si="39"/>
        <v>0</v>
      </c>
      <c r="P237" s="43">
        <f t="shared" si="40"/>
        <v>-0.34013437099999999</v>
      </c>
      <c r="Q237" s="43">
        <f t="shared" si="41"/>
        <v>-0.34013437099999999</v>
      </c>
      <c r="R237" s="43">
        <f t="shared" si="42"/>
        <v>0.11569139033556564</v>
      </c>
    </row>
    <row r="238" spans="1:18" ht="15.75" customHeight="1" x14ac:dyDescent="0.3">
      <c r="A238" s="47">
        <v>38220</v>
      </c>
      <c r="B238" s="48">
        <v>0</v>
      </c>
      <c r="C238" s="50">
        <v>0</v>
      </c>
      <c r="D238" s="10">
        <f t="shared" si="34"/>
        <v>-0.38980777739764078</v>
      </c>
      <c r="E238" s="10">
        <f t="shared" si="35"/>
        <v>-0.48607599697214554</v>
      </c>
      <c r="F238" s="10">
        <f t="shared" si="46"/>
        <v>0.15195010331968867</v>
      </c>
      <c r="G238" s="10">
        <f t="shared" si="46"/>
        <v>0.23626987483246525</v>
      </c>
      <c r="H238" s="11">
        <f t="shared" si="43"/>
        <v>0.18947620402605442</v>
      </c>
      <c r="I238" s="12">
        <f t="shared" si="44"/>
        <v>0</v>
      </c>
      <c r="J238" s="28">
        <f t="shared" si="45"/>
        <v>0</v>
      </c>
      <c r="K238" s="30">
        <f t="shared" si="36"/>
        <v>0</v>
      </c>
      <c r="L238" s="5"/>
      <c r="M238" s="30">
        <f t="shared" si="37"/>
        <v>0</v>
      </c>
      <c r="N238" s="42">
        <f t="shared" si="38"/>
        <v>0</v>
      </c>
      <c r="O238" s="43">
        <f t="shared" si="39"/>
        <v>0</v>
      </c>
      <c r="P238" s="43">
        <f t="shared" si="40"/>
        <v>-0.34013437099999999</v>
      </c>
      <c r="Q238" s="43">
        <f t="shared" si="41"/>
        <v>-0.34013437099999999</v>
      </c>
      <c r="R238" s="43">
        <f t="shared" si="42"/>
        <v>0.11569139033556564</v>
      </c>
    </row>
    <row r="239" spans="1:18" ht="15.75" customHeight="1" x14ac:dyDescent="0.3">
      <c r="A239" s="47">
        <v>38221</v>
      </c>
      <c r="B239" s="48">
        <v>0</v>
      </c>
      <c r="C239" s="50">
        <v>0</v>
      </c>
      <c r="D239" s="10">
        <f t="shared" si="34"/>
        <v>-0.38980777739764078</v>
      </c>
      <c r="E239" s="10">
        <f t="shared" si="35"/>
        <v>-0.48607599697214554</v>
      </c>
      <c r="F239" s="10">
        <f t="shared" si="46"/>
        <v>0.15195010331968867</v>
      </c>
      <c r="G239" s="10">
        <f t="shared" si="46"/>
        <v>0.23626987483246525</v>
      </c>
      <c r="H239" s="11">
        <f t="shared" si="43"/>
        <v>0.18947620402605442</v>
      </c>
      <c r="I239" s="12">
        <f t="shared" si="44"/>
        <v>0</v>
      </c>
      <c r="J239" s="28">
        <f t="shared" si="45"/>
        <v>0</v>
      </c>
      <c r="K239" s="30">
        <f t="shared" si="36"/>
        <v>0</v>
      </c>
      <c r="L239" s="5"/>
      <c r="M239" s="30">
        <f t="shared" si="37"/>
        <v>0</v>
      </c>
      <c r="N239" s="42">
        <f t="shared" si="38"/>
        <v>0</v>
      </c>
      <c r="O239" s="43">
        <f t="shared" si="39"/>
        <v>0</v>
      </c>
      <c r="P239" s="43">
        <f t="shared" si="40"/>
        <v>-0.34013437099999999</v>
      </c>
      <c r="Q239" s="43">
        <f t="shared" si="41"/>
        <v>-0.34013437099999999</v>
      </c>
      <c r="R239" s="43">
        <f t="shared" si="42"/>
        <v>0.11569139033556564</v>
      </c>
    </row>
    <row r="240" spans="1:18" ht="15.75" customHeight="1" x14ac:dyDescent="0.3">
      <c r="A240" s="47">
        <v>38222</v>
      </c>
      <c r="B240" s="48">
        <v>0</v>
      </c>
      <c r="C240" s="50">
        <v>0</v>
      </c>
      <c r="D240" s="10">
        <f t="shared" si="34"/>
        <v>-0.38980777739764078</v>
      </c>
      <c r="E240" s="10">
        <f t="shared" si="35"/>
        <v>-0.48607599697214554</v>
      </c>
      <c r="F240" s="10">
        <f t="shared" si="46"/>
        <v>0.15195010331968867</v>
      </c>
      <c r="G240" s="10">
        <f t="shared" si="46"/>
        <v>0.23626987483246525</v>
      </c>
      <c r="H240" s="11">
        <f t="shared" si="43"/>
        <v>0.18947620402605442</v>
      </c>
      <c r="I240" s="12">
        <f t="shared" si="44"/>
        <v>0</v>
      </c>
      <c r="J240" s="28">
        <f t="shared" si="45"/>
        <v>0</v>
      </c>
      <c r="K240" s="30">
        <f t="shared" si="36"/>
        <v>0</v>
      </c>
      <c r="L240" s="5"/>
      <c r="M240" s="30">
        <f t="shared" si="37"/>
        <v>0</v>
      </c>
      <c r="N240" s="42">
        <f t="shared" si="38"/>
        <v>0</v>
      </c>
      <c r="O240" s="43">
        <f t="shared" si="39"/>
        <v>0</v>
      </c>
      <c r="P240" s="43">
        <f t="shared" si="40"/>
        <v>-0.34013437099999999</v>
      </c>
      <c r="Q240" s="43">
        <f t="shared" si="41"/>
        <v>-0.34013437099999999</v>
      </c>
      <c r="R240" s="43">
        <f t="shared" si="42"/>
        <v>0.11569139033556564</v>
      </c>
    </row>
    <row r="241" spans="1:18" ht="15.75" customHeight="1" x14ac:dyDescent="0.3">
      <c r="A241" s="47">
        <v>38223</v>
      </c>
      <c r="B241" s="48">
        <v>0</v>
      </c>
      <c r="C241" s="50">
        <v>0</v>
      </c>
      <c r="D241" s="10">
        <f t="shared" si="34"/>
        <v>-0.38980777739764078</v>
      </c>
      <c r="E241" s="10">
        <f t="shared" si="35"/>
        <v>-0.48607599697214554</v>
      </c>
      <c r="F241" s="10">
        <f t="shared" si="46"/>
        <v>0.15195010331968867</v>
      </c>
      <c r="G241" s="10">
        <f t="shared" si="46"/>
        <v>0.23626987483246525</v>
      </c>
      <c r="H241" s="11">
        <f t="shared" si="43"/>
        <v>0.18947620402605442</v>
      </c>
      <c r="I241" s="12">
        <f t="shared" si="44"/>
        <v>0</v>
      </c>
      <c r="J241" s="28">
        <f t="shared" si="45"/>
        <v>0</v>
      </c>
      <c r="K241" s="30">
        <f t="shared" si="36"/>
        <v>0</v>
      </c>
      <c r="L241" s="5"/>
      <c r="M241" s="30">
        <f t="shared" si="37"/>
        <v>0</v>
      </c>
      <c r="N241" s="42">
        <f t="shared" si="38"/>
        <v>0</v>
      </c>
      <c r="O241" s="43">
        <f t="shared" si="39"/>
        <v>0</v>
      </c>
      <c r="P241" s="43">
        <f t="shared" si="40"/>
        <v>-0.34013437099999999</v>
      </c>
      <c r="Q241" s="43">
        <f t="shared" si="41"/>
        <v>-0.34013437099999999</v>
      </c>
      <c r="R241" s="43">
        <f t="shared" si="42"/>
        <v>0.11569139033556564</v>
      </c>
    </row>
    <row r="242" spans="1:18" ht="15.75" customHeight="1" x14ac:dyDescent="0.3">
      <c r="A242" s="47">
        <v>38224</v>
      </c>
      <c r="B242" s="48">
        <v>0</v>
      </c>
      <c r="C242" s="50">
        <v>0</v>
      </c>
      <c r="D242" s="10">
        <f t="shared" si="34"/>
        <v>-0.38980777739764078</v>
      </c>
      <c r="E242" s="10">
        <f t="shared" si="35"/>
        <v>-0.48607599697214554</v>
      </c>
      <c r="F242" s="10">
        <f t="shared" si="46"/>
        <v>0.15195010331968867</v>
      </c>
      <c r="G242" s="10">
        <f t="shared" si="46"/>
        <v>0.23626987483246525</v>
      </c>
      <c r="H242" s="11">
        <f t="shared" si="43"/>
        <v>0.18947620402605442</v>
      </c>
      <c r="I242" s="12">
        <f t="shared" si="44"/>
        <v>0</v>
      </c>
      <c r="J242" s="28">
        <f t="shared" si="45"/>
        <v>0</v>
      </c>
      <c r="K242" s="30">
        <f t="shared" si="36"/>
        <v>0</v>
      </c>
      <c r="L242" s="5"/>
      <c r="M242" s="30">
        <f t="shared" si="37"/>
        <v>0</v>
      </c>
      <c r="N242" s="42">
        <f t="shared" si="38"/>
        <v>0</v>
      </c>
      <c r="O242" s="43">
        <f t="shared" si="39"/>
        <v>0</v>
      </c>
      <c r="P242" s="43">
        <f t="shared" si="40"/>
        <v>-0.34013437099999999</v>
      </c>
      <c r="Q242" s="43">
        <f t="shared" si="41"/>
        <v>-0.34013437099999999</v>
      </c>
      <c r="R242" s="43">
        <f t="shared" si="42"/>
        <v>0.11569139033556564</v>
      </c>
    </row>
    <row r="243" spans="1:18" ht="15.75" customHeight="1" x14ac:dyDescent="0.3">
      <c r="A243" s="47">
        <v>38225</v>
      </c>
      <c r="B243" s="48">
        <v>0</v>
      </c>
      <c r="C243" s="50">
        <v>0</v>
      </c>
      <c r="D243" s="10">
        <f t="shared" si="34"/>
        <v>-0.38980777739764078</v>
      </c>
      <c r="E243" s="10">
        <f t="shared" si="35"/>
        <v>-0.48607599697214554</v>
      </c>
      <c r="F243" s="10">
        <f t="shared" si="46"/>
        <v>0.15195010331968867</v>
      </c>
      <c r="G243" s="10">
        <f t="shared" si="46"/>
        <v>0.23626987483246525</v>
      </c>
      <c r="H243" s="11">
        <f t="shared" si="43"/>
        <v>0.18947620402605442</v>
      </c>
      <c r="I243" s="12">
        <f t="shared" si="44"/>
        <v>0</v>
      </c>
      <c r="J243" s="28">
        <f t="shared" si="45"/>
        <v>0</v>
      </c>
      <c r="K243" s="30">
        <f t="shared" si="36"/>
        <v>0</v>
      </c>
      <c r="L243" s="5"/>
      <c r="M243" s="30">
        <f t="shared" si="37"/>
        <v>0</v>
      </c>
      <c r="N243" s="42">
        <f t="shared" si="38"/>
        <v>0</v>
      </c>
      <c r="O243" s="43">
        <f t="shared" si="39"/>
        <v>0</v>
      </c>
      <c r="P243" s="43">
        <f t="shared" si="40"/>
        <v>-0.34013437099999999</v>
      </c>
      <c r="Q243" s="43">
        <f t="shared" si="41"/>
        <v>-0.34013437099999999</v>
      </c>
      <c r="R243" s="43">
        <f t="shared" si="42"/>
        <v>0.11569139033556564</v>
      </c>
    </row>
    <row r="244" spans="1:18" ht="15.75" customHeight="1" x14ac:dyDescent="0.3">
      <c r="A244" s="47">
        <v>38226</v>
      </c>
      <c r="B244" s="48">
        <v>0</v>
      </c>
      <c r="C244" s="50">
        <v>0</v>
      </c>
      <c r="D244" s="10">
        <f t="shared" si="34"/>
        <v>-0.38980777739764078</v>
      </c>
      <c r="E244" s="10">
        <f t="shared" si="35"/>
        <v>-0.48607599697214554</v>
      </c>
      <c r="F244" s="10">
        <f t="shared" si="46"/>
        <v>0.15195010331968867</v>
      </c>
      <c r="G244" s="10">
        <f t="shared" si="46"/>
        <v>0.23626987483246525</v>
      </c>
      <c r="H244" s="11">
        <f t="shared" si="43"/>
        <v>0.18947620402605442</v>
      </c>
      <c r="I244" s="12">
        <f t="shared" si="44"/>
        <v>0</v>
      </c>
      <c r="J244" s="28">
        <f t="shared" si="45"/>
        <v>0</v>
      </c>
      <c r="K244" s="30">
        <f t="shared" si="36"/>
        <v>0</v>
      </c>
      <c r="L244" s="5"/>
      <c r="M244" s="30">
        <f t="shared" si="37"/>
        <v>0</v>
      </c>
      <c r="N244" s="42">
        <f t="shared" si="38"/>
        <v>0</v>
      </c>
      <c r="O244" s="43">
        <f t="shared" si="39"/>
        <v>0</v>
      </c>
      <c r="P244" s="43">
        <f t="shared" si="40"/>
        <v>-0.34013437099999999</v>
      </c>
      <c r="Q244" s="43">
        <f t="shared" si="41"/>
        <v>-0.34013437099999999</v>
      </c>
      <c r="R244" s="43">
        <f t="shared" si="42"/>
        <v>0.11569139033556564</v>
      </c>
    </row>
    <row r="245" spans="1:18" ht="15.75" customHeight="1" x14ac:dyDescent="0.3">
      <c r="A245" s="47">
        <v>38227</v>
      </c>
      <c r="B245" s="48">
        <v>0</v>
      </c>
      <c r="C245" s="50">
        <v>8.919286192394793E-4</v>
      </c>
      <c r="D245" s="10">
        <f t="shared" si="34"/>
        <v>-0.38980777739764078</v>
      </c>
      <c r="E245" s="10">
        <f t="shared" si="35"/>
        <v>-0.48518406835290606</v>
      </c>
      <c r="F245" s="10">
        <f t="shared" si="46"/>
        <v>0.15195010331968867</v>
      </c>
      <c r="G245" s="10">
        <f t="shared" si="46"/>
        <v>0.23540358018347743</v>
      </c>
      <c r="H245" s="11">
        <f t="shared" si="43"/>
        <v>0.18912852331339133</v>
      </c>
      <c r="I245" s="12">
        <f t="shared" si="44"/>
        <v>8.919286192394793E-4</v>
      </c>
      <c r="J245" s="28">
        <f t="shared" si="45"/>
        <v>7.9553666181844405E-7</v>
      </c>
      <c r="K245" s="30">
        <f t="shared" si="36"/>
        <v>8.919286192394793E-4</v>
      </c>
      <c r="L245" s="5"/>
      <c r="M245" s="30">
        <f t="shared" si="37"/>
        <v>-8.919286192394793E-4</v>
      </c>
      <c r="N245" s="42">
        <f t="shared" si="38"/>
        <v>-8.919286192394793E-4</v>
      </c>
      <c r="O245" s="43">
        <f t="shared" si="39"/>
        <v>7.9553666181844405E-7</v>
      </c>
      <c r="P245" s="43">
        <f t="shared" si="40"/>
        <v>-0.34013437099999999</v>
      </c>
      <c r="Q245" s="43">
        <f t="shared" si="41"/>
        <v>-0.34013437099999999</v>
      </c>
      <c r="R245" s="43">
        <f t="shared" si="42"/>
        <v>0.11569139033556564</v>
      </c>
    </row>
    <row r="246" spans="1:18" ht="15.75" customHeight="1" x14ac:dyDescent="0.3">
      <c r="A246" s="47">
        <v>38228</v>
      </c>
      <c r="B246" s="48">
        <v>0</v>
      </c>
      <c r="C246" s="50">
        <v>0</v>
      </c>
      <c r="D246" s="10">
        <f t="shared" si="34"/>
        <v>-0.38980777739764078</v>
      </c>
      <c r="E246" s="10">
        <f t="shared" si="35"/>
        <v>-0.48607599697214554</v>
      </c>
      <c r="F246" s="10">
        <f t="shared" si="46"/>
        <v>0.15195010331968867</v>
      </c>
      <c r="G246" s="10">
        <f t="shared" si="46"/>
        <v>0.23626987483246525</v>
      </c>
      <c r="H246" s="11">
        <f t="shared" si="43"/>
        <v>0.18947620402605442</v>
      </c>
      <c r="I246" s="12">
        <f t="shared" si="44"/>
        <v>0</v>
      </c>
      <c r="J246" s="28">
        <f t="shared" si="45"/>
        <v>0</v>
      </c>
      <c r="K246" s="30">
        <f t="shared" si="36"/>
        <v>0</v>
      </c>
      <c r="L246" s="5"/>
      <c r="M246" s="30">
        <f t="shared" si="37"/>
        <v>0</v>
      </c>
      <c r="N246" s="42">
        <f t="shared" si="38"/>
        <v>0</v>
      </c>
      <c r="O246" s="43">
        <f t="shared" si="39"/>
        <v>0</v>
      </c>
      <c r="P246" s="43">
        <f t="shared" si="40"/>
        <v>-0.34013437099999999</v>
      </c>
      <c r="Q246" s="43">
        <f t="shared" si="41"/>
        <v>-0.34013437099999999</v>
      </c>
      <c r="R246" s="43">
        <f t="shared" si="42"/>
        <v>0.11569139033556564</v>
      </c>
    </row>
    <row r="247" spans="1:18" ht="15.75" customHeight="1" x14ac:dyDescent="0.3">
      <c r="A247" s="47">
        <v>38229</v>
      </c>
      <c r="B247" s="48">
        <v>0</v>
      </c>
      <c r="C247" s="50">
        <v>0</v>
      </c>
      <c r="D247" s="10">
        <f t="shared" si="34"/>
        <v>-0.38980777739764078</v>
      </c>
      <c r="E247" s="10">
        <f t="shared" si="35"/>
        <v>-0.48607599697214554</v>
      </c>
      <c r="F247" s="10">
        <f t="shared" si="46"/>
        <v>0.15195010331968867</v>
      </c>
      <c r="G247" s="10">
        <f t="shared" si="46"/>
        <v>0.23626987483246525</v>
      </c>
      <c r="H247" s="11">
        <f t="shared" si="43"/>
        <v>0.18947620402605442</v>
      </c>
      <c r="I247" s="12">
        <f t="shared" si="44"/>
        <v>0</v>
      </c>
      <c r="J247" s="28">
        <f t="shared" si="45"/>
        <v>0</v>
      </c>
      <c r="K247" s="30">
        <f t="shared" si="36"/>
        <v>0</v>
      </c>
      <c r="L247" s="5"/>
      <c r="M247" s="30">
        <f t="shared" si="37"/>
        <v>0</v>
      </c>
      <c r="N247" s="42">
        <f t="shared" si="38"/>
        <v>0</v>
      </c>
      <c r="O247" s="43">
        <f t="shared" si="39"/>
        <v>0</v>
      </c>
      <c r="P247" s="43">
        <f t="shared" si="40"/>
        <v>-0.34013437099999999</v>
      </c>
      <c r="Q247" s="43">
        <f t="shared" si="41"/>
        <v>-0.34013437099999999</v>
      </c>
      <c r="R247" s="43">
        <f t="shared" si="42"/>
        <v>0.11569139033556564</v>
      </c>
    </row>
    <row r="248" spans="1:18" ht="15.75" customHeight="1" x14ac:dyDescent="0.3">
      <c r="A248" s="47">
        <v>38230</v>
      </c>
      <c r="B248" s="48">
        <v>0</v>
      </c>
      <c r="C248" s="50">
        <v>0</v>
      </c>
      <c r="D248" s="10">
        <f t="shared" si="34"/>
        <v>-0.38980777739764078</v>
      </c>
      <c r="E248" s="10">
        <f t="shared" si="35"/>
        <v>-0.48607599697214554</v>
      </c>
      <c r="F248" s="10">
        <f t="shared" si="46"/>
        <v>0.15195010331968867</v>
      </c>
      <c r="G248" s="10">
        <f t="shared" si="46"/>
        <v>0.23626987483246525</v>
      </c>
      <c r="H248" s="11">
        <f t="shared" si="43"/>
        <v>0.18947620402605442</v>
      </c>
      <c r="I248" s="12">
        <f t="shared" si="44"/>
        <v>0</v>
      </c>
      <c r="J248" s="28">
        <f t="shared" si="45"/>
        <v>0</v>
      </c>
      <c r="K248" s="30">
        <f t="shared" si="36"/>
        <v>0</v>
      </c>
      <c r="L248" s="5"/>
      <c r="M248" s="30">
        <f t="shared" si="37"/>
        <v>0</v>
      </c>
      <c r="N248" s="42">
        <f t="shared" si="38"/>
        <v>0</v>
      </c>
      <c r="O248" s="43">
        <f t="shared" si="39"/>
        <v>0</v>
      </c>
      <c r="P248" s="43">
        <f t="shared" si="40"/>
        <v>-0.34013437099999999</v>
      </c>
      <c r="Q248" s="43">
        <f t="shared" si="41"/>
        <v>-0.34013437099999999</v>
      </c>
      <c r="R248" s="43">
        <f t="shared" si="42"/>
        <v>0.11569139033556564</v>
      </c>
    </row>
    <row r="249" spans="1:18" ht="15.75" customHeight="1" x14ac:dyDescent="0.3">
      <c r="A249" s="47">
        <v>38231</v>
      </c>
      <c r="B249" s="48">
        <v>0</v>
      </c>
      <c r="C249" s="50">
        <v>0</v>
      </c>
      <c r="D249" s="10">
        <f t="shared" si="34"/>
        <v>-0.38980777739764078</v>
      </c>
      <c r="E249" s="10">
        <f t="shared" si="35"/>
        <v>-0.48607599697214554</v>
      </c>
      <c r="F249" s="10">
        <f t="shared" si="46"/>
        <v>0.15195010331968867</v>
      </c>
      <c r="G249" s="10">
        <f t="shared" si="46"/>
        <v>0.23626987483246525</v>
      </c>
      <c r="H249" s="11">
        <f t="shared" si="43"/>
        <v>0.18947620402605442</v>
      </c>
      <c r="I249" s="12">
        <f t="shared" si="44"/>
        <v>0</v>
      </c>
      <c r="J249" s="28">
        <f t="shared" si="45"/>
        <v>0</v>
      </c>
      <c r="K249" s="30">
        <f t="shared" si="36"/>
        <v>0</v>
      </c>
      <c r="L249" s="5"/>
      <c r="M249" s="30">
        <f t="shared" si="37"/>
        <v>0</v>
      </c>
      <c r="N249" s="42">
        <f t="shared" si="38"/>
        <v>0</v>
      </c>
      <c r="O249" s="43">
        <f t="shared" si="39"/>
        <v>0</v>
      </c>
      <c r="P249" s="43">
        <f t="shared" si="40"/>
        <v>-0.34013437099999999</v>
      </c>
      <c r="Q249" s="43">
        <f t="shared" si="41"/>
        <v>-0.34013437099999999</v>
      </c>
      <c r="R249" s="43">
        <f t="shared" si="42"/>
        <v>0.11569139033556564</v>
      </c>
    </row>
    <row r="250" spans="1:18" ht="15.75" customHeight="1" x14ac:dyDescent="0.3">
      <c r="A250" s="47">
        <v>38232</v>
      </c>
      <c r="B250" s="48">
        <v>0</v>
      </c>
      <c r="C250" s="50">
        <v>0</v>
      </c>
      <c r="D250" s="10">
        <f t="shared" si="34"/>
        <v>-0.38980777739764078</v>
      </c>
      <c r="E250" s="10">
        <f t="shared" si="35"/>
        <v>-0.48607599697214554</v>
      </c>
      <c r="F250" s="10">
        <f t="shared" si="46"/>
        <v>0.15195010331968867</v>
      </c>
      <c r="G250" s="10">
        <f t="shared" si="46"/>
        <v>0.23626987483246525</v>
      </c>
      <c r="H250" s="11">
        <f t="shared" si="43"/>
        <v>0.18947620402605442</v>
      </c>
      <c r="I250" s="12">
        <f t="shared" si="44"/>
        <v>0</v>
      </c>
      <c r="J250" s="28">
        <f t="shared" si="45"/>
        <v>0</v>
      </c>
      <c r="K250" s="30">
        <f t="shared" si="36"/>
        <v>0</v>
      </c>
      <c r="L250" s="5"/>
      <c r="M250" s="30">
        <f t="shared" si="37"/>
        <v>0</v>
      </c>
      <c r="N250" s="42">
        <f t="shared" si="38"/>
        <v>0</v>
      </c>
      <c r="O250" s="43">
        <f t="shared" si="39"/>
        <v>0</v>
      </c>
      <c r="P250" s="43">
        <f t="shared" si="40"/>
        <v>-0.34013437099999999</v>
      </c>
      <c r="Q250" s="43">
        <f t="shared" si="41"/>
        <v>-0.34013437099999999</v>
      </c>
      <c r="R250" s="43">
        <f t="shared" si="42"/>
        <v>0.11569139033556564</v>
      </c>
    </row>
    <row r="251" spans="1:18" ht="15.75" customHeight="1" x14ac:dyDescent="0.3">
      <c r="A251" s="47">
        <v>38233</v>
      </c>
      <c r="B251" s="48">
        <v>0</v>
      </c>
      <c r="C251" s="50">
        <v>0</v>
      </c>
      <c r="D251" s="10">
        <f t="shared" si="34"/>
        <v>-0.38980777739764078</v>
      </c>
      <c r="E251" s="10">
        <f t="shared" si="35"/>
        <v>-0.48607599697214554</v>
      </c>
      <c r="F251" s="10">
        <f t="shared" si="46"/>
        <v>0.15195010331968867</v>
      </c>
      <c r="G251" s="10">
        <f t="shared" si="46"/>
        <v>0.23626987483246525</v>
      </c>
      <c r="H251" s="11">
        <f t="shared" si="43"/>
        <v>0.18947620402605442</v>
      </c>
      <c r="I251" s="12">
        <f t="shared" si="44"/>
        <v>0</v>
      </c>
      <c r="J251" s="28">
        <f t="shared" si="45"/>
        <v>0</v>
      </c>
      <c r="K251" s="30">
        <f t="shared" si="36"/>
        <v>0</v>
      </c>
      <c r="L251" s="5"/>
      <c r="M251" s="30">
        <f t="shared" si="37"/>
        <v>0</v>
      </c>
      <c r="N251" s="42">
        <f t="shared" si="38"/>
        <v>0</v>
      </c>
      <c r="O251" s="43">
        <f t="shared" si="39"/>
        <v>0</v>
      </c>
      <c r="P251" s="43">
        <f t="shared" si="40"/>
        <v>-0.34013437099999999</v>
      </c>
      <c r="Q251" s="43">
        <f t="shared" si="41"/>
        <v>-0.34013437099999999</v>
      </c>
      <c r="R251" s="43">
        <f t="shared" si="42"/>
        <v>0.11569139033556564</v>
      </c>
    </row>
    <row r="252" spans="1:18" ht="15.75" customHeight="1" x14ac:dyDescent="0.3">
      <c r="A252" s="47">
        <v>38234</v>
      </c>
      <c r="B252" s="48">
        <v>0</v>
      </c>
      <c r="C252" s="50">
        <v>0</v>
      </c>
      <c r="D252" s="10">
        <f t="shared" si="34"/>
        <v>-0.38980777739764078</v>
      </c>
      <c r="E252" s="10">
        <f t="shared" si="35"/>
        <v>-0.48607599697214554</v>
      </c>
      <c r="F252" s="10">
        <f t="shared" si="46"/>
        <v>0.15195010331968867</v>
      </c>
      <c r="G252" s="10">
        <f t="shared" si="46"/>
        <v>0.23626987483246525</v>
      </c>
      <c r="H252" s="11">
        <f t="shared" si="43"/>
        <v>0.18947620402605442</v>
      </c>
      <c r="I252" s="12">
        <f t="shared" si="44"/>
        <v>0</v>
      </c>
      <c r="J252" s="28">
        <f t="shared" si="45"/>
        <v>0</v>
      </c>
      <c r="K252" s="30">
        <f t="shared" si="36"/>
        <v>0</v>
      </c>
      <c r="L252" s="5"/>
      <c r="M252" s="30">
        <f t="shared" si="37"/>
        <v>0</v>
      </c>
      <c r="N252" s="42">
        <f t="shared" si="38"/>
        <v>0</v>
      </c>
      <c r="O252" s="43">
        <f t="shared" si="39"/>
        <v>0</v>
      </c>
      <c r="P252" s="43">
        <f t="shared" si="40"/>
        <v>-0.34013437099999999</v>
      </c>
      <c r="Q252" s="43">
        <f t="shared" si="41"/>
        <v>-0.34013437099999999</v>
      </c>
      <c r="R252" s="43">
        <f t="shared" si="42"/>
        <v>0.11569139033556564</v>
      </c>
    </row>
    <row r="253" spans="1:18" ht="15.75" customHeight="1" x14ac:dyDescent="0.3">
      <c r="A253" s="47">
        <v>38235</v>
      </c>
      <c r="B253" s="48">
        <v>0</v>
      </c>
      <c r="C253" s="50">
        <v>0</v>
      </c>
      <c r="D253" s="10">
        <f t="shared" si="34"/>
        <v>-0.38980777739764078</v>
      </c>
      <c r="E253" s="10">
        <f t="shared" si="35"/>
        <v>-0.48607599697214554</v>
      </c>
      <c r="F253" s="10">
        <f t="shared" si="46"/>
        <v>0.15195010331968867</v>
      </c>
      <c r="G253" s="10">
        <f t="shared" si="46"/>
        <v>0.23626987483246525</v>
      </c>
      <c r="H253" s="11">
        <f t="shared" si="43"/>
        <v>0.18947620402605442</v>
      </c>
      <c r="I253" s="12">
        <f t="shared" si="44"/>
        <v>0</v>
      </c>
      <c r="J253" s="28">
        <f t="shared" si="45"/>
        <v>0</v>
      </c>
      <c r="K253" s="30">
        <f t="shared" si="36"/>
        <v>0</v>
      </c>
      <c r="L253" s="5"/>
      <c r="M253" s="30">
        <f t="shared" si="37"/>
        <v>0</v>
      </c>
      <c r="N253" s="42">
        <f t="shared" si="38"/>
        <v>0</v>
      </c>
      <c r="O253" s="43">
        <f t="shared" si="39"/>
        <v>0</v>
      </c>
      <c r="P253" s="43">
        <f t="shared" si="40"/>
        <v>-0.34013437099999999</v>
      </c>
      <c r="Q253" s="43">
        <f t="shared" si="41"/>
        <v>-0.34013437099999999</v>
      </c>
      <c r="R253" s="43">
        <f t="shared" si="42"/>
        <v>0.11569139033556564</v>
      </c>
    </row>
    <row r="254" spans="1:18" ht="15.75" customHeight="1" x14ac:dyDescent="0.3">
      <c r="A254" s="47">
        <v>38236</v>
      </c>
      <c r="B254" s="48">
        <v>0</v>
      </c>
      <c r="C254" s="50">
        <v>0</v>
      </c>
      <c r="D254" s="10">
        <f t="shared" si="34"/>
        <v>-0.38980777739764078</v>
      </c>
      <c r="E254" s="10">
        <f t="shared" si="35"/>
        <v>-0.48607599697214554</v>
      </c>
      <c r="F254" s="10">
        <f t="shared" si="46"/>
        <v>0.15195010331968867</v>
      </c>
      <c r="G254" s="10">
        <f t="shared" si="46"/>
        <v>0.23626987483246525</v>
      </c>
      <c r="H254" s="11">
        <f t="shared" si="43"/>
        <v>0.18947620402605442</v>
      </c>
      <c r="I254" s="12">
        <f t="shared" si="44"/>
        <v>0</v>
      </c>
      <c r="J254" s="28">
        <f t="shared" si="45"/>
        <v>0</v>
      </c>
      <c r="K254" s="30">
        <f t="shared" si="36"/>
        <v>0</v>
      </c>
      <c r="L254" s="5"/>
      <c r="M254" s="30">
        <f t="shared" si="37"/>
        <v>0</v>
      </c>
      <c r="N254" s="42">
        <f t="shared" si="38"/>
        <v>0</v>
      </c>
      <c r="O254" s="43">
        <f t="shared" si="39"/>
        <v>0</v>
      </c>
      <c r="P254" s="43">
        <f t="shared" si="40"/>
        <v>-0.34013437099999999</v>
      </c>
      <c r="Q254" s="43">
        <f t="shared" si="41"/>
        <v>-0.34013437099999999</v>
      </c>
      <c r="R254" s="43">
        <f t="shared" si="42"/>
        <v>0.11569139033556564</v>
      </c>
    </row>
    <row r="255" spans="1:18" ht="15.75" customHeight="1" x14ac:dyDescent="0.3">
      <c r="A255" s="47">
        <v>38237</v>
      </c>
      <c r="B255" s="48">
        <v>0</v>
      </c>
      <c r="C255" s="50">
        <v>0</v>
      </c>
      <c r="D255" s="10">
        <f t="shared" si="34"/>
        <v>-0.38980777739764078</v>
      </c>
      <c r="E255" s="10">
        <f t="shared" si="35"/>
        <v>-0.48607599697214554</v>
      </c>
      <c r="F255" s="10">
        <f t="shared" si="46"/>
        <v>0.15195010331968867</v>
      </c>
      <c r="G255" s="10">
        <f t="shared" si="46"/>
        <v>0.23626987483246525</v>
      </c>
      <c r="H255" s="11">
        <f t="shared" si="43"/>
        <v>0.18947620402605442</v>
      </c>
      <c r="I255" s="12">
        <f t="shared" si="44"/>
        <v>0</v>
      </c>
      <c r="J255" s="28">
        <f t="shared" si="45"/>
        <v>0</v>
      </c>
      <c r="K255" s="30">
        <f t="shared" si="36"/>
        <v>0</v>
      </c>
      <c r="L255" s="5"/>
      <c r="M255" s="30">
        <f t="shared" si="37"/>
        <v>0</v>
      </c>
      <c r="N255" s="42">
        <f t="shared" si="38"/>
        <v>0</v>
      </c>
      <c r="O255" s="43">
        <f t="shared" si="39"/>
        <v>0</v>
      </c>
      <c r="P255" s="43">
        <f t="shared" si="40"/>
        <v>-0.34013437099999999</v>
      </c>
      <c r="Q255" s="43">
        <f t="shared" si="41"/>
        <v>-0.34013437099999999</v>
      </c>
      <c r="R255" s="43">
        <f t="shared" si="42"/>
        <v>0.11569139033556564</v>
      </c>
    </row>
    <row r="256" spans="1:18" ht="15.75" customHeight="1" x14ac:dyDescent="0.3">
      <c r="A256" s="47">
        <v>38238</v>
      </c>
      <c r="B256" s="48">
        <v>0</v>
      </c>
      <c r="C256" s="50">
        <v>0</v>
      </c>
      <c r="D256" s="10">
        <f t="shared" si="34"/>
        <v>-0.38980777739764078</v>
      </c>
      <c r="E256" s="10">
        <f t="shared" si="35"/>
        <v>-0.48607599697214554</v>
      </c>
      <c r="F256" s="10">
        <f t="shared" si="46"/>
        <v>0.15195010331968867</v>
      </c>
      <c r="G256" s="10">
        <f t="shared" si="46"/>
        <v>0.23626987483246525</v>
      </c>
      <c r="H256" s="11">
        <f t="shared" si="43"/>
        <v>0.18947620402605442</v>
      </c>
      <c r="I256" s="12">
        <f t="shared" si="44"/>
        <v>0</v>
      </c>
      <c r="J256" s="28">
        <f t="shared" si="45"/>
        <v>0</v>
      </c>
      <c r="K256" s="30">
        <f t="shared" si="36"/>
        <v>0</v>
      </c>
      <c r="L256" s="5"/>
      <c r="M256" s="30">
        <f t="shared" si="37"/>
        <v>0</v>
      </c>
      <c r="N256" s="42">
        <f t="shared" si="38"/>
        <v>0</v>
      </c>
      <c r="O256" s="43">
        <f t="shared" si="39"/>
        <v>0</v>
      </c>
      <c r="P256" s="43">
        <f t="shared" si="40"/>
        <v>-0.34013437099999999</v>
      </c>
      <c r="Q256" s="43">
        <f t="shared" si="41"/>
        <v>-0.34013437099999999</v>
      </c>
      <c r="R256" s="43">
        <f t="shared" si="42"/>
        <v>0.11569139033556564</v>
      </c>
    </row>
    <row r="257" spans="1:18" ht="15.75" customHeight="1" x14ac:dyDescent="0.3">
      <c r="A257" s="47">
        <v>38239</v>
      </c>
      <c r="B257" s="48">
        <v>0</v>
      </c>
      <c r="C257" s="50">
        <v>0</v>
      </c>
      <c r="D257" s="10">
        <f t="shared" si="34"/>
        <v>-0.38980777739764078</v>
      </c>
      <c r="E257" s="10">
        <f t="shared" si="35"/>
        <v>-0.48607599697214554</v>
      </c>
      <c r="F257" s="10">
        <f t="shared" si="46"/>
        <v>0.15195010331968867</v>
      </c>
      <c r="G257" s="10">
        <f t="shared" si="46"/>
        <v>0.23626987483246525</v>
      </c>
      <c r="H257" s="11">
        <f t="shared" si="43"/>
        <v>0.18947620402605442</v>
      </c>
      <c r="I257" s="12">
        <f t="shared" si="44"/>
        <v>0</v>
      </c>
      <c r="J257" s="28">
        <f t="shared" si="45"/>
        <v>0</v>
      </c>
      <c r="K257" s="30">
        <f t="shared" si="36"/>
        <v>0</v>
      </c>
      <c r="L257" s="5"/>
      <c r="M257" s="30">
        <f t="shared" si="37"/>
        <v>0</v>
      </c>
      <c r="N257" s="42">
        <f t="shared" si="38"/>
        <v>0</v>
      </c>
      <c r="O257" s="43">
        <f t="shared" si="39"/>
        <v>0</v>
      </c>
      <c r="P257" s="43">
        <f t="shared" si="40"/>
        <v>-0.34013437099999999</v>
      </c>
      <c r="Q257" s="43">
        <f t="shared" si="41"/>
        <v>-0.34013437099999999</v>
      </c>
      <c r="R257" s="43">
        <f t="shared" si="42"/>
        <v>0.11569139033556564</v>
      </c>
    </row>
    <row r="258" spans="1:18" ht="15.75" customHeight="1" x14ac:dyDescent="0.3">
      <c r="A258" s="47">
        <v>38240</v>
      </c>
      <c r="B258" s="48"/>
      <c r="C258" s="50">
        <v>0</v>
      </c>
      <c r="D258" s="10">
        <f t="shared" si="34"/>
        <v>-0.38980777739764078</v>
      </c>
      <c r="E258" s="10">
        <f t="shared" si="35"/>
        <v>-0.48607599697214554</v>
      </c>
      <c r="F258" s="10">
        <f t="shared" si="46"/>
        <v>0.15195010331968867</v>
      </c>
      <c r="G258" s="10">
        <f t="shared" si="46"/>
        <v>0.23626987483246525</v>
      </c>
      <c r="H258" s="11">
        <f t="shared" si="43"/>
        <v>0.18947620402605442</v>
      </c>
      <c r="I258" s="12">
        <f t="shared" si="44"/>
        <v>0</v>
      </c>
      <c r="J258" s="28">
        <f t="shared" si="45"/>
        <v>0</v>
      </c>
      <c r="K258" s="30">
        <f t="shared" si="36"/>
        <v>0</v>
      </c>
      <c r="L258" s="5"/>
      <c r="M258" s="30">
        <f t="shared" si="37"/>
        <v>0</v>
      </c>
      <c r="N258" s="42">
        <f t="shared" si="38"/>
        <v>0</v>
      </c>
      <c r="O258" s="43">
        <f t="shared" si="39"/>
        <v>0</v>
      </c>
      <c r="P258" s="43">
        <f t="shared" si="40"/>
        <v>-0.34013437099999999</v>
      </c>
      <c r="Q258" s="43">
        <f t="shared" si="41"/>
        <v>-0.34013437099999999</v>
      </c>
      <c r="R258" s="43">
        <f t="shared" si="42"/>
        <v>0.11569139033556564</v>
      </c>
    </row>
    <row r="259" spans="1:18" ht="15.75" customHeight="1" x14ac:dyDescent="0.3">
      <c r="A259" s="47">
        <v>38241</v>
      </c>
      <c r="B259" s="48">
        <v>0</v>
      </c>
      <c r="C259" s="50">
        <v>0</v>
      </c>
      <c r="D259" s="10">
        <f t="shared" si="34"/>
        <v>-0.38980777739764078</v>
      </c>
      <c r="E259" s="10">
        <f t="shared" si="35"/>
        <v>-0.48607599697214554</v>
      </c>
      <c r="F259" s="10">
        <f t="shared" si="46"/>
        <v>0.15195010331968867</v>
      </c>
      <c r="G259" s="10">
        <f t="shared" si="46"/>
        <v>0.23626987483246525</v>
      </c>
      <c r="H259" s="11">
        <f t="shared" si="43"/>
        <v>0.18947620402605442</v>
      </c>
      <c r="I259" s="12">
        <f t="shared" si="44"/>
        <v>0</v>
      </c>
      <c r="J259" s="28">
        <f t="shared" si="45"/>
        <v>0</v>
      </c>
      <c r="K259" s="30">
        <f t="shared" si="36"/>
        <v>0</v>
      </c>
      <c r="L259" s="5"/>
      <c r="M259" s="30">
        <f t="shared" si="37"/>
        <v>0</v>
      </c>
      <c r="N259" s="42">
        <f t="shared" si="38"/>
        <v>0</v>
      </c>
      <c r="O259" s="43">
        <f t="shared" si="39"/>
        <v>0</v>
      </c>
      <c r="P259" s="43">
        <f t="shared" si="40"/>
        <v>-0.34013437099999999</v>
      </c>
      <c r="Q259" s="43">
        <f t="shared" si="41"/>
        <v>-0.34013437099999999</v>
      </c>
      <c r="R259" s="43">
        <f t="shared" si="42"/>
        <v>0.11569139033556564</v>
      </c>
    </row>
    <row r="260" spans="1:18" ht="15.75" customHeight="1" x14ac:dyDescent="0.3">
      <c r="A260" s="47">
        <v>38242</v>
      </c>
      <c r="B260" s="48">
        <v>0</v>
      </c>
      <c r="C260" s="50">
        <v>0</v>
      </c>
      <c r="D260" s="10">
        <f t="shared" si="34"/>
        <v>-0.38980777739764078</v>
      </c>
      <c r="E260" s="10">
        <f t="shared" si="35"/>
        <v>-0.48607599697214554</v>
      </c>
      <c r="F260" s="10">
        <f t="shared" si="46"/>
        <v>0.15195010331968867</v>
      </c>
      <c r="G260" s="10">
        <f t="shared" si="46"/>
        <v>0.23626987483246525</v>
      </c>
      <c r="H260" s="11">
        <f t="shared" si="43"/>
        <v>0.18947620402605442</v>
      </c>
      <c r="I260" s="12">
        <f t="shared" si="44"/>
        <v>0</v>
      </c>
      <c r="J260" s="28">
        <f t="shared" si="45"/>
        <v>0</v>
      </c>
      <c r="K260" s="30">
        <f t="shared" si="36"/>
        <v>0</v>
      </c>
      <c r="L260" s="5"/>
      <c r="M260" s="30">
        <f t="shared" si="37"/>
        <v>0</v>
      </c>
      <c r="N260" s="42">
        <f t="shared" si="38"/>
        <v>0</v>
      </c>
      <c r="O260" s="43">
        <f t="shared" si="39"/>
        <v>0</v>
      </c>
      <c r="P260" s="43">
        <f t="shared" si="40"/>
        <v>-0.34013437099999999</v>
      </c>
      <c r="Q260" s="43">
        <f t="shared" si="41"/>
        <v>-0.34013437099999999</v>
      </c>
      <c r="R260" s="43">
        <f t="shared" si="42"/>
        <v>0.11569139033556564</v>
      </c>
    </row>
    <row r="261" spans="1:18" ht="15.75" customHeight="1" x14ac:dyDescent="0.3">
      <c r="A261" s="47">
        <v>38243</v>
      </c>
      <c r="B261" s="48">
        <v>0</v>
      </c>
      <c r="C261" s="50">
        <v>0</v>
      </c>
      <c r="D261" s="10">
        <f t="shared" ref="D261:D324" si="47">B261-$C$375</f>
        <v>-0.38980777739764078</v>
      </c>
      <c r="E261" s="10">
        <f t="shared" ref="E261:E324" si="48">C261-$D$375</f>
        <v>-0.48607599697214554</v>
      </c>
      <c r="F261" s="10">
        <f t="shared" si="46"/>
        <v>0.15195010331968867</v>
      </c>
      <c r="G261" s="10">
        <f t="shared" si="46"/>
        <v>0.23626987483246525</v>
      </c>
      <c r="H261" s="11">
        <f t="shared" si="43"/>
        <v>0.18947620402605442</v>
      </c>
      <c r="I261" s="12">
        <f t="shared" si="44"/>
        <v>0</v>
      </c>
      <c r="J261" s="28">
        <f t="shared" si="45"/>
        <v>0</v>
      </c>
      <c r="K261" s="30">
        <f t="shared" si="36"/>
        <v>0</v>
      </c>
      <c r="L261" s="5"/>
      <c r="M261" s="30">
        <f t="shared" si="37"/>
        <v>0</v>
      </c>
      <c r="N261" s="42">
        <f t="shared" si="38"/>
        <v>0</v>
      </c>
      <c r="O261" s="43">
        <f t="shared" si="39"/>
        <v>0</v>
      </c>
      <c r="P261" s="43">
        <f t="shared" si="40"/>
        <v>-0.34013437099999999</v>
      </c>
      <c r="Q261" s="43">
        <f t="shared" si="41"/>
        <v>-0.34013437099999999</v>
      </c>
      <c r="R261" s="43">
        <f t="shared" si="42"/>
        <v>0.11569139033556564</v>
      </c>
    </row>
    <row r="262" spans="1:18" ht="15.75" customHeight="1" x14ac:dyDescent="0.3">
      <c r="A262" s="47">
        <v>38244</v>
      </c>
      <c r="B262" s="48">
        <v>0</v>
      </c>
      <c r="C262" s="50">
        <v>0</v>
      </c>
      <c r="D262" s="10">
        <f t="shared" si="47"/>
        <v>-0.38980777739764078</v>
      </c>
      <c r="E262" s="10">
        <f t="shared" si="48"/>
        <v>-0.48607599697214554</v>
      </c>
      <c r="F262" s="10">
        <f t="shared" si="46"/>
        <v>0.15195010331968867</v>
      </c>
      <c r="G262" s="10">
        <f t="shared" si="46"/>
        <v>0.23626987483246525</v>
      </c>
      <c r="H262" s="11">
        <f t="shared" si="43"/>
        <v>0.18947620402605442</v>
      </c>
      <c r="I262" s="12">
        <f t="shared" si="44"/>
        <v>0</v>
      </c>
      <c r="J262" s="28">
        <f t="shared" si="45"/>
        <v>0</v>
      </c>
      <c r="K262" s="30">
        <f t="shared" ref="K262:K325" si="49">C262-B262</f>
        <v>0</v>
      </c>
      <c r="L262" s="5"/>
      <c r="M262" s="30">
        <f t="shared" ref="M262:M325" si="50">B262-C262</f>
        <v>0</v>
      </c>
      <c r="N262" s="42">
        <f t="shared" ref="N262:N325" si="51">B262-C262</f>
        <v>0</v>
      </c>
      <c r="O262" s="43">
        <f t="shared" ref="O262:O325" si="52">M262*N262</f>
        <v>0</v>
      </c>
      <c r="P262" s="43">
        <f t="shared" ref="P262:P325" si="53">B262-0.340134371</f>
        <v>-0.34013437099999999</v>
      </c>
      <c r="Q262" s="43">
        <f t="shared" ref="Q262:Q325" si="54">B262-0.340134371</f>
        <v>-0.34013437099999999</v>
      </c>
      <c r="R262" s="43">
        <f t="shared" ref="R262:R325" si="55">P262*Q262</f>
        <v>0.11569139033556564</v>
      </c>
    </row>
    <row r="263" spans="1:18" ht="15.75" customHeight="1" x14ac:dyDescent="0.3">
      <c r="A263" s="47">
        <v>38245</v>
      </c>
      <c r="B263" s="48">
        <v>0</v>
      </c>
      <c r="C263" s="50">
        <v>0</v>
      </c>
      <c r="D263" s="10">
        <f t="shared" si="47"/>
        <v>-0.38980777739764078</v>
      </c>
      <c r="E263" s="10">
        <f t="shared" si="48"/>
        <v>-0.48607599697214554</v>
      </c>
      <c r="F263" s="10">
        <f t="shared" si="46"/>
        <v>0.15195010331968867</v>
      </c>
      <c r="G263" s="10">
        <f t="shared" si="46"/>
        <v>0.23626987483246525</v>
      </c>
      <c r="H263" s="11">
        <f t="shared" si="43"/>
        <v>0.18947620402605442</v>
      </c>
      <c r="I263" s="12">
        <f t="shared" si="44"/>
        <v>0</v>
      </c>
      <c r="J263" s="28">
        <f t="shared" si="45"/>
        <v>0</v>
      </c>
      <c r="K263" s="30">
        <f t="shared" si="49"/>
        <v>0</v>
      </c>
      <c r="L263" s="5"/>
      <c r="M263" s="30">
        <f t="shared" si="50"/>
        <v>0</v>
      </c>
      <c r="N263" s="42">
        <f t="shared" si="51"/>
        <v>0</v>
      </c>
      <c r="O263" s="43">
        <f t="shared" si="52"/>
        <v>0</v>
      </c>
      <c r="P263" s="43">
        <f t="shared" si="53"/>
        <v>-0.34013437099999999</v>
      </c>
      <c r="Q263" s="43">
        <f t="shared" si="54"/>
        <v>-0.34013437099999999</v>
      </c>
      <c r="R263" s="43">
        <f t="shared" si="55"/>
        <v>0.11569139033556564</v>
      </c>
    </row>
    <row r="264" spans="1:18" ht="15.75" customHeight="1" x14ac:dyDescent="0.3">
      <c r="A264" s="47">
        <v>38246</v>
      </c>
      <c r="B264" s="48">
        <v>0</v>
      </c>
      <c r="C264" s="50">
        <v>0</v>
      </c>
      <c r="D264" s="10">
        <f t="shared" si="47"/>
        <v>-0.38980777739764078</v>
      </c>
      <c r="E264" s="10">
        <f t="shared" si="48"/>
        <v>-0.48607599697214554</v>
      </c>
      <c r="F264" s="10">
        <f t="shared" si="46"/>
        <v>0.15195010331968867</v>
      </c>
      <c r="G264" s="10">
        <f t="shared" si="46"/>
        <v>0.23626987483246525</v>
      </c>
      <c r="H264" s="11">
        <f t="shared" si="43"/>
        <v>0.18947620402605442</v>
      </c>
      <c r="I264" s="12">
        <f t="shared" si="44"/>
        <v>0</v>
      </c>
      <c r="J264" s="28">
        <f t="shared" si="45"/>
        <v>0</v>
      </c>
      <c r="K264" s="30">
        <f t="shared" si="49"/>
        <v>0</v>
      </c>
      <c r="L264" s="5"/>
      <c r="M264" s="30">
        <f t="shared" si="50"/>
        <v>0</v>
      </c>
      <c r="N264" s="42">
        <f t="shared" si="51"/>
        <v>0</v>
      </c>
      <c r="O264" s="43">
        <f t="shared" si="52"/>
        <v>0</v>
      </c>
      <c r="P264" s="43">
        <f t="shared" si="53"/>
        <v>-0.34013437099999999</v>
      </c>
      <c r="Q264" s="43">
        <f t="shared" si="54"/>
        <v>-0.34013437099999999</v>
      </c>
      <c r="R264" s="43">
        <f t="shared" si="55"/>
        <v>0.11569139033556564</v>
      </c>
    </row>
    <row r="265" spans="1:18" ht="15.75" customHeight="1" x14ac:dyDescent="0.3">
      <c r="A265" s="47">
        <v>38247</v>
      </c>
      <c r="B265" s="48">
        <v>0</v>
      </c>
      <c r="C265" s="50">
        <v>0</v>
      </c>
      <c r="D265" s="10">
        <f t="shared" si="47"/>
        <v>-0.38980777739764078</v>
      </c>
      <c r="E265" s="10">
        <f t="shared" si="48"/>
        <v>-0.48607599697214554</v>
      </c>
      <c r="F265" s="10">
        <f t="shared" si="46"/>
        <v>0.15195010331968867</v>
      </c>
      <c r="G265" s="10">
        <f t="shared" si="46"/>
        <v>0.23626987483246525</v>
      </c>
      <c r="H265" s="11">
        <f t="shared" si="43"/>
        <v>0.18947620402605442</v>
      </c>
      <c r="I265" s="12">
        <f t="shared" si="44"/>
        <v>0</v>
      </c>
      <c r="J265" s="28">
        <f t="shared" si="45"/>
        <v>0</v>
      </c>
      <c r="K265" s="30">
        <f t="shared" si="49"/>
        <v>0</v>
      </c>
      <c r="L265" s="5"/>
      <c r="M265" s="30">
        <f t="shared" si="50"/>
        <v>0</v>
      </c>
      <c r="N265" s="42">
        <f t="shared" si="51"/>
        <v>0</v>
      </c>
      <c r="O265" s="43">
        <f t="shared" si="52"/>
        <v>0</v>
      </c>
      <c r="P265" s="43">
        <f t="shared" si="53"/>
        <v>-0.34013437099999999</v>
      </c>
      <c r="Q265" s="43">
        <f t="shared" si="54"/>
        <v>-0.34013437099999999</v>
      </c>
      <c r="R265" s="43">
        <f t="shared" si="55"/>
        <v>0.11569139033556564</v>
      </c>
    </row>
    <row r="266" spans="1:18" ht="15.75" customHeight="1" x14ac:dyDescent="0.3">
      <c r="A266" s="47">
        <v>38248</v>
      </c>
      <c r="B266" s="48">
        <v>0</v>
      </c>
      <c r="C266" s="50">
        <v>0</v>
      </c>
      <c r="D266" s="10">
        <f t="shared" si="47"/>
        <v>-0.38980777739764078</v>
      </c>
      <c r="E266" s="10">
        <f t="shared" si="48"/>
        <v>-0.48607599697214554</v>
      </c>
      <c r="F266" s="10">
        <f t="shared" si="46"/>
        <v>0.15195010331968867</v>
      </c>
      <c r="G266" s="10">
        <f t="shared" si="46"/>
        <v>0.23626987483246525</v>
      </c>
      <c r="H266" s="11">
        <f t="shared" si="43"/>
        <v>0.18947620402605442</v>
      </c>
      <c r="I266" s="12">
        <f t="shared" si="44"/>
        <v>0</v>
      </c>
      <c r="J266" s="28">
        <f t="shared" si="45"/>
        <v>0</v>
      </c>
      <c r="K266" s="30">
        <f t="shared" si="49"/>
        <v>0</v>
      </c>
      <c r="L266" s="5"/>
      <c r="M266" s="30">
        <f t="shared" si="50"/>
        <v>0</v>
      </c>
      <c r="N266" s="42">
        <f t="shared" si="51"/>
        <v>0</v>
      </c>
      <c r="O266" s="43">
        <f t="shared" si="52"/>
        <v>0</v>
      </c>
      <c r="P266" s="43">
        <f t="shared" si="53"/>
        <v>-0.34013437099999999</v>
      </c>
      <c r="Q266" s="43">
        <f t="shared" si="54"/>
        <v>-0.34013437099999999</v>
      </c>
      <c r="R266" s="43">
        <f t="shared" si="55"/>
        <v>0.11569139033556564</v>
      </c>
    </row>
    <row r="267" spans="1:18" ht="15.75" customHeight="1" x14ac:dyDescent="0.3">
      <c r="A267" s="47">
        <v>38249</v>
      </c>
      <c r="B267" s="48">
        <v>0</v>
      </c>
      <c r="C267" s="50">
        <v>0</v>
      </c>
      <c r="D267" s="10">
        <f t="shared" si="47"/>
        <v>-0.38980777739764078</v>
      </c>
      <c r="E267" s="10">
        <f t="shared" si="48"/>
        <v>-0.48607599697214554</v>
      </c>
      <c r="F267" s="10">
        <f t="shared" si="46"/>
        <v>0.15195010331968867</v>
      </c>
      <c r="G267" s="10">
        <f t="shared" si="46"/>
        <v>0.23626987483246525</v>
      </c>
      <c r="H267" s="11">
        <f t="shared" ref="H267:H330" si="56">D267*E267</f>
        <v>0.18947620402605442</v>
      </c>
      <c r="I267" s="12">
        <f t="shared" ref="I267:I330" si="57">ABS(C267-B267)</f>
        <v>0</v>
      </c>
      <c r="J267" s="28">
        <f t="shared" ref="J267:J330" si="58">I267^2</f>
        <v>0</v>
      </c>
      <c r="K267" s="30">
        <f t="shared" si="49"/>
        <v>0</v>
      </c>
      <c r="L267" s="5"/>
      <c r="M267" s="30">
        <f t="shared" si="50"/>
        <v>0</v>
      </c>
      <c r="N267" s="42">
        <f t="shared" si="51"/>
        <v>0</v>
      </c>
      <c r="O267" s="43">
        <f t="shared" si="52"/>
        <v>0</v>
      </c>
      <c r="P267" s="43">
        <f t="shared" si="53"/>
        <v>-0.34013437099999999</v>
      </c>
      <c r="Q267" s="43">
        <f t="shared" si="54"/>
        <v>-0.34013437099999999</v>
      </c>
      <c r="R267" s="43">
        <f t="shared" si="55"/>
        <v>0.11569139033556564</v>
      </c>
    </row>
    <row r="268" spans="1:18" ht="15.75" customHeight="1" x14ac:dyDescent="0.3">
      <c r="A268" s="47">
        <v>38250</v>
      </c>
      <c r="B268" s="48">
        <v>0</v>
      </c>
      <c r="C268" s="50">
        <v>0</v>
      </c>
      <c r="D268" s="10">
        <f t="shared" si="47"/>
        <v>-0.38980777739764078</v>
      </c>
      <c r="E268" s="10">
        <f t="shared" si="48"/>
        <v>-0.48607599697214554</v>
      </c>
      <c r="F268" s="10">
        <f t="shared" si="46"/>
        <v>0.15195010331968867</v>
      </c>
      <c r="G268" s="10">
        <f t="shared" si="46"/>
        <v>0.23626987483246525</v>
      </c>
      <c r="H268" s="11">
        <f t="shared" si="56"/>
        <v>0.18947620402605442</v>
      </c>
      <c r="I268" s="12">
        <f t="shared" si="57"/>
        <v>0</v>
      </c>
      <c r="J268" s="28">
        <f t="shared" si="58"/>
        <v>0</v>
      </c>
      <c r="K268" s="30">
        <f t="shared" si="49"/>
        <v>0</v>
      </c>
      <c r="L268" s="5"/>
      <c r="M268" s="30">
        <f t="shared" si="50"/>
        <v>0</v>
      </c>
      <c r="N268" s="42">
        <f t="shared" si="51"/>
        <v>0</v>
      </c>
      <c r="O268" s="43">
        <f t="shared" si="52"/>
        <v>0</v>
      </c>
      <c r="P268" s="43">
        <f t="shared" si="53"/>
        <v>-0.34013437099999999</v>
      </c>
      <c r="Q268" s="43">
        <f t="shared" si="54"/>
        <v>-0.34013437099999999</v>
      </c>
      <c r="R268" s="43">
        <f t="shared" si="55"/>
        <v>0.11569139033556564</v>
      </c>
    </row>
    <row r="269" spans="1:18" ht="15.75" customHeight="1" x14ac:dyDescent="0.3">
      <c r="A269" s="47">
        <v>38251</v>
      </c>
      <c r="B269" s="48">
        <v>0</v>
      </c>
      <c r="C269" s="50">
        <v>0</v>
      </c>
      <c r="D269" s="10">
        <f t="shared" si="47"/>
        <v>-0.38980777739764078</v>
      </c>
      <c r="E269" s="10">
        <f t="shared" si="48"/>
        <v>-0.48607599697214554</v>
      </c>
      <c r="F269" s="10">
        <f t="shared" si="46"/>
        <v>0.15195010331968867</v>
      </c>
      <c r="G269" s="10">
        <f t="shared" si="46"/>
        <v>0.23626987483246525</v>
      </c>
      <c r="H269" s="11">
        <f t="shared" si="56"/>
        <v>0.18947620402605442</v>
      </c>
      <c r="I269" s="12">
        <f t="shared" si="57"/>
        <v>0</v>
      </c>
      <c r="J269" s="28">
        <f t="shared" si="58"/>
        <v>0</v>
      </c>
      <c r="K269" s="30">
        <f t="shared" si="49"/>
        <v>0</v>
      </c>
      <c r="L269" s="5"/>
      <c r="M269" s="30">
        <f t="shared" si="50"/>
        <v>0</v>
      </c>
      <c r="N269" s="42">
        <f t="shared" si="51"/>
        <v>0</v>
      </c>
      <c r="O269" s="43">
        <f t="shared" si="52"/>
        <v>0</v>
      </c>
      <c r="P269" s="43">
        <f t="shared" si="53"/>
        <v>-0.34013437099999999</v>
      </c>
      <c r="Q269" s="43">
        <f t="shared" si="54"/>
        <v>-0.34013437099999999</v>
      </c>
      <c r="R269" s="43">
        <f t="shared" si="55"/>
        <v>0.11569139033556564</v>
      </c>
    </row>
    <row r="270" spans="1:18" ht="15.75" customHeight="1" x14ac:dyDescent="0.3">
      <c r="A270" s="47">
        <v>38252</v>
      </c>
      <c r="B270" s="48">
        <v>0</v>
      </c>
      <c r="C270" s="50">
        <v>0</v>
      </c>
      <c r="D270" s="10">
        <f t="shared" si="47"/>
        <v>-0.38980777739764078</v>
      </c>
      <c r="E270" s="10">
        <f t="shared" si="48"/>
        <v>-0.48607599697214554</v>
      </c>
      <c r="F270" s="10">
        <f t="shared" si="46"/>
        <v>0.15195010331968867</v>
      </c>
      <c r="G270" s="10">
        <f t="shared" si="46"/>
        <v>0.23626987483246525</v>
      </c>
      <c r="H270" s="11">
        <f t="shared" si="56"/>
        <v>0.18947620402605442</v>
      </c>
      <c r="I270" s="12">
        <f t="shared" si="57"/>
        <v>0</v>
      </c>
      <c r="J270" s="28">
        <f t="shared" si="58"/>
        <v>0</v>
      </c>
      <c r="K270" s="30">
        <f t="shared" si="49"/>
        <v>0</v>
      </c>
      <c r="L270" s="5"/>
      <c r="M270" s="30">
        <f t="shared" si="50"/>
        <v>0</v>
      </c>
      <c r="N270" s="42">
        <f t="shared" si="51"/>
        <v>0</v>
      </c>
      <c r="O270" s="43">
        <f t="shared" si="52"/>
        <v>0</v>
      </c>
      <c r="P270" s="43">
        <f t="shared" si="53"/>
        <v>-0.34013437099999999</v>
      </c>
      <c r="Q270" s="43">
        <f t="shared" si="54"/>
        <v>-0.34013437099999999</v>
      </c>
      <c r="R270" s="43">
        <f t="shared" si="55"/>
        <v>0.11569139033556564</v>
      </c>
    </row>
    <row r="271" spans="1:18" ht="15.75" customHeight="1" x14ac:dyDescent="0.3">
      <c r="A271" s="47">
        <v>38253</v>
      </c>
      <c r="B271" s="48">
        <v>0</v>
      </c>
      <c r="C271" s="50">
        <v>4.3027102947235107E-6</v>
      </c>
      <c r="D271" s="10">
        <f t="shared" si="47"/>
        <v>-0.38980777739764078</v>
      </c>
      <c r="E271" s="10">
        <f t="shared" si="48"/>
        <v>-0.48607169426185082</v>
      </c>
      <c r="F271" s="10">
        <f t="shared" si="46"/>
        <v>0.15195010331968867</v>
      </c>
      <c r="G271" s="10">
        <f t="shared" si="46"/>
        <v>0.23626569196258618</v>
      </c>
      <c r="H271" s="11">
        <f t="shared" si="56"/>
        <v>0.18947452679611765</v>
      </c>
      <c r="I271" s="12">
        <f t="shared" si="57"/>
        <v>4.3027102947235107E-6</v>
      </c>
      <c r="J271" s="28">
        <f t="shared" si="58"/>
        <v>1.8513315880319681E-11</v>
      </c>
      <c r="K271" s="30">
        <f t="shared" si="49"/>
        <v>4.3027102947235107E-6</v>
      </c>
      <c r="L271" s="5"/>
      <c r="M271" s="30">
        <f t="shared" si="50"/>
        <v>-4.3027102947235107E-6</v>
      </c>
      <c r="N271" s="42">
        <f t="shared" si="51"/>
        <v>-4.3027102947235107E-6</v>
      </c>
      <c r="O271" s="43">
        <f t="shared" si="52"/>
        <v>1.8513315880319681E-11</v>
      </c>
      <c r="P271" s="43">
        <f t="shared" si="53"/>
        <v>-0.34013437099999999</v>
      </c>
      <c r="Q271" s="43">
        <f t="shared" si="54"/>
        <v>-0.34013437099999999</v>
      </c>
      <c r="R271" s="43">
        <f t="shared" si="55"/>
        <v>0.11569139033556564</v>
      </c>
    </row>
    <row r="272" spans="1:18" ht="15.75" customHeight="1" x14ac:dyDescent="0.3">
      <c r="A272" s="47">
        <v>38254</v>
      </c>
      <c r="B272" s="48">
        <v>0</v>
      </c>
      <c r="C272" s="50">
        <v>4.5485794544219971E-6</v>
      </c>
      <c r="D272" s="10">
        <f t="shared" si="47"/>
        <v>-0.38980777739764078</v>
      </c>
      <c r="E272" s="10">
        <f t="shared" si="48"/>
        <v>-0.48607144839269112</v>
      </c>
      <c r="F272" s="10">
        <f t="shared" si="46"/>
        <v>0.15195010331968867</v>
      </c>
      <c r="G272" s="10">
        <f t="shared" si="46"/>
        <v>0.23626545294256859</v>
      </c>
      <c r="H272" s="11">
        <f t="shared" si="56"/>
        <v>0.18947443095440697</v>
      </c>
      <c r="I272" s="12">
        <f t="shared" si="57"/>
        <v>4.5485794544219971E-6</v>
      </c>
      <c r="J272" s="28">
        <f t="shared" si="58"/>
        <v>2.0689575053189913E-11</v>
      </c>
      <c r="K272" s="30">
        <f t="shared" si="49"/>
        <v>4.5485794544219971E-6</v>
      </c>
      <c r="L272" s="5"/>
      <c r="M272" s="30">
        <f t="shared" si="50"/>
        <v>-4.5485794544219971E-6</v>
      </c>
      <c r="N272" s="42">
        <f t="shared" si="51"/>
        <v>-4.5485794544219971E-6</v>
      </c>
      <c r="O272" s="43">
        <f t="shared" si="52"/>
        <v>2.0689575053189913E-11</v>
      </c>
      <c r="P272" s="43">
        <f t="shared" si="53"/>
        <v>-0.34013437099999999</v>
      </c>
      <c r="Q272" s="43">
        <f t="shared" si="54"/>
        <v>-0.34013437099999999</v>
      </c>
      <c r="R272" s="43">
        <f t="shared" si="55"/>
        <v>0.11569139033556564</v>
      </c>
    </row>
    <row r="273" spans="1:18" ht="15.75" customHeight="1" x14ac:dyDescent="0.3">
      <c r="A273" s="47">
        <v>38255</v>
      </c>
      <c r="B273" s="48">
        <v>0</v>
      </c>
      <c r="C273" s="50">
        <v>0</v>
      </c>
      <c r="D273" s="10">
        <f t="shared" si="47"/>
        <v>-0.38980777739764078</v>
      </c>
      <c r="E273" s="10">
        <f t="shared" si="48"/>
        <v>-0.48607599697214554</v>
      </c>
      <c r="F273" s="10">
        <f t="shared" si="46"/>
        <v>0.15195010331968867</v>
      </c>
      <c r="G273" s="10">
        <f t="shared" si="46"/>
        <v>0.23626987483246525</v>
      </c>
      <c r="H273" s="11">
        <f t="shared" si="56"/>
        <v>0.18947620402605442</v>
      </c>
      <c r="I273" s="12">
        <f t="shared" si="57"/>
        <v>0</v>
      </c>
      <c r="J273" s="28">
        <f t="shared" si="58"/>
        <v>0</v>
      </c>
      <c r="K273" s="30">
        <f t="shared" si="49"/>
        <v>0</v>
      </c>
      <c r="L273" s="5"/>
      <c r="M273" s="30">
        <f t="shared" si="50"/>
        <v>0</v>
      </c>
      <c r="N273" s="42">
        <f t="shared" si="51"/>
        <v>0</v>
      </c>
      <c r="O273" s="43">
        <f t="shared" si="52"/>
        <v>0</v>
      </c>
      <c r="P273" s="43">
        <f t="shared" si="53"/>
        <v>-0.34013437099999999</v>
      </c>
      <c r="Q273" s="43">
        <f t="shared" si="54"/>
        <v>-0.34013437099999999</v>
      </c>
      <c r="R273" s="43">
        <f t="shared" si="55"/>
        <v>0.11569139033556564</v>
      </c>
    </row>
    <row r="274" spans="1:18" ht="15.75" customHeight="1" x14ac:dyDescent="0.3">
      <c r="A274" s="47">
        <v>38256</v>
      </c>
      <c r="B274" s="48">
        <v>0</v>
      </c>
      <c r="C274" s="50">
        <v>0</v>
      </c>
      <c r="D274" s="10">
        <f t="shared" si="47"/>
        <v>-0.38980777739764078</v>
      </c>
      <c r="E274" s="10">
        <f t="shared" si="48"/>
        <v>-0.48607599697214554</v>
      </c>
      <c r="F274" s="10">
        <f t="shared" si="46"/>
        <v>0.15195010331968867</v>
      </c>
      <c r="G274" s="10">
        <f t="shared" si="46"/>
        <v>0.23626987483246525</v>
      </c>
      <c r="H274" s="11">
        <f t="shared" si="56"/>
        <v>0.18947620402605442</v>
      </c>
      <c r="I274" s="12">
        <f t="shared" si="57"/>
        <v>0</v>
      </c>
      <c r="J274" s="28">
        <f t="shared" si="58"/>
        <v>0</v>
      </c>
      <c r="K274" s="30">
        <f t="shared" si="49"/>
        <v>0</v>
      </c>
      <c r="L274" s="5"/>
      <c r="M274" s="30">
        <f t="shared" si="50"/>
        <v>0</v>
      </c>
      <c r="N274" s="42">
        <f t="shared" si="51"/>
        <v>0</v>
      </c>
      <c r="O274" s="43">
        <f t="shared" si="52"/>
        <v>0</v>
      </c>
      <c r="P274" s="43">
        <f t="shared" si="53"/>
        <v>-0.34013437099999999</v>
      </c>
      <c r="Q274" s="43">
        <f t="shared" si="54"/>
        <v>-0.34013437099999999</v>
      </c>
      <c r="R274" s="43">
        <f t="shared" si="55"/>
        <v>0.11569139033556564</v>
      </c>
    </row>
    <row r="275" spans="1:18" ht="15.75" customHeight="1" x14ac:dyDescent="0.3">
      <c r="A275" s="47">
        <v>38257</v>
      </c>
      <c r="B275" s="48">
        <v>0</v>
      </c>
      <c r="C275" s="50">
        <v>0</v>
      </c>
      <c r="D275" s="10">
        <f t="shared" si="47"/>
        <v>-0.38980777739764078</v>
      </c>
      <c r="E275" s="10">
        <f t="shared" si="48"/>
        <v>-0.48607599697214554</v>
      </c>
      <c r="F275" s="10">
        <f t="shared" si="46"/>
        <v>0.15195010331968867</v>
      </c>
      <c r="G275" s="10">
        <f t="shared" si="46"/>
        <v>0.23626987483246525</v>
      </c>
      <c r="H275" s="11">
        <f t="shared" si="56"/>
        <v>0.18947620402605442</v>
      </c>
      <c r="I275" s="12">
        <f t="shared" si="57"/>
        <v>0</v>
      </c>
      <c r="J275" s="28">
        <f t="shared" si="58"/>
        <v>0</v>
      </c>
      <c r="K275" s="30">
        <f t="shared" si="49"/>
        <v>0</v>
      </c>
      <c r="L275" s="5"/>
      <c r="M275" s="30">
        <f t="shared" si="50"/>
        <v>0</v>
      </c>
      <c r="N275" s="42">
        <f t="shared" si="51"/>
        <v>0</v>
      </c>
      <c r="O275" s="43">
        <f t="shared" si="52"/>
        <v>0</v>
      </c>
      <c r="P275" s="43">
        <f t="shared" si="53"/>
        <v>-0.34013437099999999</v>
      </c>
      <c r="Q275" s="43">
        <f t="shared" si="54"/>
        <v>-0.34013437099999999</v>
      </c>
      <c r="R275" s="43">
        <f t="shared" si="55"/>
        <v>0.11569139033556564</v>
      </c>
    </row>
    <row r="276" spans="1:18" ht="15.75" customHeight="1" x14ac:dyDescent="0.3">
      <c r="A276" s="47">
        <v>38258</v>
      </c>
      <c r="B276" s="48">
        <v>0</v>
      </c>
      <c r="C276" s="50">
        <v>0</v>
      </c>
      <c r="D276" s="10">
        <f t="shared" si="47"/>
        <v>-0.38980777739764078</v>
      </c>
      <c r="E276" s="10">
        <f t="shared" si="48"/>
        <v>-0.48607599697214554</v>
      </c>
      <c r="F276" s="10">
        <f t="shared" si="46"/>
        <v>0.15195010331968867</v>
      </c>
      <c r="G276" s="10">
        <f t="shared" si="46"/>
        <v>0.23626987483246525</v>
      </c>
      <c r="H276" s="11">
        <f t="shared" si="56"/>
        <v>0.18947620402605442</v>
      </c>
      <c r="I276" s="12">
        <f t="shared" si="57"/>
        <v>0</v>
      </c>
      <c r="J276" s="28">
        <f t="shared" si="58"/>
        <v>0</v>
      </c>
      <c r="K276" s="30">
        <f t="shared" si="49"/>
        <v>0</v>
      </c>
      <c r="L276" s="5"/>
      <c r="M276" s="30">
        <f t="shared" si="50"/>
        <v>0</v>
      </c>
      <c r="N276" s="42">
        <f t="shared" si="51"/>
        <v>0</v>
      </c>
      <c r="O276" s="43">
        <f t="shared" si="52"/>
        <v>0</v>
      </c>
      <c r="P276" s="43">
        <f t="shared" si="53"/>
        <v>-0.34013437099999999</v>
      </c>
      <c r="Q276" s="43">
        <f t="shared" si="54"/>
        <v>-0.34013437099999999</v>
      </c>
      <c r="R276" s="43">
        <f t="shared" si="55"/>
        <v>0.11569139033556564</v>
      </c>
    </row>
    <row r="277" spans="1:18" ht="15.75" customHeight="1" x14ac:dyDescent="0.3">
      <c r="A277" s="47">
        <v>38259</v>
      </c>
      <c r="B277" s="48">
        <v>0</v>
      </c>
      <c r="C277" s="50">
        <v>0</v>
      </c>
      <c r="D277" s="10">
        <f t="shared" si="47"/>
        <v>-0.38980777739764078</v>
      </c>
      <c r="E277" s="10">
        <f t="shared" si="48"/>
        <v>-0.48607599697214554</v>
      </c>
      <c r="F277" s="10">
        <f t="shared" ref="F277:G340" si="59">D277^2</f>
        <v>0.15195010331968867</v>
      </c>
      <c r="G277" s="10">
        <f t="shared" si="59"/>
        <v>0.23626987483246525</v>
      </c>
      <c r="H277" s="11">
        <f t="shared" si="56"/>
        <v>0.18947620402605442</v>
      </c>
      <c r="I277" s="12">
        <f t="shared" si="57"/>
        <v>0</v>
      </c>
      <c r="J277" s="28">
        <f t="shared" si="58"/>
        <v>0</v>
      </c>
      <c r="K277" s="30">
        <f t="shared" si="49"/>
        <v>0</v>
      </c>
      <c r="L277" s="5"/>
      <c r="M277" s="30">
        <f t="shared" si="50"/>
        <v>0</v>
      </c>
      <c r="N277" s="42">
        <f t="shared" si="51"/>
        <v>0</v>
      </c>
      <c r="O277" s="43">
        <f t="shared" si="52"/>
        <v>0</v>
      </c>
      <c r="P277" s="43">
        <f t="shared" si="53"/>
        <v>-0.34013437099999999</v>
      </c>
      <c r="Q277" s="43">
        <f t="shared" si="54"/>
        <v>-0.34013437099999999</v>
      </c>
      <c r="R277" s="43">
        <f t="shared" si="55"/>
        <v>0.11569139033556564</v>
      </c>
    </row>
    <row r="278" spans="1:18" ht="15.75" customHeight="1" x14ac:dyDescent="0.3">
      <c r="A278" s="47">
        <v>38260</v>
      </c>
      <c r="B278" s="48">
        <v>0</v>
      </c>
      <c r="C278" s="50">
        <v>0</v>
      </c>
      <c r="D278" s="10">
        <f t="shared" si="47"/>
        <v>-0.38980777739764078</v>
      </c>
      <c r="E278" s="10">
        <f t="shared" si="48"/>
        <v>-0.48607599697214554</v>
      </c>
      <c r="F278" s="10">
        <f t="shared" si="59"/>
        <v>0.15195010331968867</v>
      </c>
      <c r="G278" s="10">
        <f t="shared" si="59"/>
        <v>0.23626987483246525</v>
      </c>
      <c r="H278" s="11">
        <f t="shared" si="56"/>
        <v>0.18947620402605442</v>
      </c>
      <c r="I278" s="12">
        <f t="shared" si="57"/>
        <v>0</v>
      </c>
      <c r="J278" s="28">
        <f t="shared" si="58"/>
        <v>0</v>
      </c>
      <c r="K278" s="30">
        <f t="shared" si="49"/>
        <v>0</v>
      </c>
      <c r="L278" s="5"/>
      <c r="M278" s="30">
        <f t="shared" si="50"/>
        <v>0</v>
      </c>
      <c r="N278" s="42">
        <f t="shared" si="51"/>
        <v>0</v>
      </c>
      <c r="O278" s="43">
        <f t="shared" si="52"/>
        <v>0</v>
      </c>
      <c r="P278" s="43">
        <f t="shared" si="53"/>
        <v>-0.34013437099999999</v>
      </c>
      <c r="Q278" s="43">
        <f t="shared" si="54"/>
        <v>-0.34013437099999999</v>
      </c>
      <c r="R278" s="43">
        <f t="shared" si="55"/>
        <v>0.11569139033556564</v>
      </c>
    </row>
    <row r="279" spans="1:18" ht="15.75" customHeight="1" x14ac:dyDescent="0.3">
      <c r="A279" s="47">
        <v>38261</v>
      </c>
      <c r="B279" s="48">
        <v>0</v>
      </c>
      <c r="C279" s="50">
        <v>0</v>
      </c>
      <c r="D279" s="10">
        <f t="shared" si="47"/>
        <v>-0.38980777739764078</v>
      </c>
      <c r="E279" s="10">
        <f t="shared" si="48"/>
        <v>-0.48607599697214554</v>
      </c>
      <c r="F279" s="10">
        <f t="shared" si="59"/>
        <v>0.15195010331968867</v>
      </c>
      <c r="G279" s="10">
        <f t="shared" si="59"/>
        <v>0.23626987483246525</v>
      </c>
      <c r="H279" s="11">
        <f t="shared" si="56"/>
        <v>0.18947620402605442</v>
      </c>
      <c r="I279" s="12">
        <f t="shared" si="57"/>
        <v>0</v>
      </c>
      <c r="J279" s="28">
        <f t="shared" si="58"/>
        <v>0</v>
      </c>
      <c r="K279" s="30">
        <f t="shared" si="49"/>
        <v>0</v>
      </c>
      <c r="L279" s="5"/>
      <c r="M279" s="30">
        <f t="shared" si="50"/>
        <v>0</v>
      </c>
      <c r="N279" s="42">
        <f t="shared" si="51"/>
        <v>0</v>
      </c>
      <c r="O279" s="43">
        <f t="shared" si="52"/>
        <v>0</v>
      </c>
      <c r="P279" s="43">
        <f t="shared" si="53"/>
        <v>-0.34013437099999999</v>
      </c>
      <c r="Q279" s="43">
        <f t="shared" si="54"/>
        <v>-0.34013437099999999</v>
      </c>
      <c r="R279" s="43">
        <f t="shared" si="55"/>
        <v>0.11569139033556564</v>
      </c>
    </row>
    <row r="280" spans="1:18" ht="15.75" customHeight="1" x14ac:dyDescent="0.3">
      <c r="A280" s="47">
        <v>38262</v>
      </c>
      <c r="B280" s="48">
        <v>0</v>
      </c>
      <c r="C280" s="50">
        <v>0</v>
      </c>
      <c r="D280" s="10">
        <f t="shared" si="47"/>
        <v>-0.38980777739764078</v>
      </c>
      <c r="E280" s="10">
        <f t="shared" si="48"/>
        <v>-0.48607599697214554</v>
      </c>
      <c r="F280" s="10">
        <f t="shared" si="59"/>
        <v>0.15195010331968867</v>
      </c>
      <c r="G280" s="10">
        <f t="shared" si="59"/>
        <v>0.23626987483246525</v>
      </c>
      <c r="H280" s="11">
        <f t="shared" si="56"/>
        <v>0.18947620402605442</v>
      </c>
      <c r="I280" s="12">
        <f t="shared" si="57"/>
        <v>0</v>
      </c>
      <c r="J280" s="28">
        <f t="shared" si="58"/>
        <v>0</v>
      </c>
      <c r="K280" s="30">
        <f t="shared" si="49"/>
        <v>0</v>
      </c>
      <c r="L280" s="5"/>
      <c r="M280" s="30">
        <f t="shared" si="50"/>
        <v>0</v>
      </c>
      <c r="N280" s="42">
        <f t="shared" si="51"/>
        <v>0</v>
      </c>
      <c r="O280" s="43">
        <f t="shared" si="52"/>
        <v>0</v>
      </c>
      <c r="P280" s="43">
        <f t="shared" si="53"/>
        <v>-0.34013437099999999</v>
      </c>
      <c r="Q280" s="43">
        <f t="shared" si="54"/>
        <v>-0.34013437099999999</v>
      </c>
      <c r="R280" s="43">
        <f t="shared" si="55"/>
        <v>0.11569139033556564</v>
      </c>
    </row>
    <row r="281" spans="1:18" ht="15.75" customHeight="1" x14ac:dyDescent="0.3">
      <c r="A281" s="47">
        <v>38263</v>
      </c>
      <c r="B281" s="48">
        <v>0</v>
      </c>
      <c r="C281" s="50">
        <v>0</v>
      </c>
      <c r="D281" s="10">
        <f t="shared" si="47"/>
        <v>-0.38980777739764078</v>
      </c>
      <c r="E281" s="10">
        <f t="shared" si="48"/>
        <v>-0.48607599697214554</v>
      </c>
      <c r="F281" s="10">
        <f t="shared" si="59"/>
        <v>0.15195010331968867</v>
      </c>
      <c r="G281" s="10">
        <f t="shared" si="59"/>
        <v>0.23626987483246525</v>
      </c>
      <c r="H281" s="11">
        <f t="shared" si="56"/>
        <v>0.18947620402605442</v>
      </c>
      <c r="I281" s="12">
        <f t="shared" si="57"/>
        <v>0</v>
      </c>
      <c r="J281" s="28">
        <f t="shared" si="58"/>
        <v>0</v>
      </c>
      <c r="K281" s="30">
        <f t="shared" si="49"/>
        <v>0</v>
      </c>
      <c r="L281" s="5"/>
      <c r="M281" s="30">
        <f t="shared" si="50"/>
        <v>0</v>
      </c>
      <c r="N281" s="42">
        <f t="shared" si="51"/>
        <v>0</v>
      </c>
      <c r="O281" s="43">
        <f t="shared" si="52"/>
        <v>0</v>
      </c>
      <c r="P281" s="43">
        <f t="shared" si="53"/>
        <v>-0.34013437099999999</v>
      </c>
      <c r="Q281" s="43">
        <f t="shared" si="54"/>
        <v>-0.34013437099999999</v>
      </c>
      <c r="R281" s="43">
        <f t="shared" si="55"/>
        <v>0.11569139033556564</v>
      </c>
    </row>
    <row r="282" spans="1:18" ht="15.75" customHeight="1" x14ac:dyDescent="0.3">
      <c r="A282" s="47">
        <v>38264</v>
      </c>
      <c r="B282" s="48">
        <v>0</v>
      </c>
      <c r="C282" s="50">
        <v>0</v>
      </c>
      <c r="D282" s="10">
        <f t="shared" si="47"/>
        <v>-0.38980777739764078</v>
      </c>
      <c r="E282" s="10">
        <f t="shared" si="48"/>
        <v>-0.48607599697214554</v>
      </c>
      <c r="F282" s="10">
        <f t="shared" si="59"/>
        <v>0.15195010331968867</v>
      </c>
      <c r="G282" s="10">
        <f t="shared" si="59"/>
        <v>0.23626987483246525</v>
      </c>
      <c r="H282" s="11">
        <f t="shared" si="56"/>
        <v>0.18947620402605442</v>
      </c>
      <c r="I282" s="12">
        <f t="shared" si="57"/>
        <v>0</v>
      </c>
      <c r="J282" s="28">
        <f t="shared" si="58"/>
        <v>0</v>
      </c>
      <c r="K282" s="30">
        <f t="shared" si="49"/>
        <v>0</v>
      </c>
      <c r="L282" s="5"/>
      <c r="M282" s="30">
        <f t="shared" si="50"/>
        <v>0</v>
      </c>
      <c r="N282" s="42">
        <f t="shared" si="51"/>
        <v>0</v>
      </c>
      <c r="O282" s="43">
        <f t="shared" si="52"/>
        <v>0</v>
      </c>
      <c r="P282" s="43">
        <f t="shared" si="53"/>
        <v>-0.34013437099999999</v>
      </c>
      <c r="Q282" s="43">
        <f t="shared" si="54"/>
        <v>-0.34013437099999999</v>
      </c>
      <c r="R282" s="43">
        <f t="shared" si="55"/>
        <v>0.11569139033556564</v>
      </c>
    </row>
    <row r="283" spans="1:18" ht="15.75" customHeight="1" x14ac:dyDescent="0.3">
      <c r="A283" s="47">
        <v>38265</v>
      </c>
      <c r="B283" s="48">
        <v>0</v>
      </c>
      <c r="C283" s="50">
        <v>0</v>
      </c>
      <c r="D283" s="10">
        <f t="shared" si="47"/>
        <v>-0.38980777739764078</v>
      </c>
      <c r="E283" s="10">
        <f t="shared" si="48"/>
        <v>-0.48607599697214554</v>
      </c>
      <c r="F283" s="10">
        <f t="shared" si="59"/>
        <v>0.15195010331968867</v>
      </c>
      <c r="G283" s="10">
        <f t="shared" si="59"/>
        <v>0.23626987483246525</v>
      </c>
      <c r="H283" s="11">
        <f t="shared" si="56"/>
        <v>0.18947620402605442</v>
      </c>
      <c r="I283" s="12">
        <f t="shared" si="57"/>
        <v>0</v>
      </c>
      <c r="J283" s="28">
        <f t="shared" si="58"/>
        <v>0</v>
      </c>
      <c r="K283" s="30">
        <f t="shared" si="49"/>
        <v>0</v>
      </c>
      <c r="L283" s="5"/>
      <c r="M283" s="30">
        <f t="shared" si="50"/>
        <v>0</v>
      </c>
      <c r="N283" s="42">
        <f t="shared" si="51"/>
        <v>0</v>
      </c>
      <c r="O283" s="43">
        <f t="shared" si="52"/>
        <v>0</v>
      </c>
      <c r="P283" s="43">
        <f t="shared" si="53"/>
        <v>-0.34013437099999999</v>
      </c>
      <c r="Q283" s="43">
        <f t="shared" si="54"/>
        <v>-0.34013437099999999</v>
      </c>
      <c r="R283" s="43">
        <f t="shared" si="55"/>
        <v>0.11569139033556564</v>
      </c>
    </row>
    <row r="284" spans="1:18" ht="15.75" customHeight="1" x14ac:dyDescent="0.3">
      <c r="A284" s="47">
        <v>38266</v>
      </c>
      <c r="B284" s="48">
        <v>0</v>
      </c>
      <c r="C284" s="50">
        <v>0</v>
      </c>
      <c r="D284" s="10">
        <f t="shared" si="47"/>
        <v>-0.38980777739764078</v>
      </c>
      <c r="E284" s="10">
        <f t="shared" si="48"/>
        <v>-0.48607599697214554</v>
      </c>
      <c r="F284" s="10">
        <f t="shared" si="59"/>
        <v>0.15195010331968867</v>
      </c>
      <c r="G284" s="10">
        <f t="shared" si="59"/>
        <v>0.23626987483246525</v>
      </c>
      <c r="H284" s="11">
        <f t="shared" si="56"/>
        <v>0.18947620402605442</v>
      </c>
      <c r="I284" s="12">
        <f t="shared" si="57"/>
        <v>0</v>
      </c>
      <c r="J284" s="28">
        <f t="shared" si="58"/>
        <v>0</v>
      </c>
      <c r="K284" s="30">
        <f t="shared" si="49"/>
        <v>0</v>
      </c>
      <c r="L284" s="5"/>
      <c r="M284" s="30">
        <f t="shared" si="50"/>
        <v>0</v>
      </c>
      <c r="N284" s="42">
        <f t="shared" si="51"/>
        <v>0</v>
      </c>
      <c r="O284" s="43">
        <f t="shared" si="52"/>
        <v>0</v>
      </c>
      <c r="P284" s="43">
        <f t="shared" si="53"/>
        <v>-0.34013437099999999</v>
      </c>
      <c r="Q284" s="43">
        <f t="shared" si="54"/>
        <v>-0.34013437099999999</v>
      </c>
      <c r="R284" s="43">
        <f t="shared" si="55"/>
        <v>0.11569139033556564</v>
      </c>
    </row>
    <row r="285" spans="1:18" ht="15.75" customHeight="1" x14ac:dyDescent="0.3">
      <c r="A285" s="47">
        <v>38267</v>
      </c>
      <c r="B285" s="48">
        <v>0</v>
      </c>
      <c r="C285" s="50">
        <v>1.1047316715121269E-2</v>
      </c>
      <c r="D285" s="10">
        <f t="shared" si="47"/>
        <v>-0.38980777739764078</v>
      </c>
      <c r="E285" s="10">
        <f t="shared" si="48"/>
        <v>-0.47502868025702427</v>
      </c>
      <c r="F285" s="10">
        <f t="shared" si="59"/>
        <v>0.15195010331968867</v>
      </c>
      <c r="G285" s="10">
        <f t="shared" si="59"/>
        <v>0.2256522470667302</v>
      </c>
      <c r="H285" s="11">
        <f t="shared" si="56"/>
        <v>0.1851698740511252</v>
      </c>
      <c r="I285" s="12">
        <f t="shared" si="57"/>
        <v>1.1047316715121269E-2</v>
      </c>
      <c r="J285" s="28">
        <f t="shared" si="58"/>
        <v>1.2204320660419779E-4</v>
      </c>
      <c r="K285" s="30">
        <f t="shared" si="49"/>
        <v>1.1047316715121269E-2</v>
      </c>
      <c r="L285" s="5"/>
      <c r="M285" s="30">
        <f t="shared" si="50"/>
        <v>-1.1047316715121269E-2</v>
      </c>
      <c r="N285" s="42">
        <f t="shared" si="51"/>
        <v>-1.1047316715121269E-2</v>
      </c>
      <c r="O285" s="43">
        <f t="shared" si="52"/>
        <v>1.2204320660419779E-4</v>
      </c>
      <c r="P285" s="43">
        <f t="shared" si="53"/>
        <v>-0.34013437099999999</v>
      </c>
      <c r="Q285" s="43">
        <f t="shared" si="54"/>
        <v>-0.34013437099999999</v>
      </c>
      <c r="R285" s="43">
        <f t="shared" si="55"/>
        <v>0.11569139033556564</v>
      </c>
    </row>
    <row r="286" spans="1:18" ht="15.75" customHeight="1" x14ac:dyDescent="0.3">
      <c r="A286" s="47">
        <v>38268</v>
      </c>
      <c r="B286" s="48">
        <v>0</v>
      </c>
      <c r="C286" s="50">
        <v>0.23126418888568878</v>
      </c>
      <c r="D286" s="10">
        <f t="shared" si="47"/>
        <v>-0.38980777739764078</v>
      </c>
      <c r="E286" s="10">
        <f t="shared" si="48"/>
        <v>-0.25481180808645676</v>
      </c>
      <c r="F286" s="10">
        <f t="shared" si="59"/>
        <v>0.15195010331968867</v>
      </c>
      <c r="G286" s="10">
        <f t="shared" si="59"/>
        <v>6.492905754028927E-2</v>
      </c>
      <c r="H286" s="11">
        <f t="shared" si="56"/>
        <v>9.9327624564855901E-2</v>
      </c>
      <c r="I286" s="12">
        <f t="shared" si="57"/>
        <v>0.23126418888568878</v>
      </c>
      <c r="J286" s="28">
        <f t="shared" si="58"/>
        <v>5.3483125060955539E-2</v>
      </c>
      <c r="K286" s="30">
        <f t="shared" si="49"/>
        <v>0.23126418888568878</v>
      </c>
      <c r="L286" s="5"/>
      <c r="M286" s="30">
        <f t="shared" si="50"/>
        <v>-0.23126418888568878</v>
      </c>
      <c r="N286" s="42">
        <f t="shared" si="51"/>
        <v>-0.23126418888568878</v>
      </c>
      <c r="O286" s="43">
        <f t="shared" si="52"/>
        <v>5.3483125060955539E-2</v>
      </c>
      <c r="P286" s="43">
        <f t="shared" si="53"/>
        <v>-0.34013437099999999</v>
      </c>
      <c r="Q286" s="43">
        <f t="shared" si="54"/>
        <v>-0.34013437099999999</v>
      </c>
      <c r="R286" s="43">
        <f t="shared" si="55"/>
        <v>0.11569139033556564</v>
      </c>
    </row>
    <row r="287" spans="1:18" ht="15.75" customHeight="1" x14ac:dyDescent="0.3">
      <c r="A287" s="47">
        <v>38269</v>
      </c>
      <c r="B287" s="48">
        <v>0</v>
      </c>
      <c r="C287" s="50">
        <v>0</v>
      </c>
      <c r="D287" s="10">
        <f t="shared" si="47"/>
        <v>-0.38980777739764078</v>
      </c>
      <c r="E287" s="10">
        <f t="shared" si="48"/>
        <v>-0.48607599697214554</v>
      </c>
      <c r="F287" s="10">
        <f t="shared" si="59"/>
        <v>0.15195010331968867</v>
      </c>
      <c r="G287" s="10">
        <f t="shared" si="59"/>
        <v>0.23626987483246525</v>
      </c>
      <c r="H287" s="11">
        <f t="shared" si="56"/>
        <v>0.18947620402605442</v>
      </c>
      <c r="I287" s="12">
        <f t="shared" si="57"/>
        <v>0</v>
      </c>
      <c r="J287" s="28">
        <f t="shared" si="58"/>
        <v>0</v>
      </c>
      <c r="K287" s="30">
        <f t="shared" si="49"/>
        <v>0</v>
      </c>
      <c r="L287" s="5"/>
      <c r="M287" s="30">
        <f t="shared" si="50"/>
        <v>0</v>
      </c>
      <c r="N287" s="42">
        <f t="shared" si="51"/>
        <v>0</v>
      </c>
      <c r="O287" s="43">
        <f t="shared" si="52"/>
        <v>0</v>
      </c>
      <c r="P287" s="43">
        <f t="shared" si="53"/>
        <v>-0.34013437099999999</v>
      </c>
      <c r="Q287" s="43">
        <f t="shared" si="54"/>
        <v>-0.34013437099999999</v>
      </c>
      <c r="R287" s="43">
        <f t="shared" si="55"/>
        <v>0.11569139033556564</v>
      </c>
    </row>
    <row r="288" spans="1:18" ht="15.75" customHeight="1" x14ac:dyDescent="0.3">
      <c r="A288" s="47">
        <v>38270</v>
      </c>
      <c r="B288" s="48">
        <v>0</v>
      </c>
      <c r="C288" s="50">
        <v>4.8369201977038756E-7</v>
      </c>
      <c r="D288" s="10">
        <f t="shared" si="47"/>
        <v>-0.38980777739764078</v>
      </c>
      <c r="E288" s="10">
        <f t="shared" si="48"/>
        <v>-0.48607551328012577</v>
      </c>
      <c r="F288" s="10">
        <f t="shared" si="59"/>
        <v>0.15195010331968867</v>
      </c>
      <c r="G288" s="10">
        <f t="shared" si="59"/>
        <v>0.23626940461053772</v>
      </c>
      <c r="H288" s="11">
        <f t="shared" si="56"/>
        <v>0.18947601547914325</v>
      </c>
      <c r="I288" s="12">
        <f t="shared" si="57"/>
        <v>4.8369201977038756E-7</v>
      </c>
      <c r="J288" s="28">
        <f t="shared" si="58"/>
        <v>2.3395796998955699E-13</v>
      </c>
      <c r="K288" s="30">
        <f t="shared" si="49"/>
        <v>4.8369201977038756E-7</v>
      </c>
      <c r="L288" s="5"/>
      <c r="M288" s="30">
        <f t="shared" si="50"/>
        <v>-4.8369201977038756E-7</v>
      </c>
      <c r="N288" s="42">
        <f t="shared" si="51"/>
        <v>-4.8369201977038756E-7</v>
      </c>
      <c r="O288" s="43">
        <f t="shared" si="52"/>
        <v>2.3395796998955699E-13</v>
      </c>
      <c r="P288" s="43">
        <f t="shared" si="53"/>
        <v>-0.34013437099999999</v>
      </c>
      <c r="Q288" s="43">
        <f t="shared" si="54"/>
        <v>-0.34013437099999999</v>
      </c>
      <c r="R288" s="43">
        <f t="shared" si="55"/>
        <v>0.11569139033556564</v>
      </c>
    </row>
    <row r="289" spans="1:18" ht="15.75" customHeight="1" x14ac:dyDescent="0.3">
      <c r="A289" s="47">
        <v>38271</v>
      </c>
      <c r="B289" s="48">
        <v>0</v>
      </c>
      <c r="C289" s="50">
        <v>0</v>
      </c>
      <c r="D289" s="10">
        <f t="shared" si="47"/>
        <v>-0.38980777739764078</v>
      </c>
      <c r="E289" s="10">
        <f t="shared" si="48"/>
        <v>-0.48607599697214554</v>
      </c>
      <c r="F289" s="10">
        <f t="shared" si="59"/>
        <v>0.15195010331968867</v>
      </c>
      <c r="G289" s="10">
        <f t="shared" si="59"/>
        <v>0.23626987483246525</v>
      </c>
      <c r="H289" s="11">
        <f t="shared" si="56"/>
        <v>0.18947620402605442</v>
      </c>
      <c r="I289" s="12">
        <f t="shared" si="57"/>
        <v>0</v>
      </c>
      <c r="J289" s="28">
        <f t="shared" si="58"/>
        <v>0</v>
      </c>
      <c r="K289" s="30">
        <f t="shared" si="49"/>
        <v>0</v>
      </c>
      <c r="L289" s="5"/>
      <c r="M289" s="30">
        <f t="shared" si="50"/>
        <v>0</v>
      </c>
      <c r="N289" s="42">
        <f t="shared" si="51"/>
        <v>0</v>
      </c>
      <c r="O289" s="43">
        <f t="shared" si="52"/>
        <v>0</v>
      </c>
      <c r="P289" s="43">
        <f t="shared" si="53"/>
        <v>-0.34013437099999999</v>
      </c>
      <c r="Q289" s="43">
        <f t="shared" si="54"/>
        <v>-0.34013437099999999</v>
      </c>
      <c r="R289" s="43">
        <f t="shared" si="55"/>
        <v>0.11569139033556564</v>
      </c>
    </row>
    <row r="290" spans="1:18" ht="15.75" customHeight="1" x14ac:dyDescent="0.3">
      <c r="A290" s="47">
        <v>38272</v>
      </c>
      <c r="B290" s="48">
        <v>0</v>
      </c>
      <c r="C290" s="50">
        <v>0</v>
      </c>
      <c r="D290" s="10">
        <f t="shared" si="47"/>
        <v>-0.38980777739764078</v>
      </c>
      <c r="E290" s="10">
        <f t="shared" si="48"/>
        <v>-0.48607599697214554</v>
      </c>
      <c r="F290" s="10">
        <f t="shared" si="59"/>
        <v>0.15195010331968867</v>
      </c>
      <c r="G290" s="10">
        <f t="shared" si="59"/>
        <v>0.23626987483246525</v>
      </c>
      <c r="H290" s="11">
        <f t="shared" si="56"/>
        <v>0.18947620402605442</v>
      </c>
      <c r="I290" s="12">
        <f t="shared" si="57"/>
        <v>0</v>
      </c>
      <c r="J290" s="28">
        <f t="shared" si="58"/>
        <v>0</v>
      </c>
      <c r="K290" s="30">
        <f t="shared" si="49"/>
        <v>0</v>
      </c>
      <c r="L290" s="5"/>
      <c r="M290" s="30">
        <f t="shared" si="50"/>
        <v>0</v>
      </c>
      <c r="N290" s="42">
        <f t="shared" si="51"/>
        <v>0</v>
      </c>
      <c r="O290" s="43">
        <f t="shared" si="52"/>
        <v>0</v>
      </c>
      <c r="P290" s="43">
        <f t="shared" si="53"/>
        <v>-0.34013437099999999</v>
      </c>
      <c r="Q290" s="43">
        <f t="shared" si="54"/>
        <v>-0.34013437099999999</v>
      </c>
      <c r="R290" s="43">
        <f t="shared" si="55"/>
        <v>0.11569139033556564</v>
      </c>
    </row>
    <row r="291" spans="1:18" ht="15.75" customHeight="1" x14ac:dyDescent="0.3">
      <c r="A291" s="47">
        <v>38273</v>
      </c>
      <c r="B291" s="48">
        <v>0</v>
      </c>
      <c r="C291" s="50">
        <v>0</v>
      </c>
      <c r="D291" s="10">
        <f t="shared" si="47"/>
        <v>-0.38980777739764078</v>
      </c>
      <c r="E291" s="10">
        <f t="shared" si="48"/>
        <v>-0.48607599697214554</v>
      </c>
      <c r="F291" s="10">
        <f t="shared" si="59"/>
        <v>0.15195010331968867</v>
      </c>
      <c r="G291" s="10">
        <f t="shared" si="59"/>
        <v>0.23626987483246525</v>
      </c>
      <c r="H291" s="11">
        <f t="shared" si="56"/>
        <v>0.18947620402605442</v>
      </c>
      <c r="I291" s="12">
        <f t="shared" si="57"/>
        <v>0</v>
      </c>
      <c r="J291" s="28">
        <f t="shared" si="58"/>
        <v>0</v>
      </c>
      <c r="K291" s="30">
        <f t="shared" si="49"/>
        <v>0</v>
      </c>
      <c r="L291" s="5"/>
      <c r="M291" s="30">
        <f t="shared" si="50"/>
        <v>0</v>
      </c>
      <c r="N291" s="42">
        <f t="shared" si="51"/>
        <v>0</v>
      </c>
      <c r="O291" s="43">
        <f t="shared" si="52"/>
        <v>0</v>
      </c>
      <c r="P291" s="43">
        <f t="shared" si="53"/>
        <v>-0.34013437099999999</v>
      </c>
      <c r="Q291" s="43">
        <f t="shared" si="54"/>
        <v>-0.34013437099999999</v>
      </c>
      <c r="R291" s="43">
        <f t="shared" si="55"/>
        <v>0.11569139033556564</v>
      </c>
    </row>
    <row r="292" spans="1:18" ht="15.75" customHeight="1" x14ac:dyDescent="0.3">
      <c r="A292" s="47">
        <v>38274</v>
      </c>
      <c r="B292" s="48">
        <v>0</v>
      </c>
      <c r="C292" s="50">
        <v>0</v>
      </c>
      <c r="D292" s="10">
        <f t="shared" si="47"/>
        <v>-0.38980777739764078</v>
      </c>
      <c r="E292" s="10">
        <f t="shared" si="48"/>
        <v>-0.48607599697214554</v>
      </c>
      <c r="F292" s="10">
        <f t="shared" si="59"/>
        <v>0.15195010331968867</v>
      </c>
      <c r="G292" s="10">
        <f t="shared" si="59"/>
        <v>0.23626987483246525</v>
      </c>
      <c r="H292" s="11">
        <f t="shared" si="56"/>
        <v>0.18947620402605442</v>
      </c>
      <c r="I292" s="12">
        <f t="shared" si="57"/>
        <v>0</v>
      </c>
      <c r="J292" s="28">
        <f t="shared" si="58"/>
        <v>0</v>
      </c>
      <c r="K292" s="30">
        <f t="shared" si="49"/>
        <v>0</v>
      </c>
      <c r="L292" s="5"/>
      <c r="M292" s="30">
        <f t="shared" si="50"/>
        <v>0</v>
      </c>
      <c r="N292" s="42">
        <f t="shared" si="51"/>
        <v>0</v>
      </c>
      <c r="O292" s="43">
        <f t="shared" si="52"/>
        <v>0</v>
      </c>
      <c r="P292" s="43">
        <f t="shared" si="53"/>
        <v>-0.34013437099999999</v>
      </c>
      <c r="Q292" s="43">
        <f t="shared" si="54"/>
        <v>-0.34013437099999999</v>
      </c>
      <c r="R292" s="43">
        <f t="shared" si="55"/>
        <v>0.11569139033556564</v>
      </c>
    </row>
    <row r="293" spans="1:18" ht="15.75" customHeight="1" x14ac:dyDescent="0.3">
      <c r="A293" s="47">
        <v>38275</v>
      </c>
      <c r="B293" s="48">
        <v>0</v>
      </c>
      <c r="C293" s="50">
        <v>0.14251738786697388</v>
      </c>
      <c r="D293" s="10">
        <f t="shared" si="47"/>
        <v>-0.38980777739764078</v>
      </c>
      <c r="E293" s="10">
        <f t="shared" si="48"/>
        <v>-0.34355860910517166</v>
      </c>
      <c r="F293" s="10">
        <f t="shared" si="59"/>
        <v>0.15195010331968867</v>
      </c>
      <c r="G293" s="10">
        <f t="shared" si="59"/>
        <v>0.11803251789028014</v>
      </c>
      <c r="H293" s="11">
        <f t="shared" si="56"/>
        <v>0.13392181782111184</v>
      </c>
      <c r="I293" s="12">
        <f t="shared" si="57"/>
        <v>0.14251738786697388</v>
      </c>
      <c r="J293" s="28">
        <f t="shared" si="58"/>
        <v>2.0311205844425473E-2</v>
      </c>
      <c r="K293" s="30">
        <f t="shared" si="49"/>
        <v>0.14251738786697388</v>
      </c>
      <c r="L293" s="5"/>
      <c r="M293" s="30">
        <f t="shared" si="50"/>
        <v>-0.14251738786697388</v>
      </c>
      <c r="N293" s="42">
        <f t="shared" si="51"/>
        <v>-0.14251738786697388</v>
      </c>
      <c r="O293" s="43">
        <f t="shared" si="52"/>
        <v>2.0311205844425473E-2</v>
      </c>
      <c r="P293" s="43">
        <f t="shared" si="53"/>
        <v>-0.34013437099999999</v>
      </c>
      <c r="Q293" s="43">
        <f t="shared" si="54"/>
        <v>-0.34013437099999999</v>
      </c>
      <c r="R293" s="43">
        <f t="shared" si="55"/>
        <v>0.11569139033556564</v>
      </c>
    </row>
    <row r="294" spans="1:18" ht="15.75" customHeight="1" x14ac:dyDescent="0.3">
      <c r="A294" s="47">
        <v>38276</v>
      </c>
      <c r="B294" s="48">
        <v>0</v>
      </c>
      <c r="C294" s="50">
        <v>1.8416978418827057E-2</v>
      </c>
      <c r="D294" s="10">
        <f t="shared" si="47"/>
        <v>-0.38980777739764078</v>
      </c>
      <c r="E294" s="10">
        <f t="shared" si="48"/>
        <v>-0.46765901855331848</v>
      </c>
      <c r="F294" s="10">
        <f t="shared" si="59"/>
        <v>0.15195010331968867</v>
      </c>
      <c r="G294" s="10">
        <f t="shared" si="59"/>
        <v>0.21870495763425307</v>
      </c>
      <c r="H294" s="11">
        <f t="shared" si="56"/>
        <v>0.18229712260223113</v>
      </c>
      <c r="I294" s="12">
        <f t="shared" si="57"/>
        <v>1.8416978418827057E-2</v>
      </c>
      <c r="J294" s="28">
        <f t="shared" si="58"/>
        <v>3.3918509407954156E-4</v>
      </c>
      <c r="K294" s="30">
        <f t="shared" si="49"/>
        <v>1.8416978418827057E-2</v>
      </c>
      <c r="L294" s="5"/>
      <c r="M294" s="30">
        <f t="shared" si="50"/>
        <v>-1.8416978418827057E-2</v>
      </c>
      <c r="N294" s="42">
        <f t="shared" si="51"/>
        <v>-1.8416978418827057E-2</v>
      </c>
      <c r="O294" s="43">
        <f t="shared" si="52"/>
        <v>3.3918509407954156E-4</v>
      </c>
      <c r="P294" s="43">
        <f t="shared" si="53"/>
        <v>-0.34013437099999999</v>
      </c>
      <c r="Q294" s="43">
        <f t="shared" si="54"/>
        <v>-0.34013437099999999</v>
      </c>
      <c r="R294" s="43">
        <f t="shared" si="55"/>
        <v>0.11569139033556564</v>
      </c>
    </row>
    <row r="295" spans="1:18" ht="15.75" customHeight="1" x14ac:dyDescent="0.3">
      <c r="A295" s="47">
        <v>38277</v>
      </c>
      <c r="B295" s="48">
        <v>0</v>
      </c>
      <c r="C295" s="50">
        <v>0</v>
      </c>
      <c r="D295" s="10">
        <f t="shared" si="47"/>
        <v>-0.38980777739764078</v>
      </c>
      <c r="E295" s="10">
        <f t="shared" si="48"/>
        <v>-0.48607599697214554</v>
      </c>
      <c r="F295" s="10">
        <f t="shared" si="59"/>
        <v>0.15195010331968867</v>
      </c>
      <c r="G295" s="10">
        <f t="shared" si="59"/>
        <v>0.23626987483246525</v>
      </c>
      <c r="H295" s="11">
        <f t="shared" si="56"/>
        <v>0.18947620402605442</v>
      </c>
      <c r="I295" s="12">
        <f t="shared" si="57"/>
        <v>0</v>
      </c>
      <c r="J295" s="28">
        <f t="shared" si="58"/>
        <v>0</v>
      </c>
      <c r="K295" s="30">
        <f t="shared" si="49"/>
        <v>0</v>
      </c>
      <c r="L295" s="5"/>
      <c r="M295" s="30">
        <f t="shared" si="50"/>
        <v>0</v>
      </c>
      <c r="N295" s="42">
        <f t="shared" si="51"/>
        <v>0</v>
      </c>
      <c r="O295" s="43">
        <f t="shared" si="52"/>
        <v>0</v>
      </c>
      <c r="P295" s="43">
        <f t="shared" si="53"/>
        <v>-0.34013437099999999</v>
      </c>
      <c r="Q295" s="43">
        <f t="shared" si="54"/>
        <v>-0.34013437099999999</v>
      </c>
      <c r="R295" s="43">
        <f t="shared" si="55"/>
        <v>0.11569139033556564</v>
      </c>
    </row>
    <row r="296" spans="1:18" ht="15.75" customHeight="1" x14ac:dyDescent="0.3">
      <c r="A296" s="47">
        <v>38278</v>
      </c>
      <c r="B296" s="48">
        <v>0</v>
      </c>
      <c r="C296" s="50">
        <v>0</v>
      </c>
      <c r="D296" s="10">
        <f t="shared" si="47"/>
        <v>-0.38980777739764078</v>
      </c>
      <c r="E296" s="10">
        <f t="shared" si="48"/>
        <v>-0.48607599697214554</v>
      </c>
      <c r="F296" s="10">
        <f t="shared" si="59"/>
        <v>0.15195010331968867</v>
      </c>
      <c r="G296" s="10">
        <f t="shared" si="59"/>
        <v>0.23626987483246525</v>
      </c>
      <c r="H296" s="11">
        <f t="shared" si="56"/>
        <v>0.18947620402605442</v>
      </c>
      <c r="I296" s="12">
        <f t="shared" si="57"/>
        <v>0</v>
      </c>
      <c r="J296" s="28">
        <f t="shared" si="58"/>
        <v>0</v>
      </c>
      <c r="K296" s="30">
        <f t="shared" si="49"/>
        <v>0</v>
      </c>
      <c r="L296" s="5"/>
      <c r="M296" s="30">
        <f t="shared" si="50"/>
        <v>0</v>
      </c>
      <c r="N296" s="42">
        <f t="shared" si="51"/>
        <v>0</v>
      </c>
      <c r="O296" s="43">
        <f t="shared" si="52"/>
        <v>0</v>
      </c>
      <c r="P296" s="43">
        <f t="shared" si="53"/>
        <v>-0.34013437099999999</v>
      </c>
      <c r="Q296" s="43">
        <f t="shared" si="54"/>
        <v>-0.34013437099999999</v>
      </c>
      <c r="R296" s="43">
        <f t="shared" si="55"/>
        <v>0.11569139033556564</v>
      </c>
    </row>
    <row r="297" spans="1:18" ht="15.75" customHeight="1" x14ac:dyDescent="0.3">
      <c r="A297" s="47">
        <v>38279</v>
      </c>
      <c r="B297" s="48">
        <v>0</v>
      </c>
      <c r="C297" s="50">
        <v>0</v>
      </c>
      <c r="D297" s="10">
        <f t="shared" si="47"/>
        <v>-0.38980777739764078</v>
      </c>
      <c r="E297" s="10">
        <f t="shared" si="48"/>
        <v>-0.48607599697214554</v>
      </c>
      <c r="F297" s="10">
        <f t="shared" si="59"/>
        <v>0.15195010331968867</v>
      </c>
      <c r="G297" s="10">
        <f t="shared" si="59"/>
        <v>0.23626987483246525</v>
      </c>
      <c r="H297" s="11">
        <f t="shared" si="56"/>
        <v>0.18947620402605442</v>
      </c>
      <c r="I297" s="12">
        <f t="shared" si="57"/>
        <v>0</v>
      </c>
      <c r="J297" s="28">
        <f t="shared" si="58"/>
        <v>0</v>
      </c>
      <c r="K297" s="30">
        <f t="shared" si="49"/>
        <v>0</v>
      </c>
      <c r="L297" s="5"/>
      <c r="M297" s="30">
        <f t="shared" si="50"/>
        <v>0</v>
      </c>
      <c r="N297" s="42">
        <f t="shared" si="51"/>
        <v>0</v>
      </c>
      <c r="O297" s="43">
        <f t="shared" si="52"/>
        <v>0</v>
      </c>
      <c r="P297" s="43">
        <f t="shared" si="53"/>
        <v>-0.34013437099999999</v>
      </c>
      <c r="Q297" s="43">
        <f t="shared" si="54"/>
        <v>-0.34013437099999999</v>
      </c>
      <c r="R297" s="43">
        <f t="shared" si="55"/>
        <v>0.11569139033556564</v>
      </c>
    </row>
    <row r="298" spans="1:18" ht="15.75" customHeight="1" x14ac:dyDescent="0.3">
      <c r="A298" s="47">
        <v>38280</v>
      </c>
      <c r="B298" s="48">
        <v>0</v>
      </c>
      <c r="C298" s="50">
        <v>0</v>
      </c>
      <c r="D298" s="10">
        <f t="shared" si="47"/>
        <v>-0.38980777739764078</v>
      </c>
      <c r="E298" s="10">
        <f t="shared" si="48"/>
        <v>-0.48607599697214554</v>
      </c>
      <c r="F298" s="10">
        <f t="shared" si="59"/>
        <v>0.15195010331968867</v>
      </c>
      <c r="G298" s="10">
        <f t="shared" si="59"/>
        <v>0.23626987483246525</v>
      </c>
      <c r="H298" s="11">
        <f t="shared" si="56"/>
        <v>0.18947620402605442</v>
      </c>
      <c r="I298" s="12">
        <f t="shared" si="57"/>
        <v>0</v>
      </c>
      <c r="J298" s="28">
        <f t="shared" si="58"/>
        <v>0</v>
      </c>
      <c r="K298" s="30">
        <f t="shared" si="49"/>
        <v>0</v>
      </c>
      <c r="L298" s="5"/>
      <c r="M298" s="30">
        <f t="shared" si="50"/>
        <v>0</v>
      </c>
      <c r="N298" s="42">
        <f t="shared" si="51"/>
        <v>0</v>
      </c>
      <c r="O298" s="43">
        <f t="shared" si="52"/>
        <v>0</v>
      </c>
      <c r="P298" s="43">
        <f t="shared" si="53"/>
        <v>-0.34013437099999999</v>
      </c>
      <c r="Q298" s="43">
        <f t="shared" si="54"/>
        <v>-0.34013437099999999</v>
      </c>
      <c r="R298" s="43">
        <f t="shared" si="55"/>
        <v>0.11569139033556564</v>
      </c>
    </row>
    <row r="299" spans="1:18" ht="15.75" customHeight="1" x14ac:dyDescent="0.3">
      <c r="A299" s="47">
        <v>38281</v>
      </c>
      <c r="B299" s="48">
        <v>0</v>
      </c>
      <c r="C299" s="50">
        <v>0</v>
      </c>
      <c r="D299" s="10">
        <f t="shared" si="47"/>
        <v>-0.38980777739764078</v>
      </c>
      <c r="E299" s="10">
        <f t="shared" si="48"/>
        <v>-0.48607599697214554</v>
      </c>
      <c r="F299" s="10">
        <f t="shared" si="59"/>
        <v>0.15195010331968867</v>
      </c>
      <c r="G299" s="10">
        <f t="shared" si="59"/>
        <v>0.23626987483246525</v>
      </c>
      <c r="H299" s="11">
        <f t="shared" si="56"/>
        <v>0.18947620402605442</v>
      </c>
      <c r="I299" s="12">
        <f t="shared" si="57"/>
        <v>0</v>
      </c>
      <c r="J299" s="28">
        <f t="shared" si="58"/>
        <v>0</v>
      </c>
      <c r="K299" s="30">
        <f t="shared" si="49"/>
        <v>0</v>
      </c>
      <c r="L299" s="5"/>
      <c r="M299" s="30">
        <f t="shared" si="50"/>
        <v>0</v>
      </c>
      <c r="N299" s="42">
        <f t="shared" si="51"/>
        <v>0</v>
      </c>
      <c r="O299" s="43">
        <f t="shared" si="52"/>
        <v>0</v>
      </c>
      <c r="P299" s="43">
        <f t="shared" si="53"/>
        <v>-0.34013437099999999</v>
      </c>
      <c r="Q299" s="43">
        <f t="shared" si="54"/>
        <v>-0.34013437099999999</v>
      </c>
      <c r="R299" s="43">
        <f t="shared" si="55"/>
        <v>0.11569139033556564</v>
      </c>
    </row>
    <row r="300" spans="1:18" ht="15.75" customHeight="1" x14ac:dyDescent="0.3">
      <c r="A300" s="47">
        <v>38282</v>
      </c>
      <c r="B300" s="48">
        <v>0</v>
      </c>
      <c r="C300" s="50">
        <v>0</v>
      </c>
      <c r="D300" s="10">
        <f t="shared" si="47"/>
        <v>-0.38980777739764078</v>
      </c>
      <c r="E300" s="10">
        <f t="shared" si="48"/>
        <v>-0.48607599697214554</v>
      </c>
      <c r="F300" s="10">
        <f t="shared" si="59"/>
        <v>0.15195010331968867</v>
      </c>
      <c r="G300" s="10">
        <f t="shared" si="59"/>
        <v>0.23626987483246525</v>
      </c>
      <c r="H300" s="11">
        <f t="shared" si="56"/>
        <v>0.18947620402605442</v>
      </c>
      <c r="I300" s="12">
        <f t="shared" si="57"/>
        <v>0</v>
      </c>
      <c r="J300" s="28">
        <f t="shared" si="58"/>
        <v>0</v>
      </c>
      <c r="K300" s="30">
        <f t="shared" si="49"/>
        <v>0</v>
      </c>
      <c r="L300" s="5"/>
      <c r="M300" s="30">
        <f t="shared" si="50"/>
        <v>0</v>
      </c>
      <c r="N300" s="42">
        <f t="shared" si="51"/>
        <v>0</v>
      </c>
      <c r="O300" s="43">
        <f t="shared" si="52"/>
        <v>0</v>
      </c>
      <c r="P300" s="43">
        <f t="shared" si="53"/>
        <v>-0.34013437099999999</v>
      </c>
      <c r="Q300" s="43">
        <f t="shared" si="54"/>
        <v>-0.34013437099999999</v>
      </c>
      <c r="R300" s="43">
        <f t="shared" si="55"/>
        <v>0.11569139033556564</v>
      </c>
    </row>
    <row r="301" spans="1:18" ht="15.75" customHeight="1" x14ac:dyDescent="0.3">
      <c r="A301" s="47">
        <v>38283</v>
      </c>
      <c r="B301" s="48">
        <v>0</v>
      </c>
      <c r="C301" s="50">
        <v>0</v>
      </c>
      <c r="D301" s="10">
        <f t="shared" si="47"/>
        <v>-0.38980777739764078</v>
      </c>
      <c r="E301" s="10">
        <f t="shared" si="48"/>
        <v>-0.48607599697214554</v>
      </c>
      <c r="F301" s="10">
        <f t="shared" si="59"/>
        <v>0.15195010331968867</v>
      </c>
      <c r="G301" s="10">
        <f t="shared" si="59"/>
        <v>0.23626987483246525</v>
      </c>
      <c r="H301" s="11">
        <f t="shared" si="56"/>
        <v>0.18947620402605442</v>
      </c>
      <c r="I301" s="12">
        <f t="shared" si="57"/>
        <v>0</v>
      </c>
      <c r="J301" s="28">
        <f t="shared" si="58"/>
        <v>0</v>
      </c>
      <c r="K301" s="30">
        <f t="shared" si="49"/>
        <v>0</v>
      </c>
      <c r="L301" s="5"/>
      <c r="M301" s="30">
        <f t="shared" si="50"/>
        <v>0</v>
      </c>
      <c r="N301" s="42">
        <f t="shared" si="51"/>
        <v>0</v>
      </c>
      <c r="O301" s="43">
        <f t="shared" si="52"/>
        <v>0</v>
      </c>
      <c r="P301" s="43">
        <f t="shared" si="53"/>
        <v>-0.34013437099999999</v>
      </c>
      <c r="Q301" s="43">
        <f t="shared" si="54"/>
        <v>-0.34013437099999999</v>
      </c>
      <c r="R301" s="43">
        <f t="shared" si="55"/>
        <v>0.11569139033556564</v>
      </c>
    </row>
    <row r="302" spans="1:18" ht="15.75" customHeight="1" x14ac:dyDescent="0.3">
      <c r="A302" s="47">
        <v>38284</v>
      </c>
      <c r="B302" s="48">
        <v>0</v>
      </c>
      <c r="C302" s="50">
        <v>0</v>
      </c>
      <c r="D302" s="10">
        <f t="shared" si="47"/>
        <v>-0.38980777739764078</v>
      </c>
      <c r="E302" s="10">
        <f t="shared" si="48"/>
        <v>-0.48607599697214554</v>
      </c>
      <c r="F302" s="10">
        <f t="shared" si="59"/>
        <v>0.15195010331968867</v>
      </c>
      <c r="G302" s="10">
        <f t="shared" si="59"/>
        <v>0.23626987483246525</v>
      </c>
      <c r="H302" s="11">
        <f t="shared" si="56"/>
        <v>0.18947620402605442</v>
      </c>
      <c r="I302" s="12">
        <f t="shared" si="57"/>
        <v>0</v>
      </c>
      <c r="J302" s="28">
        <f t="shared" si="58"/>
        <v>0</v>
      </c>
      <c r="K302" s="30">
        <f t="shared" si="49"/>
        <v>0</v>
      </c>
      <c r="L302" s="5"/>
      <c r="M302" s="30">
        <f t="shared" si="50"/>
        <v>0</v>
      </c>
      <c r="N302" s="42">
        <f t="shared" si="51"/>
        <v>0</v>
      </c>
      <c r="O302" s="43">
        <f t="shared" si="52"/>
        <v>0</v>
      </c>
      <c r="P302" s="43">
        <f t="shared" si="53"/>
        <v>-0.34013437099999999</v>
      </c>
      <c r="Q302" s="43">
        <f t="shared" si="54"/>
        <v>-0.34013437099999999</v>
      </c>
      <c r="R302" s="43">
        <f t="shared" si="55"/>
        <v>0.11569139033556564</v>
      </c>
    </row>
    <row r="303" spans="1:18" ht="15.75" customHeight="1" x14ac:dyDescent="0.3">
      <c r="A303" s="47">
        <v>38285</v>
      </c>
      <c r="B303" s="48">
        <v>0</v>
      </c>
      <c r="C303" s="50">
        <v>0</v>
      </c>
      <c r="D303" s="10">
        <f t="shared" si="47"/>
        <v>-0.38980777739764078</v>
      </c>
      <c r="E303" s="10">
        <f t="shared" si="48"/>
        <v>-0.48607599697214554</v>
      </c>
      <c r="F303" s="10">
        <f t="shared" si="59"/>
        <v>0.15195010331968867</v>
      </c>
      <c r="G303" s="10">
        <f t="shared" si="59"/>
        <v>0.23626987483246525</v>
      </c>
      <c r="H303" s="11">
        <f t="shared" si="56"/>
        <v>0.18947620402605442</v>
      </c>
      <c r="I303" s="12">
        <f t="shared" si="57"/>
        <v>0</v>
      </c>
      <c r="J303" s="28">
        <f t="shared" si="58"/>
        <v>0</v>
      </c>
      <c r="K303" s="30">
        <f t="shared" si="49"/>
        <v>0</v>
      </c>
      <c r="L303" s="5"/>
      <c r="M303" s="30">
        <f t="shared" si="50"/>
        <v>0</v>
      </c>
      <c r="N303" s="42">
        <f t="shared" si="51"/>
        <v>0</v>
      </c>
      <c r="O303" s="43">
        <f t="shared" si="52"/>
        <v>0</v>
      </c>
      <c r="P303" s="43">
        <f t="shared" si="53"/>
        <v>-0.34013437099999999</v>
      </c>
      <c r="Q303" s="43">
        <f t="shared" si="54"/>
        <v>-0.34013437099999999</v>
      </c>
      <c r="R303" s="43">
        <f t="shared" si="55"/>
        <v>0.11569139033556564</v>
      </c>
    </row>
    <row r="304" spans="1:18" ht="15.75" customHeight="1" x14ac:dyDescent="0.3">
      <c r="A304" s="47">
        <v>38286</v>
      </c>
      <c r="B304" s="48">
        <v>0</v>
      </c>
      <c r="C304" s="50">
        <v>0</v>
      </c>
      <c r="D304" s="10">
        <f t="shared" si="47"/>
        <v>-0.38980777739764078</v>
      </c>
      <c r="E304" s="10">
        <f t="shared" si="48"/>
        <v>-0.48607599697214554</v>
      </c>
      <c r="F304" s="10">
        <f t="shared" si="59"/>
        <v>0.15195010331968867</v>
      </c>
      <c r="G304" s="10">
        <f t="shared" si="59"/>
        <v>0.23626987483246525</v>
      </c>
      <c r="H304" s="11">
        <f t="shared" si="56"/>
        <v>0.18947620402605442</v>
      </c>
      <c r="I304" s="12">
        <f t="shared" si="57"/>
        <v>0</v>
      </c>
      <c r="J304" s="28">
        <f t="shared" si="58"/>
        <v>0</v>
      </c>
      <c r="K304" s="30">
        <f t="shared" si="49"/>
        <v>0</v>
      </c>
      <c r="L304" s="5"/>
      <c r="M304" s="30">
        <f t="shared" si="50"/>
        <v>0</v>
      </c>
      <c r="N304" s="42">
        <f t="shared" si="51"/>
        <v>0</v>
      </c>
      <c r="O304" s="43">
        <f t="shared" si="52"/>
        <v>0</v>
      </c>
      <c r="P304" s="43">
        <f t="shared" si="53"/>
        <v>-0.34013437099999999</v>
      </c>
      <c r="Q304" s="43">
        <f t="shared" si="54"/>
        <v>-0.34013437099999999</v>
      </c>
      <c r="R304" s="43">
        <f t="shared" si="55"/>
        <v>0.11569139033556564</v>
      </c>
    </row>
    <row r="305" spans="1:18" ht="15.75" customHeight="1" x14ac:dyDescent="0.3">
      <c r="A305" s="47">
        <v>38287</v>
      </c>
      <c r="B305" s="48">
        <v>0</v>
      </c>
      <c r="C305" s="50">
        <v>0</v>
      </c>
      <c r="D305" s="10">
        <f t="shared" si="47"/>
        <v>-0.38980777739764078</v>
      </c>
      <c r="E305" s="10">
        <f t="shared" si="48"/>
        <v>-0.48607599697214554</v>
      </c>
      <c r="F305" s="10">
        <f t="shared" si="59"/>
        <v>0.15195010331968867</v>
      </c>
      <c r="G305" s="10">
        <f t="shared" si="59"/>
        <v>0.23626987483246525</v>
      </c>
      <c r="H305" s="11">
        <f t="shared" si="56"/>
        <v>0.18947620402605442</v>
      </c>
      <c r="I305" s="12">
        <f t="shared" si="57"/>
        <v>0</v>
      </c>
      <c r="J305" s="28">
        <f t="shared" si="58"/>
        <v>0</v>
      </c>
      <c r="K305" s="30">
        <f t="shared" si="49"/>
        <v>0</v>
      </c>
      <c r="L305" s="5"/>
      <c r="M305" s="30">
        <f t="shared" si="50"/>
        <v>0</v>
      </c>
      <c r="N305" s="42">
        <f t="shared" si="51"/>
        <v>0</v>
      </c>
      <c r="O305" s="43">
        <f t="shared" si="52"/>
        <v>0</v>
      </c>
      <c r="P305" s="43">
        <f t="shared" si="53"/>
        <v>-0.34013437099999999</v>
      </c>
      <c r="Q305" s="43">
        <f t="shared" si="54"/>
        <v>-0.34013437099999999</v>
      </c>
      <c r="R305" s="43">
        <f t="shared" si="55"/>
        <v>0.11569139033556564</v>
      </c>
    </row>
    <row r="306" spans="1:18" ht="15.75" customHeight="1" x14ac:dyDescent="0.3">
      <c r="A306" s="47">
        <v>38288</v>
      </c>
      <c r="B306" s="48">
        <v>0</v>
      </c>
      <c r="C306" s="50">
        <v>0</v>
      </c>
      <c r="D306" s="10">
        <f t="shared" si="47"/>
        <v>-0.38980777739764078</v>
      </c>
      <c r="E306" s="10">
        <f t="shared" si="48"/>
        <v>-0.48607599697214554</v>
      </c>
      <c r="F306" s="10">
        <f t="shared" si="59"/>
        <v>0.15195010331968867</v>
      </c>
      <c r="G306" s="10">
        <f t="shared" si="59"/>
        <v>0.23626987483246525</v>
      </c>
      <c r="H306" s="11">
        <f t="shared" si="56"/>
        <v>0.18947620402605442</v>
      </c>
      <c r="I306" s="12">
        <f t="shared" si="57"/>
        <v>0</v>
      </c>
      <c r="J306" s="28">
        <f t="shared" si="58"/>
        <v>0</v>
      </c>
      <c r="K306" s="30">
        <f t="shared" si="49"/>
        <v>0</v>
      </c>
      <c r="L306" s="5"/>
      <c r="M306" s="30">
        <f t="shared" si="50"/>
        <v>0</v>
      </c>
      <c r="N306" s="42">
        <f t="shared" si="51"/>
        <v>0</v>
      </c>
      <c r="O306" s="43">
        <f t="shared" si="52"/>
        <v>0</v>
      </c>
      <c r="P306" s="43">
        <f t="shared" si="53"/>
        <v>-0.34013437099999999</v>
      </c>
      <c r="Q306" s="43">
        <f t="shared" si="54"/>
        <v>-0.34013437099999999</v>
      </c>
      <c r="R306" s="43">
        <f t="shared" si="55"/>
        <v>0.11569139033556564</v>
      </c>
    </row>
    <row r="307" spans="1:18" ht="15.75" customHeight="1" x14ac:dyDescent="0.3">
      <c r="A307" s="47">
        <v>38289</v>
      </c>
      <c r="B307" s="48">
        <v>0</v>
      </c>
      <c r="C307" s="50">
        <v>0</v>
      </c>
      <c r="D307" s="10">
        <f t="shared" si="47"/>
        <v>-0.38980777739764078</v>
      </c>
      <c r="E307" s="10">
        <f t="shared" si="48"/>
        <v>-0.48607599697214554</v>
      </c>
      <c r="F307" s="10">
        <f t="shared" si="59"/>
        <v>0.15195010331968867</v>
      </c>
      <c r="G307" s="10">
        <f t="shared" si="59"/>
        <v>0.23626987483246525</v>
      </c>
      <c r="H307" s="11">
        <f t="shared" si="56"/>
        <v>0.18947620402605442</v>
      </c>
      <c r="I307" s="12">
        <f t="shared" si="57"/>
        <v>0</v>
      </c>
      <c r="J307" s="28">
        <f t="shared" si="58"/>
        <v>0</v>
      </c>
      <c r="K307" s="30">
        <f t="shared" si="49"/>
        <v>0</v>
      </c>
      <c r="L307" s="5"/>
      <c r="M307" s="30">
        <f t="shared" si="50"/>
        <v>0</v>
      </c>
      <c r="N307" s="42">
        <f t="shared" si="51"/>
        <v>0</v>
      </c>
      <c r="O307" s="43">
        <f t="shared" si="52"/>
        <v>0</v>
      </c>
      <c r="P307" s="43">
        <f t="shared" si="53"/>
        <v>-0.34013437099999999</v>
      </c>
      <c r="Q307" s="43">
        <f t="shared" si="54"/>
        <v>-0.34013437099999999</v>
      </c>
      <c r="R307" s="43">
        <f t="shared" si="55"/>
        <v>0.11569139033556564</v>
      </c>
    </row>
    <row r="308" spans="1:18" ht="15.75" customHeight="1" x14ac:dyDescent="0.3">
      <c r="A308" s="47">
        <v>38290</v>
      </c>
      <c r="B308" s="48">
        <v>0</v>
      </c>
      <c r="C308" s="50">
        <v>4.8289075493812561E-7</v>
      </c>
      <c r="D308" s="10">
        <f t="shared" si="47"/>
        <v>-0.38980777739764078</v>
      </c>
      <c r="E308" s="10">
        <f t="shared" si="48"/>
        <v>-0.4860755140813906</v>
      </c>
      <c r="F308" s="10">
        <f t="shared" si="59"/>
        <v>0.15195010331968867</v>
      </c>
      <c r="G308" s="10">
        <f t="shared" si="59"/>
        <v>0.23626940538948815</v>
      </c>
      <c r="H308" s="11">
        <f t="shared" si="56"/>
        <v>0.18947601579148252</v>
      </c>
      <c r="I308" s="12">
        <f t="shared" si="57"/>
        <v>4.8289075493812561E-7</v>
      </c>
      <c r="J308" s="28">
        <f t="shared" si="58"/>
        <v>2.3318348120471288E-13</v>
      </c>
      <c r="K308" s="30">
        <f t="shared" si="49"/>
        <v>4.8289075493812561E-7</v>
      </c>
      <c r="L308" s="5"/>
      <c r="M308" s="30">
        <f t="shared" si="50"/>
        <v>-4.8289075493812561E-7</v>
      </c>
      <c r="N308" s="42">
        <f t="shared" si="51"/>
        <v>-4.8289075493812561E-7</v>
      </c>
      <c r="O308" s="43">
        <f t="shared" si="52"/>
        <v>2.3318348120471288E-13</v>
      </c>
      <c r="P308" s="43">
        <f t="shared" si="53"/>
        <v>-0.34013437099999999</v>
      </c>
      <c r="Q308" s="43">
        <f t="shared" si="54"/>
        <v>-0.34013437099999999</v>
      </c>
      <c r="R308" s="43">
        <f t="shared" si="55"/>
        <v>0.11569139033556564</v>
      </c>
    </row>
    <row r="309" spans="1:18" ht="15.75" customHeight="1" x14ac:dyDescent="0.3">
      <c r="A309" s="47">
        <v>38291</v>
      </c>
      <c r="B309" s="48">
        <v>0</v>
      </c>
      <c r="C309" s="50">
        <v>7.5656548142433167E-4</v>
      </c>
      <c r="D309" s="10">
        <f t="shared" si="47"/>
        <v>-0.38980777739764078</v>
      </c>
      <c r="E309" s="10">
        <f t="shared" si="48"/>
        <v>-0.48531943149072121</v>
      </c>
      <c r="F309" s="10">
        <f t="shared" si="59"/>
        <v>0.15195010331968867</v>
      </c>
      <c r="G309" s="10">
        <f t="shared" si="59"/>
        <v>0.23553495058247684</v>
      </c>
      <c r="H309" s="11">
        <f t="shared" si="56"/>
        <v>0.18918128891728461</v>
      </c>
      <c r="I309" s="12">
        <f t="shared" si="57"/>
        <v>7.5656548142433167E-4</v>
      </c>
      <c r="J309" s="28">
        <f t="shared" si="58"/>
        <v>5.7239132768283074E-7</v>
      </c>
      <c r="K309" s="30">
        <f t="shared" si="49"/>
        <v>7.5656548142433167E-4</v>
      </c>
      <c r="L309" s="5"/>
      <c r="M309" s="30">
        <f t="shared" si="50"/>
        <v>-7.5656548142433167E-4</v>
      </c>
      <c r="N309" s="42">
        <f t="shared" si="51"/>
        <v>-7.5656548142433167E-4</v>
      </c>
      <c r="O309" s="43">
        <f t="shared" si="52"/>
        <v>5.7239132768283074E-7</v>
      </c>
      <c r="P309" s="43">
        <f t="shared" si="53"/>
        <v>-0.34013437099999999</v>
      </c>
      <c r="Q309" s="43">
        <f t="shared" si="54"/>
        <v>-0.34013437099999999</v>
      </c>
      <c r="R309" s="43">
        <f t="shared" si="55"/>
        <v>0.11569139033556564</v>
      </c>
    </row>
    <row r="310" spans="1:18" ht="15.75" customHeight="1" x14ac:dyDescent="0.3">
      <c r="A310" s="47">
        <v>38292</v>
      </c>
      <c r="B310" s="48">
        <v>0</v>
      </c>
      <c r="C310" s="50">
        <v>3.7487871944904327E-2</v>
      </c>
      <c r="D310" s="10">
        <f t="shared" si="47"/>
        <v>-0.38980777739764078</v>
      </c>
      <c r="E310" s="10">
        <f t="shared" si="48"/>
        <v>-0.44858812502724121</v>
      </c>
      <c r="F310" s="10">
        <f t="shared" si="59"/>
        <v>0.15195010331968867</v>
      </c>
      <c r="G310" s="10">
        <f t="shared" si="59"/>
        <v>0.20123130591545579</v>
      </c>
      <c r="H310" s="11">
        <f t="shared" si="56"/>
        <v>0.1748631399838439</v>
      </c>
      <c r="I310" s="12">
        <f t="shared" si="57"/>
        <v>3.7487871944904327E-2</v>
      </c>
      <c r="J310" s="28">
        <f t="shared" si="58"/>
        <v>1.405340542957545E-3</v>
      </c>
      <c r="K310" s="30">
        <f t="shared" si="49"/>
        <v>3.7487871944904327E-2</v>
      </c>
      <c r="L310" s="5"/>
      <c r="M310" s="30">
        <f t="shared" si="50"/>
        <v>-3.7487871944904327E-2</v>
      </c>
      <c r="N310" s="42">
        <f t="shared" si="51"/>
        <v>-3.7487871944904327E-2</v>
      </c>
      <c r="O310" s="43">
        <f t="shared" si="52"/>
        <v>1.405340542957545E-3</v>
      </c>
      <c r="P310" s="43">
        <f t="shared" si="53"/>
        <v>-0.34013437099999999</v>
      </c>
      <c r="Q310" s="43">
        <f t="shared" si="54"/>
        <v>-0.34013437099999999</v>
      </c>
      <c r="R310" s="43">
        <f t="shared" si="55"/>
        <v>0.11569139033556564</v>
      </c>
    </row>
    <row r="311" spans="1:18" ht="15.75" customHeight="1" x14ac:dyDescent="0.3">
      <c r="A311" s="47">
        <v>38293</v>
      </c>
      <c r="B311" s="48">
        <v>0</v>
      </c>
      <c r="C311" s="50">
        <v>1.1678785085678101E-6</v>
      </c>
      <c r="D311" s="10">
        <f t="shared" si="47"/>
        <v>-0.38980777739764078</v>
      </c>
      <c r="E311" s="10">
        <f t="shared" si="48"/>
        <v>-0.48607482909363697</v>
      </c>
      <c r="F311" s="10">
        <f t="shared" si="59"/>
        <v>0.15195010331968867</v>
      </c>
      <c r="G311" s="10">
        <f t="shared" si="59"/>
        <v>0.2362687394784084</v>
      </c>
      <c r="H311" s="11">
        <f t="shared" si="56"/>
        <v>0.18947574877792872</v>
      </c>
      <c r="I311" s="12">
        <f t="shared" si="57"/>
        <v>1.1678785085678101E-6</v>
      </c>
      <c r="J311" s="28">
        <f t="shared" si="58"/>
        <v>1.3639402107745724E-12</v>
      </c>
      <c r="K311" s="30">
        <f t="shared" si="49"/>
        <v>1.1678785085678101E-6</v>
      </c>
      <c r="L311" s="5"/>
      <c r="M311" s="30">
        <f t="shared" si="50"/>
        <v>-1.1678785085678101E-6</v>
      </c>
      <c r="N311" s="42">
        <f t="shared" si="51"/>
        <v>-1.1678785085678101E-6</v>
      </c>
      <c r="O311" s="43">
        <f t="shared" si="52"/>
        <v>1.3639402107745724E-12</v>
      </c>
      <c r="P311" s="43">
        <f t="shared" si="53"/>
        <v>-0.34013437099999999</v>
      </c>
      <c r="Q311" s="43">
        <f t="shared" si="54"/>
        <v>-0.34013437099999999</v>
      </c>
      <c r="R311" s="43">
        <f t="shared" si="55"/>
        <v>0.11569139033556564</v>
      </c>
    </row>
    <row r="312" spans="1:18" ht="15.75" customHeight="1" x14ac:dyDescent="0.3">
      <c r="A312" s="47">
        <v>38294</v>
      </c>
      <c r="B312" s="48">
        <v>0</v>
      </c>
      <c r="C312" s="50">
        <v>0</v>
      </c>
      <c r="D312" s="10">
        <f t="shared" si="47"/>
        <v>-0.38980777739764078</v>
      </c>
      <c r="E312" s="10">
        <f t="shared" si="48"/>
        <v>-0.48607599697214554</v>
      </c>
      <c r="F312" s="10">
        <f t="shared" si="59"/>
        <v>0.15195010331968867</v>
      </c>
      <c r="G312" s="10">
        <f t="shared" si="59"/>
        <v>0.23626987483246525</v>
      </c>
      <c r="H312" s="11">
        <f t="shared" si="56"/>
        <v>0.18947620402605442</v>
      </c>
      <c r="I312" s="12">
        <f t="shared" si="57"/>
        <v>0</v>
      </c>
      <c r="J312" s="28">
        <f t="shared" si="58"/>
        <v>0</v>
      </c>
      <c r="K312" s="30">
        <f t="shared" si="49"/>
        <v>0</v>
      </c>
      <c r="L312" s="5"/>
      <c r="M312" s="30">
        <f t="shared" si="50"/>
        <v>0</v>
      </c>
      <c r="N312" s="42">
        <f t="shared" si="51"/>
        <v>0</v>
      </c>
      <c r="O312" s="43">
        <f t="shared" si="52"/>
        <v>0</v>
      </c>
      <c r="P312" s="43">
        <f t="shared" si="53"/>
        <v>-0.34013437099999999</v>
      </c>
      <c r="Q312" s="43">
        <f t="shared" si="54"/>
        <v>-0.34013437099999999</v>
      </c>
      <c r="R312" s="43">
        <f t="shared" si="55"/>
        <v>0.11569139033556564</v>
      </c>
    </row>
    <row r="313" spans="1:18" ht="15.75" customHeight="1" x14ac:dyDescent="0.3">
      <c r="A313" s="47">
        <v>38295</v>
      </c>
      <c r="B313" s="48">
        <v>0</v>
      </c>
      <c r="C313" s="50">
        <v>0</v>
      </c>
      <c r="D313" s="10">
        <f t="shared" si="47"/>
        <v>-0.38980777739764078</v>
      </c>
      <c r="E313" s="10">
        <f t="shared" si="48"/>
        <v>-0.48607599697214554</v>
      </c>
      <c r="F313" s="10">
        <f t="shared" si="59"/>
        <v>0.15195010331968867</v>
      </c>
      <c r="G313" s="10">
        <f t="shared" si="59"/>
        <v>0.23626987483246525</v>
      </c>
      <c r="H313" s="11">
        <f t="shared" si="56"/>
        <v>0.18947620402605442</v>
      </c>
      <c r="I313" s="12">
        <f t="shared" si="57"/>
        <v>0</v>
      </c>
      <c r="J313" s="28">
        <f t="shared" si="58"/>
        <v>0</v>
      </c>
      <c r="K313" s="30">
        <f t="shared" si="49"/>
        <v>0</v>
      </c>
      <c r="L313" s="5"/>
      <c r="M313" s="30">
        <f t="shared" si="50"/>
        <v>0</v>
      </c>
      <c r="N313" s="42">
        <f t="shared" si="51"/>
        <v>0</v>
      </c>
      <c r="O313" s="43">
        <f t="shared" si="52"/>
        <v>0</v>
      </c>
      <c r="P313" s="43">
        <f t="shared" si="53"/>
        <v>-0.34013437099999999</v>
      </c>
      <c r="Q313" s="43">
        <f t="shared" si="54"/>
        <v>-0.34013437099999999</v>
      </c>
      <c r="R313" s="43">
        <f t="shared" si="55"/>
        <v>0.11569139033556564</v>
      </c>
    </row>
    <row r="314" spans="1:18" ht="15.75" customHeight="1" x14ac:dyDescent="0.3">
      <c r="A314" s="47">
        <v>38296</v>
      </c>
      <c r="B314" s="48">
        <v>0</v>
      </c>
      <c r="C314" s="50">
        <v>0</v>
      </c>
      <c r="D314" s="10">
        <f t="shared" si="47"/>
        <v>-0.38980777739764078</v>
      </c>
      <c r="E314" s="10">
        <f t="shared" si="48"/>
        <v>-0.48607599697214554</v>
      </c>
      <c r="F314" s="10">
        <f t="shared" si="59"/>
        <v>0.15195010331968867</v>
      </c>
      <c r="G314" s="10">
        <f t="shared" si="59"/>
        <v>0.23626987483246525</v>
      </c>
      <c r="H314" s="11">
        <f t="shared" si="56"/>
        <v>0.18947620402605442</v>
      </c>
      <c r="I314" s="12">
        <f t="shared" si="57"/>
        <v>0</v>
      </c>
      <c r="J314" s="28">
        <f t="shared" si="58"/>
        <v>0</v>
      </c>
      <c r="K314" s="30">
        <f t="shared" si="49"/>
        <v>0</v>
      </c>
      <c r="L314" s="5"/>
      <c r="M314" s="30">
        <f t="shared" si="50"/>
        <v>0</v>
      </c>
      <c r="N314" s="42">
        <f t="shared" si="51"/>
        <v>0</v>
      </c>
      <c r="O314" s="43">
        <f t="shared" si="52"/>
        <v>0</v>
      </c>
      <c r="P314" s="43">
        <f t="shared" si="53"/>
        <v>-0.34013437099999999</v>
      </c>
      <c r="Q314" s="43">
        <f t="shared" si="54"/>
        <v>-0.34013437099999999</v>
      </c>
      <c r="R314" s="43">
        <f t="shared" si="55"/>
        <v>0.11569139033556564</v>
      </c>
    </row>
    <row r="315" spans="1:18" ht="15.75" customHeight="1" x14ac:dyDescent="0.3">
      <c r="A315" s="47">
        <v>38297</v>
      </c>
      <c r="B315" s="48">
        <v>0</v>
      </c>
      <c r="C315" s="50">
        <v>0.11950962245464325</v>
      </c>
      <c r="D315" s="10">
        <f t="shared" si="47"/>
        <v>-0.38980777739764078</v>
      </c>
      <c r="E315" s="10">
        <f t="shared" si="48"/>
        <v>-0.36656637451750229</v>
      </c>
      <c r="F315" s="10">
        <f t="shared" si="59"/>
        <v>0.15195010331968867</v>
      </c>
      <c r="G315" s="10">
        <f t="shared" si="59"/>
        <v>0.13437090692690576</v>
      </c>
      <c r="H315" s="11">
        <f t="shared" si="56"/>
        <v>0.14289042371937874</v>
      </c>
      <c r="I315" s="12">
        <f t="shared" si="57"/>
        <v>0.11950962245464325</v>
      </c>
      <c r="J315" s="28">
        <f t="shared" si="58"/>
        <v>1.428254985925137E-2</v>
      </c>
      <c r="K315" s="30">
        <f t="shared" si="49"/>
        <v>0.11950962245464325</v>
      </c>
      <c r="L315" s="5"/>
      <c r="M315" s="30">
        <f t="shared" si="50"/>
        <v>-0.11950962245464325</v>
      </c>
      <c r="N315" s="42">
        <f t="shared" si="51"/>
        <v>-0.11950962245464325</v>
      </c>
      <c r="O315" s="43">
        <f t="shared" si="52"/>
        <v>1.428254985925137E-2</v>
      </c>
      <c r="P315" s="43">
        <f t="shared" si="53"/>
        <v>-0.34013437099999999</v>
      </c>
      <c r="Q315" s="43">
        <f t="shared" si="54"/>
        <v>-0.34013437099999999</v>
      </c>
      <c r="R315" s="43">
        <f t="shared" si="55"/>
        <v>0.11569139033556564</v>
      </c>
    </row>
    <row r="316" spans="1:18" ht="15.75" customHeight="1" x14ac:dyDescent="0.3">
      <c r="A316" s="47">
        <v>38298</v>
      </c>
      <c r="B316" s="48">
        <v>0</v>
      </c>
      <c r="C316" s="50">
        <v>0.18125703930854797</v>
      </c>
      <c r="D316" s="10">
        <f t="shared" si="47"/>
        <v>-0.38980777739764078</v>
      </c>
      <c r="E316" s="10">
        <f t="shared" si="48"/>
        <v>-0.30481895766359757</v>
      </c>
      <c r="F316" s="10">
        <f t="shared" si="59"/>
        <v>0.15195010331968867</v>
      </c>
      <c r="G316" s="10">
        <f t="shared" si="59"/>
        <v>9.2914596951122086E-2</v>
      </c>
      <c r="H316" s="11">
        <f t="shared" si="56"/>
        <v>0.11882080039551253</v>
      </c>
      <c r="I316" s="12">
        <f t="shared" si="57"/>
        <v>0.18125703930854797</v>
      </c>
      <c r="J316" s="28">
        <f t="shared" si="58"/>
        <v>3.2854114298900505E-2</v>
      </c>
      <c r="K316" s="30">
        <f t="shared" si="49"/>
        <v>0.18125703930854797</v>
      </c>
      <c r="L316" s="5"/>
      <c r="M316" s="30">
        <f t="shared" si="50"/>
        <v>-0.18125703930854797</v>
      </c>
      <c r="N316" s="42">
        <f t="shared" si="51"/>
        <v>-0.18125703930854797</v>
      </c>
      <c r="O316" s="43">
        <f t="shared" si="52"/>
        <v>3.2854114298900505E-2</v>
      </c>
      <c r="P316" s="43">
        <f t="shared" si="53"/>
        <v>-0.34013437099999999</v>
      </c>
      <c r="Q316" s="43">
        <f t="shared" si="54"/>
        <v>-0.34013437099999999</v>
      </c>
      <c r="R316" s="43">
        <f t="shared" si="55"/>
        <v>0.11569139033556564</v>
      </c>
    </row>
    <row r="317" spans="1:18" ht="15.75" customHeight="1" x14ac:dyDescent="0.3">
      <c r="A317" s="47">
        <v>38299</v>
      </c>
      <c r="B317" s="48">
        <v>0</v>
      </c>
      <c r="C317" s="50">
        <v>0</v>
      </c>
      <c r="D317" s="10">
        <f t="shared" si="47"/>
        <v>-0.38980777739764078</v>
      </c>
      <c r="E317" s="10">
        <f t="shared" si="48"/>
        <v>-0.48607599697214554</v>
      </c>
      <c r="F317" s="10">
        <f t="shared" si="59"/>
        <v>0.15195010331968867</v>
      </c>
      <c r="G317" s="10">
        <f t="shared" si="59"/>
        <v>0.23626987483246525</v>
      </c>
      <c r="H317" s="11">
        <f t="shared" si="56"/>
        <v>0.18947620402605442</v>
      </c>
      <c r="I317" s="12">
        <f t="shared" si="57"/>
        <v>0</v>
      </c>
      <c r="J317" s="28">
        <f t="shared" si="58"/>
        <v>0</v>
      </c>
      <c r="K317" s="30">
        <f t="shared" si="49"/>
        <v>0</v>
      </c>
      <c r="L317" s="5"/>
      <c r="M317" s="30">
        <f t="shared" si="50"/>
        <v>0</v>
      </c>
      <c r="N317" s="42">
        <f t="shared" si="51"/>
        <v>0</v>
      </c>
      <c r="O317" s="43">
        <f t="shared" si="52"/>
        <v>0</v>
      </c>
      <c r="P317" s="43">
        <f t="shared" si="53"/>
        <v>-0.34013437099999999</v>
      </c>
      <c r="Q317" s="43">
        <f t="shared" si="54"/>
        <v>-0.34013437099999999</v>
      </c>
      <c r="R317" s="43">
        <f t="shared" si="55"/>
        <v>0.11569139033556564</v>
      </c>
    </row>
    <row r="318" spans="1:18" ht="15.75" customHeight="1" x14ac:dyDescent="0.3">
      <c r="A318" s="47">
        <v>38300</v>
      </c>
      <c r="B318" s="48">
        <v>0</v>
      </c>
      <c r="C318" s="50">
        <v>7.7079147100448608E-2</v>
      </c>
      <c r="D318" s="10">
        <f t="shared" si="47"/>
        <v>-0.38980777739764078</v>
      </c>
      <c r="E318" s="10">
        <f t="shared" si="48"/>
        <v>-0.40899684987169693</v>
      </c>
      <c r="F318" s="10">
        <f t="shared" si="59"/>
        <v>0.15195010331968867</v>
      </c>
      <c r="G318" s="10">
        <f t="shared" si="59"/>
        <v>0.16727842320497141</v>
      </c>
      <c r="H318" s="11">
        <f t="shared" si="56"/>
        <v>0.15943015301112273</v>
      </c>
      <c r="I318" s="12">
        <f t="shared" si="57"/>
        <v>7.7079147100448608E-2</v>
      </c>
      <c r="J318" s="28">
        <f t="shared" si="58"/>
        <v>5.9411949177325951E-3</v>
      </c>
      <c r="K318" s="30">
        <f t="shared" si="49"/>
        <v>7.7079147100448608E-2</v>
      </c>
      <c r="L318" s="5"/>
      <c r="M318" s="30">
        <f t="shared" si="50"/>
        <v>-7.7079147100448608E-2</v>
      </c>
      <c r="N318" s="42">
        <f t="shared" si="51"/>
        <v>-7.7079147100448608E-2</v>
      </c>
      <c r="O318" s="43">
        <f t="shared" si="52"/>
        <v>5.9411949177325951E-3</v>
      </c>
      <c r="P318" s="43">
        <f t="shared" si="53"/>
        <v>-0.34013437099999999</v>
      </c>
      <c r="Q318" s="43">
        <f t="shared" si="54"/>
        <v>-0.34013437099999999</v>
      </c>
      <c r="R318" s="43">
        <f t="shared" si="55"/>
        <v>0.11569139033556564</v>
      </c>
    </row>
    <row r="319" spans="1:18" ht="15.75" customHeight="1" x14ac:dyDescent="0.3">
      <c r="A319" s="47">
        <v>38301</v>
      </c>
      <c r="B319" s="48">
        <v>0</v>
      </c>
      <c r="C319" s="50">
        <v>2.8192996978759766E-5</v>
      </c>
      <c r="D319" s="10">
        <f t="shared" si="47"/>
        <v>-0.38980777739764078</v>
      </c>
      <c r="E319" s="10">
        <f t="shared" si="48"/>
        <v>-0.48604780397516678</v>
      </c>
      <c r="F319" s="10">
        <f t="shared" si="59"/>
        <v>0.15195010331968867</v>
      </c>
      <c r="G319" s="10">
        <f t="shared" si="59"/>
        <v>0.23624246774908214</v>
      </c>
      <c r="H319" s="11">
        <f t="shared" si="56"/>
        <v>0.18946521417656395</v>
      </c>
      <c r="I319" s="12">
        <f t="shared" si="57"/>
        <v>2.8192996978759766E-5</v>
      </c>
      <c r="J319" s="28">
        <f t="shared" si="58"/>
        <v>7.9484507864435727E-10</v>
      </c>
      <c r="K319" s="30">
        <f t="shared" si="49"/>
        <v>2.8192996978759766E-5</v>
      </c>
      <c r="L319" s="5"/>
      <c r="M319" s="30">
        <f t="shared" si="50"/>
        <v>-2.8192996978759766E-5</v>
      </c>
      <c r="N319" s="42">
        <f t="shared" si="51"/>
        <v>-2.8192996978759766E-5</v>
      </c>
      <c r="O319" s="43">
        <f t="shared" si="52"/>
        <v>7.9484507864435727E-10</v>
      </c>
      <c r="P319" s="43">
        <f t="shared" si="53"/>
        <v>-0.34013437099999999</v>
      </c>
      <c r="Q319" s="43">
        <f t="shared" si="54"/>
        <v>-0.34013437099999999</v>
      </c>
      <c r="R319" s="43">
        <f t="shared" si="55"/>
        <v>0.11569139033556564</v>
      </c>
    </row>
    <row r="320" spans="1:18" ht="15.75" customHeight="1" x14ac:dyDescent="0.3">
      <c r="A320" s="47">
        <v>38302</v>
      </c>
      <c r="B320" s="48">
        <v>0</v>
      </c>
      <c r="C320" s="50">
        <v>4.6417117118835449E-6</v>
      </c>
      <c r="D320" s="10">
        <f t="shared" si="47"/>
        <v>-0.38980777739764078</v>
      </c>
      <c r="E320" s="10">
        <f t="shared" si="48"/>
        <v>-0.48607135526043366</v>
      </c>
      <c r="F320" s="10">
        <f t="shared" si="59"/>
        <v>0.15195010331968867</v>
      </c>
      <c r="G320" s="10">
        <f t="shared" si="59"/>
        <v>0.23626536240471471</v>
      </c>
      <c r="H320" s="11">
        <f t="shared" si="56"/>
        <v>0.18947439465072868</v>
      </c>
      <c r="I320" s="12">
        <f t="shared" si="57"/>
        <v>4.6417117118835449E-6</v>
      </c>
      <c r="J320" s="28">
        <f t="shared" si="58"/>
        <v>2.1545487616236869E-11</v>
      </c>
      <c r="K320" s="30">
        <f t="shared" si="49"/>
        <v>4.6417117118835449E-6</v>
      </c>
      <c r="L320" s="5"/>
      <c r="M320" s="30">
        <f t="shared" si="50"/>
        <v>-4.6417117118835449E-6</v>
      </c>
      <c r="N320" s="42">
        <f t="shared" si="51"/>
        <v>-4.6417117118835449E-6</v>
      </c>
      <c r="O320" s="43">
        <f t="shared" si="52"/>
        <v>2.1545487616236869E-11</v>
      </c>
      <c r="P320" s="43">
        <f t="shared" si="53"/>
        <v>-0.34013437099999999</v>
      </c>
      <c r="Q320" s="43">
        <f t="shared" si="54"/>
        <v>-0.34013437099999999</v>
      </c>
      <c r="R320" s="43">
        <f t="shared" si="55"/>
        <v>0.11569139033556564</v>
      </c>
    </row>
    <row r="321" spans="1:18" ht="15.75" customHeight="1" x14ac:dyDescent="0.3">
      <c r="A321" s="47">
        <v>38303</v>
      </c>
      <c r="B321" s="48">
        <v>0</v>
      </c>
      <c r="C321" s="50">
        <v>0.33110028505325317</v>
      </c>
      <c r="D321" s="10">
        <f t="shared" si="47"/>
        <v>-0.38980777739764078</v>
      </c>
      <c r="E321" s="10">
        <f t="shared" si="48"/>
        <v>-0.15497571191889237</v>
      </c>
      <c r="F321" s="10">
        <f t="shared" si="59"/>
        <v>0.15195010331968867</v>
      </c>
      <c r="G321" s="10">
        <f t="shared" si="59"/>
        <v>2.4017471284767517E-2</v>
      </c>
      <c r="H321" s="11">
        <f t="shared" si="56"/>
        <v>6.04107378137205E-2</v>
      </c>
      <c r="I321" s="12">
        <f t="shared" si="57"/>
        <v>0.33110028505325317</v>
      </c>
      <c r="J321" s="28">
        <f t="shared" si="58"/>
        <v>0.10962739876234551</v>
      </c>
      <c r="K321" s="30">
        <f t="shared" si="49"/>
        <v>0.33110028505325317</v>
      </c>
      <c r="L321" s="5"/>
      <c r="M321" s="30">
        <f t="shared" si="50"/>
        <v>-0.33110028505325317</v>
      </c>
      <c r="N321" s="42">
        <f t="shared" si="51"/>
        <v>-0.33110028505325317</v>
      </c>
      <c r="O321" s="43">
        <f t="shared" si="52"/>
        <v>0.10962739876234551</v>
      </c>
      <c r="P321" s="43">
        <f t="shared" si="53"/>
        <v>-0.34013437099999999</v>
      </c>
      <c r="Q321" s="43">
        <f t="shared" si="54"/>
        <v>-0.34013437099999999</v>
      </c>
      <c r="R321" s="43">
        <f t="shared" si="55"/>
        <v>0.11569139033556564</v>
      </c>
    </row>
    <row r="322" spans="1:18" ht="15.75" customHeight="1" x14ac:dyDescent="0.3">
      <c r="A322" s="47">
        <v>38304</v>
      </c>
      <c r="B322" s="48">
        <v>0</v>
      </c>
      <c r="C322" s="50">
        <v>0.18933838605880737</v>
      </c>
      <c r="D322" s="10">
        <f t="shared" si="47"/>
        <v>-0.38980777739764078</v>
      </c>
      <c r="E322" s="10">
        <f t="shared" si="48"/>
        <v>-0.29673761091333817</v>
      </c>
      <c r="F322" s="10">
        <f t="shared" si="59"/>
        <v>0.15195010331968867</v>
      </c>
      <c r="G322" s="10">
        <f t="shared" si="59"/>
        <v>8.8053209730555665E-2</v>
      </c>
      <c r="H322" s="11">
        <f t="shared" si="56"/>
        <v>0.11567062858041427</v>
      </c>
      <c r="I322" s="12">
        <f t="shared" si="57"/>
        <v>0.18933838605880737</v>
      </c>
      <c r="J322" s="28">
        <f t="shared" si="58"/>
        <v>3.5849024435353982E-2</v>
      </c>
      <c r="K322" s="30">
        <f t="shared" si="49"/>
        <v>0.18933838605880737</v>
      </c>
      <c r="L322" s="5"/>
      <c r="M322" s="30">
        <f t="shared" si="50"/>
        <v>-0.18933838605880737</v>
      </c>
      <c r="N322" s="42">
        <f t="shared" si="51"/>
        <v>-0.18933838605880737</v>
      </c>
      <c r="O322" s="43">
        <f t="shared" si="52"/>
        <v>3.5849024435353982E-2</v>
      </c>
      <c r="P322" s="43">
        <f t="shared" si="53"/>
        <v>-0.34013437099999999</v>
      </c>
      <c r="Q322" s="43">
        <f t="shared" si="54"/>
        <v>-0.34013437099999999</v>
      </c>
      <c r="R322" s="43">
        <f t="shared" si="55"/>
        <v>0.11569139033556564</v>
      </c>
    </row>
    <row r="323" spans="1:18" ht="15.75" customHeight="1" x14ac:dyDescent="0.3">
      <c r="A323" s="47">
        <v>38305</v>
      </c>
      <c r="B323" s="48">
        <v>0</v>
      </c>
      <c r="C323" s="50">
        <v>3.7972812652587891</v>
      </c>
      <c r="D323" s="10">
        <f t="shared" si="47"/>
        <v>-0.38980777739764078</v>
      </c>
      <c r="E323" s="10">
        <f t="shared" si="48"/>
        <v>3.3112052682866437</v>
      </c>
      <c r="F323" s="10">
        <f t="shared" si="59"/>
        <v>0.15195010331968867</v>
      </c>
      <c r="G323" s="10">
        <f t="shared" si="59"/>
        <v>10.964080328729224</v>
      </c>
      <c r="H323" s="11">
        <f t="shared" si="56"/>
        <v>-1.2907335661381754</v>
      </c>
      <c r="I323" s="12">
        <f t="shared" si="57"/>
        <v>3.7972812652587891</v>
      </c>
      <c r="J323" s="28">
        <f t="shared" si="58"/>
        <v>14.41934500748539</v>
      </c>
      <c r="K323" s="30">
        <f t="shared" si="49"/>
        <v>3.7972812652587891</v>
      </c>
      <c r="L323" s="5"/>
      <c r="M323" s="30">
        <f t="shared" si="50"/>
        <v>-3.7972812652587891</v>
      </c>
      <c r="N323" s="42">
        <f t="shared" si="51"/>
        <v>-3.7972812652587891</v>
      </c>
      <c r="O323" s="43">
        <f t="shared" si="52"/>
        <v>14.41934500748539</v>
      </c>
      <c r="P323" s="43">
        <f t="shared" si="53"/>
        <v>-0.34013437099999999</v>
      </c>
      <c r="Q323" s="43">
        <f t="shared" si="54"/>
        <v>-0.34013437099999999</v>
      </c>
      <c r="R323" s="43">
        <f t="shared" si="55"/>
        <v>0.11569139033556564</v>
      </c>
    </row>
    <row r="324" spans="1:18" ht="15.75" customHeight="1" x14ac:dyDescent="0.3">
      <c r="A324" s="47">
        <v>38306</v>
      </c>
      <c r="B324" s="48">
        <v>0</v>
      </c>
      <c r="C324" s="50">
        <v>0.24771721661090851</v>
      </c>
      <c r="D324" s="10">
        <f t="shared" si="47"/>
        <v>-0.38980777739764078</v>
      </c>
      <c r="E324" s="10">
        <f t="shared" si="48"/>
        <v>-0.23835878036123703</v>
      </c>
      <c r="F324" s="10">
        <f t="shared" si="59"/>
        <v>0.15195010331968867</v>
      </c>
      <c r="G324" s="10">
        <f t="shared" si="59"/>
        <v>5.6814908175296434E-2</v>
      </c>
      <c r="H324" s="11">
        <f t="shared" si="56"/>
        <v>9.2914106395826229E-2</v>
      </c>
      <c r="I324" s="12">
        <f t="shared" si="57"/>
        <v>0.24771721661090851</v>
      </c>
      <c r="J324" s="28">
        <f t="shared" si="58"/>
        <v>6.1363819405455766E-2</v>
      </c>
      <c r="K324" s="30">
        <f t="shared" si="49"/>
        <v>0.24771721661090851</v>
      </c>
      <c r="L324" s="5"/>
      <c r="M324" s="30">
        <f t="shared" si="50"/>
        <v>-0.24771721661090851</v>
      </c>
      <c r="N324" s="42">
        <f t="shared" si="51"/>
        <v>-0.24771721661090851</v>
      </c>
      <c r="O324" s="43">
        <f t="shared" si="52"/>
        <v>6.1363819405455766E-2</v>
      </c>
      <c r="P324" s="43">
        <f t="shared" si="53"/>
        <v>-0.34013437099999999</v>
      </c>
      <c r="Q324" s="43">
        <f t="shared" si="54"/>
        <v>-0.34013437099999999</v>
      </c>
      <c r="R324" s="43">
        <f t="shared" si="55"/>
        <v>0.11569139033556564</v>
      </c>
    </row>
    <row r="325" spans="1:18" ht="15.75" customHeight="1" x14ac:dyDescent="0.3">
      <c r="A325" s="47">
        <v>38307</v>
      </c>
      <c r="B325" s="48">
        <v>0.79056966304779053</v>
      </c>
      <c r="C325" s="50">
        <v>2.3558540344238281</v>
      </c>
      <c r="D325" s="10">
        <f t="shared" ref="D325:D370" si="60">B325-$C$375</f>
        <v>0.40076188565014975</v>
      </c>
      <c r="E325" s="10">
        <f t="shared" ref="E325:E370" si="61">C325-$D$375</f>
        <v>1.8697780374516826</v>
      </c>
      <c r="F325" s="10">
        <f t="shared" si="59"/>
        <v>0.1606100889898637</v>
      </c>
      <c r="G325" s="10">
        <f t="shared" si="59"/>
        <v>3.4960699093366658</v>
      </c>
      <c r="H325" s="11">
        <f t="shared" si="56"/>
        <v>0.74933577203637258</v>
      </c>
      <c r="I325" s="12">
        <f t="shared" si="57"/>
        <v>1.5652843713760376</v>
      </c>
      <c r="J325" s="28">
        <f t="shared" si="58"/>
        <v>2.4501151632740772</v>
      </c>
      <c r="K325" s="30">
        <f t="shared" si="49"/>
        <v>1.5652843713760376</v>
      </c>
      <c r="L325" s="5"/>
      <c r="M325" s="30">
        <f t="shared" si="50"/>
        <v>-1.5652843713760376</v>
      </c>
      <c r="N325" s="42">
        <f t="shared" si="51"/>
        <v>-1.5652843713760376</v>
      </c>
      <c r="O325" s="43">
        <f t="shared" si="52"/>
        <v>2.4501151632740772</v>
      </c>
      <c r="P325" s="43">
        <f t="shared" si="53"/>
        <v>0.45043529204779054</v>
      </c>
      <c r="Q325" s="43">
        <f t="shared" si="54"/>
        <v>0.45043529204779054</v>
      </c>
      <c r="R325" s="43">
        <f t="shared" si="55"/>
        <v>0.20289195232217835</v>
      </c>
    </row>
    <row r="326" spans="1:18" ht="15.75" customHeight="1" x14ac:dyDescent="0.3">
      <c r="A326" s="47">
        <v>38308</v>
      </c>
      <c r="B326" s="48">
        <v>1.3718650341033936</v>
      </c>
      <c r="C326" s="50">
        <v>4.7112526893615723</v>
      </c>
      <c r="D326" s="10">
        <f t="shared" si="60"/>
        <v>0.98205725670575283</v>
      </c>
      <c r="E326" s="10">
        <f t="shared" si="61"/>
        <v>4.2251766923894269</v>
      </c>
      <c r="F326" s="10">
        <f t="shared" si="59"/>
        <v>0.96443645544842893</v>
      </c>
      <c r="G326" s="10">
        <f t="shared" si="59"/>
        <v>17.852118081910859</v>
      </c>
      <c r="H326" s="11">
        <f t="shared" si="56"/>
        <v>4.1493654316250472</v>
      </c>
      <c r="I326" s="12">
        <f t="shared" si="57"/>
        <v>3.3393876552581787</v>
      </c>
      <c r="J326" s="28">
        <f t="shared" si="58"/>
        <v>11.151509912090717</v>
      </c>
      <c r="K326" s="30">
        <f t="shared" ref="K326:K370" si="62">C326-B326</f>
        <v>3.3393876552581787</v>
      </c>
      <c r="L326" s="5"/>
      <c r="M326" s="30">
        <f t="shared" ref="M326:M370" si="63">B326-C326</f>
        <v>-3.3393876552581787</v>
      </c>
      <c r="N326" s="42">
        <f t="shared" ref="N326:N370" si="64">B326-C326</f>
        <v>-3.3393876552581787</v>
      </c>
      <c r="O326" s="43">
        <f t="shared" ref="O326:O370" si="65">M326*N326</f>
        <v>11.151509912090717</v>
      </c>
      <c r="P326" s="43">
        <f t="shared" ref="P326:P370" si="66">B326-0.340134371</f>
        <v>1.0317306631033936</v>
      </c>
      <c r="Q326" s="43">
        <f t="shared" ref="Q326:Q369" si="67">B326-0.340134371</f>
        <v>1.0317306631033936</v>
      </c>
      <c r="R326" s="43">
        <f t="shared" ref="R326:R370" si="68">P326*Q326</f>
        <v>1.0644681611877682</v>
      </c>
    </row>
    <row r="327" spans="1:18" ht="15.75" customHeight="1" x14ac:dyDescent="0.3">
      <c r="A327" s="47">
        <v>38309</v>
      </c>
      <c r="B327" s="48">
        <v>0.62584877014160156</v>
      </c>
      <c r="C327" s="50">
        <v>1.7240598797798157E-2</v>
      </c>
      <c r="D327" s="10">
        <f t="shared" si="60"/>
        <v>0.23604099274396079</v>
      </c>
      <c r="E327" s="10">
        <f t="shared" si="61"/>
        <v>-0.46883539817434738</v>
      </c>
      <c r="F327" s="10">
        <f t="shared" si="59"/>
        <v>5.5715350255554547E-2</v>
      </c>
      <c r="G327" s="10">
        <f t="shared" si="59"/>
        <v>0.21980663058129885</v>
      </c>
      <c r="H327" s="11">
        <f t="shared" si="56"/>
        <v>-0.1106643728185831</v>
      </c>
      <c r="I327" s="12">
        <f t="shared" si="57"/>
        <v>0.60860817134380341</v>
      </c>
      <c r="J327" s="28">
        <f t="shared" si="58"/>
        <v>0.37040390622644837</v>
      </c>
      <c r="K327" s="30">
        <f t="shared" si="62"/>
        <v>-0.60860817134380341</v>
      </c>
      <c r="L327" s="5"/>
      <c r="M327" s="30">
        <f t="shared" si="63"/>
        <v>0.60860817134380341</v>
      </c>
      <c r="N327" s="42">
        <f t="shared" si="64"/>
        <v>0.60860817134380341</v>
      </c>
      <c r="O327" s="43">
        <f t="shared" si="65"/>
        <v>0.37040390622644837</v>
      </c>
      <c r="P327" s="43">
        <f t="shared" si="66"/>
        <v>0.28571439914160157</v>
      </c>
      <c r="Q327" s="43">
        <f t="shared" si="67"/>
        <v>0.28571439914160157</v>
      </c>
      <c r="R327" s="43">
        <f t="shared" si="68"/>
        <v>8.1632717876846422E-2</v>
      </c>
    </row>
    <row r="328" spans="1:18" ht="15.75" customHeight="1" x14ac:dyDescent="0.3">
      <c r="A328" s="47">
        <v>38310</v>
      </c>
      <c r="B328" s="48">
        <v>2.1065719127655029</v>
      </c>
      <c r="C328" s="50">
        <v>0</v>
      </c>
      <c r="D328" s="10">
        <f t="shared" si="60"/>
        <v>1.7167641353678622</v>
      </c>
      <c r="E328" s="10">
        <f t="shared" si="61"/>
        <v>-0.48607599697214554</v>
      </c>
      <c r="F328" s="10">
        <f t="shared" si="59"/>
        <v>2.9472790964853637</v>
      </c>
      <c r="G328" s="10">
        <f t="shared" si="59"/>
        <v>0.23626987483246525</v>
      </c>
      <c r="H328" s="11">
        <f t="shared" si="56"/>
        <v>-0.83447783866495706</v>
      </c>
      <c r="I328" s="12">
        <f t="shared" si="57"/>
        <v>2.1065719127655029</v>
      </c>
      <c r="J328" s="28">
        <f t="shared" si="58"/>
        <v>4.4376452236525097</v>
      </c>
      <c r="K328" s="30">
        <f t="shared" si="62"/>
        <v>-2.1065719127655029</v>
      </c>
      <c r="L328" s="5"/>
      <c r="M328" s="30">
        <f t="shared" si="63"/>
        <v>2.1065719127655029</v>
      </c>
      <c r="N328" s="42">
        <f t="shared" si="64"/>
        <v>2.1065719127655029</v>
      </c>
      <c r="O328" s="43">
        <f t="shared" si="65"/>
        <v>4.4376452236525097</v>
      </c>
      <c r="P328" s="43">
        <f t="shared" si="66"/>
        <v>1.7664375417655029</v>
      </c>
      <c r="Q328" s="43">
        <f t="shared" si="67"/>
        <v>1.7664375417655029</v>
      </c>
      <c r="R328" s="43">
        <f t="shared" si="68"/>
        <v>3.120301588958553</v>
      </c>
    </row>
    <row r="329" spans="1:18" ht="15.75" customHeight="1" x14ac:dyDescent="0.3">
      <c r="A329" s="47">
        <v>38311</v>
      </c>
      <c r="B329" s="48">
        <v>0</v>
      </c>
      <c r="C329" s="50">
        <v>0.56376510858535767</v>
      </c>
      <c r="D329" s="10">
        <f t="shared" si="60"/>
        <v>-0.38980777739764078</v>
      </c>
      <c r="E329" s="10">
        <f t="shared" si="61"/>
        <v>7.7689111613212125E-2</v>
      </c>
      <c r="F329" s="10">
        <f t="shared" si="59"/>
        <v>0.15195010331968867</v>
      </c>
      <c r="G329" s="10">
        <f t="shared" si="59"/>
        <v>6.0355980632501314E-3</v>
      </c>
      <c r="H329" s="11">
        <f t="shared" si="56"/>
        <v>-3.0283819925943461E-2</v>
      </c>
      <c r="I329" s="12">
        <f t="shared" si="57"/>
        <v>0.56376510858535767</v>
      </c>
      <c r="J329" s="28">
        <f t="shared" si="58"/>
        <v>0.31783109765826012</v>
      </c>
      <c r="K329" s="30">
        <f t="shared" si="62"/>
        <v>0.56376510858535767</v>
      </c>
      <c r="L329" s="5"/>
      <c r="M329" s="30">
        <f t="shared" si="63"/>
        <v>-0.56376510858535767</v>
      </c>
      <c r="N329" s="42">
        <f t="shared" si="64"/>
        <v>-0.56376510858535767</v>
      </c>
      <c r="O329" s="43">
        <f t="shared" si="65"/>
        <v>0.31783109765826012</v>
      </c>
      <c r="P329" s="43">
        <f t="shared" si="66"/>
        <v>-0.34013437099999999</v>
      </c>
      <c r="Q329" s="43">
        <f t="shared" si="67"/>
        <v>-0.34013437099999999</v>
      </c>
      <c r="R329" s="43">
        <f t="shared" si="68"/>
        <v>0.11569139033556564</v>
      </c>
    </row>
    <row r="330" spans="1:18" ht="15.75" customHeight="1" x14ac:dyDescent="0.3">
      <c r="A330" s="47">
        <v>38312</v>
      </c>
      <c r="B330" s="48">
        <v>2.4976737499237061</v>
      </c>
      <c r="C330" s="50">
        <v>4.2862257957458496</v>
      </c>
      <c r="D330" s="10">
        <f t="shared" si="60"/>
        <v>2.1078659725260653</v>
      </c>
      <c r="E330" s="10">
        <f t="shared" si="61"/>
        <v>3.8001497987737043</v>
      </c>
      <c r="F330" s="10">
        <f t="shared" si="59"/>
        <v>4.4430989581332554</v>
      </c>
      <c r="G330" s="10">
        <f t="shared" si="59"/>
        <v>14.441138493119825</v>
      </c>
      <c r="H330" s="11">
        <f t="shared" si="56"/>
        <v>8.0102064513368649</v>
      </c>
      <c r="I330" s="12">
        <f t="shared" si="57"/>
        <v>1.7885520458221436</v>
      </c>
      <c r="J330" s="28">
        <f t="shared" si="58"/>
        <v>3.1989184206145751</v>
      </c>
      <c r="K330" s="30">
        <f t="shared" si="62"/>
        <v>1.7885520458221436</v>
      </c>
      <c r="L330" s="5"/>
      <c r="M330" s="30">
        <f t="shared" si="63"/>
        <v>-1.7885520458221436</v>
      </c>
      <c r="N330" s="42">
        <f t="shared" si="64"/>
        <v>-1.7885520458221436</v>
      </c>
      <c r="O330" s="43">
        <f t="shared" si="65"/>
        <v>3.1989184206145751</v>
      </c>
      <c r="P330" s="43">
        <f t="shared" si="66"/>
        <v>2.1575393789237061</v>
      </c>
      <c r="Q330" s="43">
        <f t="shared" si="67"/>
        <v>2.1575393789237061</v>
      </c>
      <c r="R330" s="43">
        <f t="shared" si="68"/>
        <v>4.6549761716064912</v>
      </c>
    </row>
    <row r="331" spans="1:18" ht="15.75" customHeight="1" x14ac:dyDescent="0.3">
      <c r="A331" s="47">
        <v>38313</v>
      </c>
      <c r="B331" s="48">
        <v>6.097266674041748</v>
      </c>
      <c r="C331" s="50">
        <v>0.89631688594818115</v>
      </c>
      <c r="D331" s="10">
        <f t="shared" si="60"/>
        <v>5.7074588966441073</v>
      </c>
      <c r="E331" s="10">
        <f t="shared" si="61"/>
        <v>0.41024088897603561</v>
      </c>
      <c r="F331" s="10">
        <f t="shared" si="59"/>
        <v>32.575087056881969</v>
      </c>
      <c r="G331" s="10">
        <f t="shared" si="59"/>
        <v>0.16829758698784797</v>
      </c>
      <c r="H331" s="11">
        <f t="shared" ref="H331:H370" si="69">D331*E331</f>
        <v>2.3414330115534621</v>
      </c>
      <c r="I331" s="12">
        <f t="shared" ref="I331:I370" si="70">ABS(C331-B331)</f>
        <v>5.2009497880935669</v>
      </c>
      <c r="J331" s="28">
        <f t="shared" ref="J331:J370" si="71">I331^2</f>
        <v>27.049878698270518</v>
      </c>
      <c r="K331" s="30">
        <f t="shared" si="62"/>
        <v>-5.2009497880935669</v>
      </c>
      <c r="L331" s="5"/>
      <c r="M331" s="30">
        <f t="shared" si="63"/>
        <v>5.2009497880935669</v>
      </c>
      <c r="N331" s="42">
        <f t="shared" si="64"/>
        <v>5.2009497880935669</v>
      </c>
      <c r="O331" s="43">
        <f t="shared" si="65"/>
        <v>27.049878698270518</v>
      </c>
      <c r="P331" s="43">
        <f t="shared" si="66"/>
        <v>5.7571323030417485</v>
      </c>
      <c r="Q331" s="43">
        <f t="shared" si="67"/>
        <v>5.7571323030417485</v>
      </c>
      <c r="R331" s="43">
        <f t="shared" si="68"/>
        <v>33.14457235472679</v>
      </c>
    </row>
    <row r="332" spans="1:18" ht="15.75" customHeight="1" x14ac:dyDescent="0.3">
      <c r="A332" s="47">
        <v>38314</v>
      </c>
      <c r="B332" s="48">
        <v>8.8212884962558746E-2</v>
      </c>
      <c r="C332" s="50">
        <v>6.1839818954467773E-6</v>
      </c>
      <c r="D332" s="10">
        <f t="shared" si="60"/>
        <v>-0.30159489243508203</v>
      </c>
      <c r="E332" s="10">
        <f t="shared" si="61"/>
        <v>-0.48606981299025009</v>
      </c>
      <c r="F332" s="10">
        <f t="shared" si="59"/>
        <v>9.0959479142928693E-2</v>
      </c>
      <c r="G332" s="10">
        <f t="shared" si="59"/>
        <v>0.2362638631003767</v>
      </c>
      <c r="H332" s="11">
        <f t="shared" si="69"/>
        <v>0.14659617296473493</v>
      </c>
      <c r="I332" s="12">
        <f t="shared" si="70"/>
        <v>8.82067009806633E-2</v>
      </c>
      <c r="J332" s="28">
        <f t="shared" si="71"/>
        <v>7.7804220978921479E-3</v>
      </c>
      <c r="K332" s="30">
        <f t="shared" si="62"/>
        <v>-8.82067009806633E-2</v>
      </c>
      <c r="L332" s="5"/>
      <c r="M332" s="30">
        <f t="shared" si="63"/>
        <v>8.82067009806633E-2</v>
      </c>
      <c r="N332" s="42">
        <f t="shared" si="64"/>
        <v>8.82067009806633E-2</v>
      </c>
      <c r="O332" s="43">
        <f t="shared" si="65"/>
        <v>7.7804220978921479E-3</v>
      </c>
      <c r="P332" s="43">
        <f t="shared" si="66"/>
        <v>-0.25192148603744124</v>
      </c>
      <c r="Q332" s="43">
        <f t="shared" si="67"/>
        <v>-0.25192148603744124</v>
      </c>
      <c r="R332" s="43">
        <f t="shared" si="68"/>
        <v>6.3464435127312702E-2</v>
      </c>
    </row>
    <row r="333" spans="1:18" ht="15.75" customHeight="1" x14ac:dyDescent="0.3">
      <c r="A333" s="47">
        <v>38315</v>
      </c>
      <c r="B333" s="48">
        <v>0</v>
      </c>
      <c r="C333" s="50">
        <v>0.77075546979904175</v>
      </c>
      <c r="D333" s="10">
        <f t="shared" si="60"/>
        <v>-0.38980777739764078</v>
      </c>
      <c r="E333" s="10">
        <f t="shared" si="61"/>
        <v>0.28467947282689621</v>
      </c>
      <c r="F333" s="10">
        <f t="shared" si="59"/>
        <v>0.15195010331968867</v>
      </c>
      <c r="G333" s="10">
        <f t="shared" si="59"/>
        <v>8.1042402248999543E-2</v>
      </c>
      <c r="H333" s="11">
        <f t="shared" si="69"/>
        <v>-0.11097027257338449</v>
      </c>
      <c r="I333" s="12">
        <f t="shared" si="70"/>
        <v>0.77075546979904175</v>
      </c>
      <c r="J333" s="28">
        <f t="shared" si="71"/>
        <v>0.59406399422514156</v>
      </c>
      <c r="K333" s="30">
        <f t="shared" si="62"/>
        <v>0.77075546979904175</v>
      </c>
      <c r="L333" s="5"/>
      <c r="M333" s="30">
        <f t="shared" si="63"/>
        <v>-0.77075546979904175</v>
      </c>
      <c r="N333" s="42">
        <f t="shared" si="64"/>
        <v>-0.77075546979904175</v>
      </c>
      <c r="O333" s="43">
        <f t="shared" si="65"/>
        <v>0.59406399422514156</v>
      </c>
      <c r="P333" s="43">
        <f t="shared" si="66"/>
        <v>-0.34013437099999999</v>
      </c>
      <c r="Q333" s="43">
        <f t="shared" si="67"/>
        <v>-0.34013437099999999</v>
      </c>
      <c r="R333" s="43">
        <f t="shared" si="68"/>
        <v>0.11569139033556564</v>
      </c>
    </row>
    <row r="334" spans="1:18" ht="15.75" customHeight="1" x14ac:dyDescent="0.3">
      <c r="A334" s="47">
        <v>38316</v>
      </c>
      <c r="B334" s="48">
        <v>6.2949824333190918</v>
      </c>
      <c r="C334" s="50">
        <v>0.62096720933914185</v>
      </c>
      <c r="D334" s="10">
        <f t="shared" si="60"/>
        <v>5.9051746559214511</v>
      </c>
      <c r="E334" s="10">
        <f t="shared" si="61"/>
        <v>0.1348912123669963</v>
      </c>
      <c r="F334" s="10">
        <f t="shared" si="59"/>
        <v>34.871087716937026</v>
      </c>
      <c r="G334" s="10">
        <f t="shared" si="59"/>
        <v>1.8195639173838096E-2</v>
      </c>
      <c r="H334" s="11">
        <f t="shared" si="69"/>
        <v>0.79655616857610478</v>
      </c>
      <c r="I334" s="12">
        <f t="shared" si="70"/>
        <v>5.67401522397995</v>
      </c>
      <c r="J334" s="28">
        <f t="shared" si="71"/>
        <v>32.194448761956238</v>
      </c>
      <c r="K334" s="30">
        <f t="shared" si="62"/>
        <v>-5.67401522397995</v>
      </c>
      <c r="L334" s="5"/>
      <c r="M334" s="30">
        <f t="shared" si="63"/>
        <v>5.67401522397995</v>
      </c>
      <c r="N334" s="42">
        <f t="shared" si="64"/>
        <v>5.67401522397995</v>
      </c>
      <c r="O334" s="43">
        <f t="shared" si="65"/>
        <v>32.194448761956238</v>
      </c>
      <c r="P334" s="43">
        <f t="shared" si="66"/>
        <v>5.9548480623190923</v>
      </c>
      <c r="Q334" s="43">
        <f t="shared" si="67"/>
        <v>5.9548480623190923</v>
      </c>
      <c r="R334" s="43">
        <f t="shared" si="68"/>
        <v>35.460215445305451</v>
      </c>
    </row>
    <row r="335" spans="1:18" ht="15.75" customHeight="1" x14ac:dyDescent="0.3">
      <c r="A335" s="47">
        <v>38317</v>
      </c>
      <c r="B335" s="48">
        <v>3.6656863987445831E-2</v>
      </c>
      <c r="C335" s="50">
        <v>1.4487118721008301</v>
      </c>
      <c r="D335" s="10">
        <f t="shared" si="60"/>
        <v>-0.35315091341019494</v>
      </c>
      <c r="E335" s="10">
        <f t="shared" si="61"/>
        <v>0.96263587512868454</v>
      </c>
      <c r="F335" s="10">
        <f t="shared" si="59"/>
        <v>0.12471556764245501</v>
      </c>
      <c r="G335" s="10">
        <f t="shared" si="59"/>
        <v>0.92666782808476833</v>
      </c>
      <c r="H335" s="11">
        <f t="shared" si="69"/>
        <v>-0.33995573858311728</v>
      </c>
      <c r="I335" s="12">
        <f t="shared" si="70"/>
        <v>1.4120550081133842</v>
      </c>
      <c r="J335" s="28">
        <f t="shared" si="71"/>
        <v>1.9938993459380896</v>
      </c>
      <c r="K335" s="30">
        <f t="shared" si="62"/>
        <v>1.4120550081133842</v>
      </c>
      <c r="L335" s="5"/>
      <c r="M335" s="30">
        <f t="shared" si="63"/>
        <v>-1.4120550081133842</v>
      </c>
      <c r="N335" s="42">
        <f t="shared" si="64"/>
        <v>-1.4120550081133842</v>
      </c>
      <c r="O335" s="43">
        <f t="shared" si="65"/>
        <v>1.9938993459380896</v>
      </c>
      <c r="P335" s="43">
        <f t="shared" si="66"/>
        <v>-0.30347750701255416</v>
      </c>
      <c r="Q335" s="43">
        <f t="shared" si="67"/>
        <v>-0.30347750701255416</v>
      </c>
      <c r="R335" s="43">
        <f t="shared" si="68"/>
        <v>9.2098597262554857E-2</v>
      </c>
    </row>
    <row r="336" spans="1:18" ht="15.75" customHeight="1" x14ac:dyDescent="0.3">
      <c r="A336" s="47">
        <v>38318</v>
      </c>
      <c r="B336" s="48">
        <v>0</v>
      </c>
      <c r="C336" s="50">
        <v>0</v>
      </c>
      <c r="D336" s="10">
        <f t="shared" si="60"/>
        <v>-0.38980777739764078</v>
      </c>
      <c r="E336" s="10">
        <f t="shared" si="61"/>
        <v>-0.48607599697214554</v>
      </c>
      <c r="F336" s="10">
        <f t="shared" si="59"/>
        <v>0.15195010331968867</v>
      </c>
      <c r="G336" s="10">
        <f t="shared" si="59"/>
        <v>0.23626987483246525</v>
      </c>
      <c r="H336" s="11">
        <f t="shared" si="69"/>
        <v>0.18947620402605442</v>
      </c>
      <c r="I336" s="12">
        <f t="shared" si="70"/>
        <v>0</v>
      </c>
      <c r="J336" s="28">
        <f t="shared" si="71"/>
        <v>0</v>
      </c>
      <c r="K336" s="30">
        <f t="shared" si="62"/>
        <v>0</v>
      </c>
      <c r="L336" s="5"/>
      <c r="M336" s="30">
        <f t="shared" si="63"/>
        <v>0</v>
      </c>
      <c r="N336" s="42">
        <f t="shared" si="64"/>
        <v>0</v>
      </c>
      <c r="O336" s="43">
        <f t="shared" si="65"/>
        <v>0</v>
      </c>
      <c r="P336" s="43">
        <f t="shared" si="66"/>
        <v>-0.34013437099999999</v>
      </c>
      <c r="Q336" s="43">
        <f t="shared" si="67"/>
        <v>-0.34013437099999999</v>
      </c>
      <c r="R336" s="43">
        <f t="shared" si="68"/>
        <v>0.11569139033556564</v>
      </c>
    </row>
    <row r="337" spans="1:18" ht="15.75" customHeight="1" x14ac:dyDescent="0.3">
      <c r="A337" s="47">
        <v>38319</v>
      </c>
      <c r="B337" s="48">
        <v>0</v>
      </c>
      <c r="C337" s="50">
        <v>1.7627230882644653</v>
      </c>
      <c r="D337" s="10">
        <f t="shared" si="60"/>
        <v>-0.38980777739764078</v>
      </c>
      <c r="E337" s="10">
        <f t="shared" si="61"/>
        <v>1.2766470912923198</v>
      </c>
      <c r="F337" s="10">
        <f t="shared" si="59"/>
        <v>0.15195010331968867</v>
      </c>
      <c r="G337" s="10">
        <f t="shared" si="59"/>
        <v>1.6298277957051408</v>
      </c>
      <c r="H337" s="11">
        <f t="shared" si="69"/>
        <v>-0.4976469651778222</v>
      </c>
      <c r="I337" s="12">
        <f t="shared" si="70"/>
        <v>1.7627230882644653</v>
      </c>
      <c r="J337" s="28">
        <f t="shared" si="71"/>
        <v>3.107192685900614</v>
      </c>
      <c r="K337" s="30">
        <f t="shared" si="62"/>
        <v>1.7627230882644653</v>
      </c>
      <c r="L337" s="5"/>
      <c r="M337" s="30">
        <f t="shared" si="63"/>
        <v>-1.7627230882644653</v>
      </c>
      <c r="N337" s="42">
        <f t="shared" si="64"/>
        <v>-1.7627230882644653</v>
      </c>
      <c r="O337" s="43">
        <f t="shared" si="65"/>
        <v>3.107192685900614</v>
      </c>
      <c r="P337" s="43">
        <f t="shared" si="66"/>
        <v>-0.34013437099999999</v>
      </c>
      <c r="Q337" s="43">
        <f t="shared" si="67"/>
        <v>-0.34013437099999999</v>
      </c>
      <c r="R337" s="43">
        <f t="shared" si="68"/>
        <v>0.11569139033556564</v>
      </c>
    </row>
    <row r="338" spans="1:18" ht="15.75" customHeight="1" x14ac:dyDescent="0.3">
      <c r="A338" s="47">
        <v>38320</v>
      </c>
      <c r="B338" s="48">
        <v>10.588039398193359</v>
      </c>
      <c r="C338" s="50">
        <v>1.9505484104156494</v>
      </c>
      <c r="D338" s="10">
        <f t="shared" si="60"/>
        <v>10.198231620795719</v>
      </c>
      <c r="E338" s="10">
        <f t="shared" si="61"/>
        <v>1.4644724134435039</v>
      </c>
      <c r="F338" s="10">
        <f t="shared" si="59"/>
        <v>104.00392819139768</v>
      </c>
      <c r="G338" s="10">
        <f t="shared" si="59"/>
        <v>2.1446794497370409</v>
      </c>
      <c r="H338" s="11">
        <f t="shared" si="69"/>
        <v>14.935028874562562</v>
      </c>
      <c r="I338" s="12">
        <f t="shared" si="70"/>
        <v>8.63749098777771</v>
      </c>
      <c r="J338" s="28">
        <f t="shared" si="71"/>
        <v>74.60625056394116</v>
      </c>
      <c r="K338" s="30">
        <f t="shared" si="62"/>
        <v>-8.63749098777771</v>
      </c>
      <c r="L338" s="5"/>
      <c r="M338" s="30">
        <f t="shared" si="63"/>
        <v>8.63749098777771</v>
      </c>
      <c r="N338" s="42">
        <f t="shared" si="64"/>
        <v>8.63749098777771</v>
      </c>
      <c r="O338" s="43">
        <f t="shared" si="65"/>
        <v>74.60625056394116</v>
      </c>
      <c r="P338" s="43">
        <f t="shared" si="66"/>
        <v>10.24790502719336</v>
      </c>
      <c r="Q338" s="43">
        <f t="shared" si="67"/>
        <v>10.24790502719336</v>
      </c>
      <c r="R338" s="43">
        <f t="shared" si="68"/>
        <v>105.01955744637493</v>
      </c>
    </row>
    <row r="339" spans="1:18" ht="15.75" customHeight="1" x14ac:dyDescent="0.3">
      <c r="A339" s="47">
        <v>38321</v>
      </c>
      <c r="B339" s="48">
        <v>0</v>
      </c>
      <c r="C339" s="50">
        <v>0</v>
      </c>
      <c r="D339" s="10">
        <f t="shared" si="60"/>
        <v>-0.38980777739764078</v>
      </c>
      <c r="E339" s="10">
        <f t="shared" si="61"/>
        <v>-0.48607599697214554</v>
      </c>
      <c r="F339" s="10">
        <f t="shared" si="59"/>
        <v>0.15195010331968867</v>
      </c>
      <c r="G339" s="10">
        <f t="shared" si="59"/>
        <v>0.23626987483246525</v>
      </c>
      <c r="H339" s="11">
        <f t="shared" si="69"/>
        <v>0.18947620402605442</v>
      </c>
      <c r="I339" s="12">
        <f t="shared" si="70"/>
        <v>0</v>
      </c>
      <c r="J339" s="28">
        <f t="shared" si="71"/>
        <v>0</v>
      </c>
      <c r="K339" s="30">
        <f t="shared" si="62"/>
        <v>0</v>
      </c>
      <c r="L339" s="5"/>
      <c r="M339" s="30">
        <f t="shared" si="63"/>
        <v>0</v>
      </c>
      <c r="N339" s="42">
        <f t="shared" si="64"/>
        <v>0</v>
      </c>
      <c r="O339" s="43">
        <f t="shared" si="65"/>
        <v>0</v>
      </c>
      <c r="P339" s="43">
        <f t="shared" si="66"/>
        <v>-0.34013437099999999</v>
      </c>
      <c r="Q339" s="43">
        <f t="shared" si="67"/>
        <v>-0.34013437099999999</v>
      </c>
      <c r="R339" s="43">
        <f t="shared" si="68"/>
        <v>0.11569139033556564</v>
      </c>
    </row>
    <row r="340" spans="1:18" ht="15.75" customHeight="1" x14ac:dyDescent="0.3">
      <c r="A340" s="47">
        <v>38322</v>
      </c>
      <c r="B340" s="48">
        <v>0</v>
      </c>
      <c r="C340" s="50">
        <v>8.5234642028808594E-6</v>
      </c>
      <c r="D340" s="10">
        <f t="shared" si="60"/>
        <v>-0.38980777739764078</v>
      </c>
      <c r="E340" s="10">
        <f t="shared" si="61"/>
        <v>-0.48606747350794266</v>
      </c>
      <c r="F340" s="10">
        <f t="shared" si="59"/>
        <v>0.15195010331968867</v>
      </c>
      <c r="G340" s="10">
        <f t="shared" si="59"/>
        <v>0.23626158880239453</v>
      </c>
      <c r="H340" s="11">
        <f t="shared" si="69"/>
        <v>0.18947288151341776</v>
      </c>
      <c r="I340" s="12">
        <f t="shared" si="70"/>
        <v>8.5234642028808594E-6</v>
      </c>
      <c r="J340" s="28">
        <f t="shared" si="71"/>
        <v>7.2649442017791444E-11</v>
      </c>
      <c r="K340" s="30">
        <f t="shared" si="62"/>
        <v>8.5234642028808594E-6</v>
      </c>
      <c r="L340" s="5"/>
      <c r="M340" s="30">
        <f t="shared" si="63"/>
        <v>-8.5234642028808594E-6</v>
      </c>
      <c r="N340" s="42">
        <f t="shared" si="64"/>
        <v>-8.5234642028808594E-6</v>
      </c>
      <c r="O340" s="43">
        <f t="shared" si="65"/>
        <v>7.2649442017791444E-11</v>
      </c>
      <c r="P340" s="43">
        <f t="shared" si="66"/>
        <v>-0.34013437099999999</v>
      </c>
      <c r="Q340" s="43">
        <f t="shared" si="67"/>
        <v>-0.34013437099999999</v>
      </c>
      <c r="R340" s="43">
        <f t="shared" si="68"/>
        <v>0.11569139033556564</v>
      </c>
    </row>
    <row r="341" spans="1:18" ht="15.75" customHeight="1" x14ac:dyDescent="0.3">
      <c r="A341" s="47">
        <v>38323</v>
      </c>
      <c r="B341" s="48">
        <v>0</v>
      </c>
      <c r="C341" s="50">
        <v>3.1250059604644775E-2</v>
      </c>
      <c r="D341" s="10">
        <f t="shared" si="60"/>
        <v>-0.38980777739764078</v>
      </c>
      <c r="E341" s="10">
        <f t="shared" si="61"/>
        <v>-0.45482593736750077</v>
      </c>
      <c r="F341" s="10">
        <f t="shared" ref="F341:G370" si="72">D341^2</f>
        <v>0.15195010331968867</v>
      </c>
      <c r="G341" s="10">
        <f t="shared" si="72"/>
        <v>0.20686663330222574</v>
      </c>
      <c r="H341" s="11">
        <f t="shared" si="69"/>
        <v>0.17729468774802404</v>
      </c>
      <c r="I341" s="12">
        <f t="shared" si="70"/>
        <v>3.1250059604644775E-2</v>
      </c>
      <c r="J341" s="28">
        <f t="shared" si="71"/>
        <v>9.7656622529385118E-4</v>
      </c>
      <c r="K341" s="30">
        <f t="shared" si="62"/>
        <v>3.1250059604644775E-2</v>
      </c>
      <c r="L341" s="5"/>
      <c r="M341" s="30">
        <f t="shared" si="63"/>
        <v>-3.1250059604644775E-2</v>
      </c>
      <c r="N341" s="42">
        <f t="shared" si="64"/>
        <v>-3.1250059604644775E-2</v>
      </c>
      <c r="O341" s="43">
        <f t="shared" si="65"/>
        <v>9.7656622529385118E-4</v>
      </c>
      <c r="P341" s="43">
        <f t="shared" si="66"/>
        <v>-0.34013437099999999</v>
      </c>
      <c r="Q341" s="43">
        <f t="shared" si="67"/>
        <v>-0.34013437099999999</v>
      </c>
      <c r="R341" s="43">
        <f t="shared" si="68"/>
        <v>0.11569139033556564</v>
      </c>
    </row>
    <row r="342" spans="1:18" ht="15.75" customHeight="1" x14ac:dyDescent="0.3">
      <c r="A342" s="47">
        <v>38324</v>
      </c>
      <c r="B342" s="48">
        <v>0</v>
      </c>
      <c r="C342" s="50">
        <v>1.7319906502962112E-2</v>
      </c>
      <c r="D342" s="10">
        <f t="shared" si="60"/>
        <v>-0.38980777739764078</v>
      </c>
      <c r="E342" s="10">
        <f t="shared" si="61"/>
        <v>-0.46875609046918343</v>
      </c>
      <c r="F342" s="10">
        <f t="shared" si="72"/>
        <v>0.15195010331968867</v>
      </c>
      <c r="G342" s="10">
        <f t="shared" si="72"/>
        <v>0.21973227235195328</v>
      </c>
      <c r="H342" s="11">
        <f t="shared" si="69"/>
        <v>0.18272476976739982</v>
      </c>
      <c r="I342" s="12">
        <f t="shared" si="70"/>
        <v>1.7319906502962112E-2</v>
      </c>
      <c r="J342" s="28">
        <f t="shared" si="71"/>
        <v>2.9997916127134927E-4</v>
      </c>
      <c r="K342" s="30">
        <f t="shared" si="62"/>
        <v>1.7319906502962112E-2</v>
      </c>
      <c r="L342" s="5"/>
      <c r="M342" s="30">
        <f t="shared" si="63"/>
        <v>-1.7319906502962112E-2</v>
      </c>
      <c r="N342" s="42">
        <f t="shared" si="64"/>
        <v>-1.7319906502962112E-2</v>
      </c>
      <c r="O342" s="43">
        <f t="shared" si="65"/>
        <v>2.9997916127134927E-4</v>
      </c>
      <c r="P342" s="43">
        <f t="shared" si="66"/>
        <v>-0.34013437099999999</v>
      </c>
      <c r="Q342" s="43">
        <f t="shared" si="67"/>
        <v>-0.34013437099999999</v>
      </c>
      <c r="R342" s="43">
        <f t="shared" si="68"/>
        <v>0.11569139033556564</v>
      </c>
    </row>
    <row r="343" spans="1:18" ht="15.75" customHeight="1" x14ac:dyDescent="0.3">
      <c r="A343" s="47">
        <v>38325</v>
      </c>
      <c r="B343" s="48">
        <v>0</v>
      </c>
      <c r="C343" s="50">
        <v>1.276843249797821E-6</v>
      </c>
      <c r="D343" s="10">
        <f t="shared" si="60"/>
        <v>-0.38980777739764078</v>
      </c>
      <c r="E343" s="10">
        <f t="shared" si="61"/>
        <v>-0.48607472012889574</v>
      </c>
      <c r="F343" s="10">
        <f t="shared" si="72"/>
        <v>0.15195010331968867</v>
      </c>
      <c r="G343" s="10">
        <f t="shared" si="72"/>
        <v>0.23626863354838432</v>
      </c>
      <c r="H343" s="11">
        <f t="shared" si="69"/>
        <v>0.18947570630262514</v>
      </c>
      <c r="I343" s="12">
        <f t="shared" si="70"/>
        <v>1.276843249797821E-6</v>
      </c>
      <c r="J343" s="28">
        <f t="shared" si="71"/>
        <v>1.6303286845542608E-12</v>
      </c>
      <c r="K343" s="30">
        <f t="shared" si="62"/>
        <v>1.276843249797821E-6</v>
      </c>
      <c r="L343" s="5"/>
      <c r="M343" s="30">
        <f t="shared" si="63"/>
        <v>-1.276843249797821E-6</v>
      </c>
      <c r="N343" s="42">
        <f t="shared" si="64"/>
        <v>-1.276843249797821E-6</v>
      </c>
      <c r="O343" s="43">
        <f t="shared" si="65"/>
        <v>1.6303286845542608E-12</v>
      </c>
      <c r="P343" s="43">
        <f t="shared" si="66"/>
        <v>-0.34013437099999999</v>
      </c>
      <c r="Q343" s="43">
        <f t="shared" si="67"/>
        <v>-0.34013437099999999</v>
      </c>
      <c r="R343" s="43">
        <f t="shared" si="68"/>
        <v>0.11569139033556564</v>
      </c>
    </row>
    <row r="344" spans="1:18" ht="13.5" customHeight="1" x14ac:dyDescent="0.3">
      <c r="A344" s="47">
        <v>38326</v>
      </c>
      <c r="B344" s="48">
        <v>0</v>
      </c>
      <c r="C344" s="50">
        <v>0.2840333878993988</v>
      </c>
      <c r="D344" s="10">
        <f t="shared" si="60"/>
        <v>-0.38980777739764078</v>
      </c>
      <c r="E344" s="10">
        <f t="shared" si="61"/>
        <v>-0.20204260907274674</v>
      </c>
      <c r="F344" s="10">
        <f t="shared" si="72"/>
        <v>0.15195010331968867</v>
      </c>
      <c r="G344" s="10">
        <f t="shared" si="72"/>
        <v>4.0821215880922759E-2</v>
      </c>
      <c r="H344" s="11">
        <f t="shared" si="69"/>
        <v>7.8757780382267814E-2</v>
      </c>
      <c r="I344" s="12">
        <f t="shared" si="70"/>
        <v>0.2840333878993988</v>
      </c>
      <c r="J344" s="28">
        <f t="shared" si="71"/>
        <v>8.0674965441610347E-2</v>
      </c>
      <c r="K344" s="30">
        <f t="shared" si="62"/>
        <v>0.2840333878993988</v>
      </c>
      <c r="L344" s="5"/>
      <c r="M344" s="30">
        <f t="shared" si="63"/>
        <v>-0.2840333878993988</v>
      </c>
      <c r="N344" s="42">
        <f t="shared" si="64"/>
        <v>-0.2840333878993988</v>
      </c>
      <c r="O344" s="43">
        <f t="shared" si="65"/>
        <v>8.0674965441610347E-2</v>
      </c>
      <c r="P344" s="43">
        <f t="shared" si="66"/>
        <v>-0.34013437099999999</v>
      </c>
      <c r="Q344" s="43">
        <f t="shared" si="67"/>
        <v>-0.34013437099999999</v>
      </c>
      <c r="R344" s="43">
        <f t="shared" si="68"/>
        <v>0.11569139033556564</v>
      </c>
    </row>
    <row r="345" spans="1:18" ht="13.5" customHeight="1" x14ac:dyDescent="0.3">
      <c r="A345" s="47">
        <v>38327</v>
      </c>
      <c r="B345" s="48">
        <v>0</v>
      </c>
      <c r="C345" s="50">
        <v>1.6606330871582031E-2</v>
      </c>
      <c r="D345" s="10">
        <f t="shared" si="60"/>
        <v>-0.38980777739764078</v>
      </c>
      <c r="E345" s="10">
        <f t="shared" si="61"/>
        <v>-0.46946966610056351</v>
      </c>
      <c r="F345" s="10">
        <f t="shared" si="72"/>
        <v>0.15195010331968867</v>
      </c>
      <c r="G345" s="10">
        <f t="shared" si="72"/>
        <v>0.22040176738857459</v>
      </c>
      <c r="H345" s="11">
        <f t="shared" si="69"/>
        <v>0.1830029270982732</v>
      </c>
      <c r="I345" s="12">
        <f t="shared" si="70"/>
        <v>1.6606330871582031E-2</v>
      </c>
      <c r="J345" s="28">
        <f t="shared" si="71"/>
        <v>2.7577022501645843E-4</v>
      </c>
      <c r="K345" s="30">
        <f t="shared" si="62"/>
        <v>1.6606330871582031E-2</v>
      </c>
      <c r="L345" s="5"/>
      <c r="M345" s="30">
        <f t="shared" si="63"/>
        <v>-1.6606330871582031E-2</v>
      </c>
      <c r="N345" s="42">
        <f t="shared" si="64"/>
        <v>-1.6606330871582031E-2</v>
      </c>
      <c r="O345" s="43">
        <f t="shared" si="65"/>
        <v>2.7577022501645843E-4</v>
      </c>
      <c r="P345" s="43">
        <f t="shared" si="66"/>
        <v>-0.34013437099999999</v>
      </c>
      <c r="Q345" s="43">
        <f t="shared" si="67"/>
        <v>-0.34013437099999999</v>
      </c>
      <c r="R345" s="43">
        <f t="shared" si="68"/>
        <v>0.11569139033556564</v>
      </c>
    </row>
    <row r="346" spans="1:18" ht="13.5" customHeight="1" x14ac:dyDescent="0.3">
      <c r="A346" s="47">
        <v>38328</v>
      </c>
      <c r="B346" s="48">
        <v>0</v>
      </c>
      <c r="C346" s="50">
        <v>0</v>
      </c>
      <c r="D346" s="10">
        <f t="shared" si="60"/>
        <v>-0.38980777739764078</v>
      </c>
      <c r="E346" s="10">
        <f t="shared" si="61"/>
        <v>-0.48607599697214554</v>
      </c>
      <c r="F346" s="10">
        <f t="shared" si="72"/>
        <v>0.15195010331968867</v>
      </c>
      <c r="G346" s="10">
        <f t="shared" si="72"/>
        <v>0.23626987483246525</v>
      </c>
      <c r="H346" s="11">
        <f t="shared" si="69"/>
        <v>0.18947620402605442</v>
      </c>
      <c r="I346" s="12">
        <f t="shared" si="70"/>
        <v>0</v>
      </c>
      <c r="J346" s="28">
        <f t="shared" si="71"/>
        <v>0</v>
      </c>
      <c r="K346" s="30">
        <f t="shared" si="62"/>
        <v>0</v>
      </c>
      <c r="L346" s="5"/>
      <c r="M346" s="30">
        <f t="shared" si="63"/>
        <v>0</v>
      </c>
      <c r="N346" s="42">
        <f t="shared" si="64"/>
        <v>0</v>
      </c>
      <c r="O346" s="43">
        <f t="shared" si="65"/>
        <v>0</v>
      </c>
      <c r="P346" s="43">
        <f t="shared" si="66"/>
        <v>-0.34013437099999999</v>
      </c>
      <c r="Q346" s="43">
        <f t="shared" si="67"/>
        <v>-0.34013437099999999</v>
      </c>
      <c r="R346" s="43">
        <f t="shared" si="68"/>
        <v>0.11569139033556564</v>
      </c>
    </row>
    <row r="347" spans="1:18" ht="15.75" customHeight="1" x14ac:dyDescent="0.3">
      <c r="A347" s="47">
        <v>38329</v>
      </c>
      <c r="B347" s="48">
        <v>0</v>
      </c>
      <c r="C347" s="50">
        <v>7.133619487285614E-2</v>
      </c>
      <c r="D347" s="10">
        <f t="shared" si="60"/>
        <v>-0.38980777739764078</v>
      </c>
      <c r="E347" s="10">
        <f t="shared" si="61"/>
        <v>-0.4147398020992894</v>
      </c>
      <c r="F347" s="10">
        <f t="shared" si="72"/>
        <v>0.15195010331968867</v>
      </c>
      <c r="G347" s="10">
        <f t="shared" si="72"/>
        <v>0.17200910344535775</v>
      </c>
      <c r="H347" s="11">
        <f t="shared" si="69"/>
        <v>0.16166880045466139</v>
      </c>
      <c r="I347" s="12">
        <f t="shared" si="70"/>
        <v>7.133619487285614E-2</v>
      </c>
      <c r="J347" s="28">
        <f t="shared" si="71"/>
        <v>5.0888526989381067E-3</v>
      </c>
      <c r="K347" s="30">
        <f t="shared" si="62"/>
        <v>7.133619487285614E-2</v>
      </c>
      <c r="L347" s="5"/>
      <c r="M347" s="30">
        <f t="shared" si="63"/>
        <v>-7.133619487285614E-2</v>
      </c>
      <c r="N347" s="42">
        <f t="shared" si="64"/>
        <v>-7.133619487285614E-2</v>
      </c>
      <c r="O347" s="43">
        <f t="shared" si="65"/>
        <v>5.0888526989381067E-3</v>
      </c>
      <c r="P347" s="43">
        <f t="shared" si="66"/>
        <v>-0.34013437099999999</v>
      </c>
      <c r="Q347" s="43">
        <f t="shared" si="67"/>
        <v>-0.34013437099999999</v>
      </c>
      <c r="R347" s="43">
        <f t="shared" si="68"/>
        <v>0.11569139033556564</v>
      </c>
    </row>
    <row r="348" spans="1:18" ht="15.75" customHeight="1" x14ac:dyDescent="0.3">
      <c r="A348" s="47">
        <v>38330</v>
      </c>
      <c r="B348" s="48">
        <v>0</v>
      </c>
      <c r="C348" s="50">
        <v>1.4635485410690308</v>
      </c>
      <c r="D348" s="10">
        <f t="shared" si="60"/>
        <v>-0.38980777739764078</v>
      </c>
      <c r="E348" s="10">
        <f t="shared" si="61"/>
        <v>0.97747254409688522</v>
      </c>
      <c r="F348" s="10">
        <f t="shared" si="72"/>
        <v>0.15195010331968867</v>
      </c>
      <c r="G348" s="10">
        <f t="shared" si="72"/>
        <v>0.95545257446323717</v>
      </c>
      <c r="H348" s="11">
        <f t="shared" si="69"/>
        <v>-0.38102639988162423</v>
      </c>
      <c r="I348" s="12">
        <f t="shared" si="70"/>
        <v>1.4635485410690308</v>
      </c>
      <c r="J348" s="28">
        <f t="shared" si="71"/>
        <v>2.1419743320652884</v>
      </c>
      <c r="K348" s="30">
        <f t="shared" si="62"/>
        <v>1.4635485410690308</v>
      </c>
      <c r="L348" s="5"/>
      <c r="M348" s="30">
        <f t="shared" si="63"/>
        <v>-1.4635485410690308</v>
      </c>
      <c r="N348" s="42">
        <f t="shared" si="64"/>
        <v>-1.4635485410690308</v>
      </c>
      <c r="O348" s="43">
        <f t="shared" si="65"/>
        <v>2.1419743320652884</v>
      </c>
      <c r="P348" s="43">
        <f t="shared" si="66"/>
        <v>-0.34013437099999999</v>
      </c>
      <c r="Q348" s="43">
        <f t="shared" si="67"/>
        <v>-0.34013437099999999</v>
      </c>
      <c r="R348" s="43">
        <f t="shared" si="68"/>
        <v>0.11569139033556564</v>
      </c>
    </row>
    <row r="349" spans="1:18" ht="15.75" customHeight="1" x14ac:dyDescent="0.3">
      <c r="A349" s="47">
        <v>38331</v>
      </c>
      <c r="B349" s="48">
        <v>0</v>
      </c>
      <c r="C349" s="50">
        <v>0.23472830653190613</v>
      </c>
      <c r="D349" s="10">
        <f t="shared" si="60"/>
        <v>-0.38980777739764078</v>
      </c>
      <c r="E349" s="10">
        <f t="shared" si="61"/>
        <v>-0.25134769044023941</v>
      </c>
      <c r="F349" s="10">
        <f t="shared" si="72"/>
        <v>0.15195010331968867</v>
      </c>
      <c r="G349" s="10">
        <f t="shared" si="72"/>
        <v>6.3175661489642418E-2</v>
      </c>
      <c r="H349" s="11">
        <f t="shared" si="69"/>
        <v>9.7977284564539968E-2</v>
      </c>
      <c r="I349" s="12">
        <f t="shared" si="70"/>
        <v>0.23472830653190613</v>
      </c>
      <c r="J349" s="28">
        <f t="shared" si="71"/>
        <v>5.5097377887336485E-2</v>
      </c>
      <c r="K349" s="30">
        <f t="shared" si="62"/>
        <v>0.23472830653190613</v>
      </c>
      <c r="L349" s="5"/>
      <c r="M349" s="30">
        <f t="shared" si="63"/>
        <v>-0.23472830653190613</v>
      </c>
      <c r="N349" s="42">
        <f t="shared" si="64"/>
        <v>-0.23472830653190613</v>
      </c>
      <c r="O349" s="43">
        <f t="shared" si="65"/>
        <v>5.5097377887336485E-2</v>
      </c>
      <c r="P349" s="43">
        <f t="shared" si="66"/>
        <v>-0.34013437099999999</v>
      </c>
      <c r="Q349" s="43">
        <f t="shared" si="67"/>
        <v>-0.34013437099999999</v>
      </c>
      <c r="R349" s="43">
        <f t="shared" si="68"/>
        <v>0.11569139033556564</v>
      </c>
    </row>
    <row r="350" spans="1:18" ht="15.75" customHeight="1" x14ac:dyDescent="0.3">
      <c r="A350" s="47">
        <v>38332</v>
      </c>
      <c r="B350" s="48">
        <v>0</v>
      </c>
      <c r="C350" s="50">
        <v>1.1847906112670898</v>
      </c>
      <c r="D350" s="10">
        <f t="shared" si="60"/>
        <v>-0.38980777739764078</v>
      </c>
      <c r="E350" s="10">
        <f t="shared" si="61"/>
        <v>0.6987146142949443</v>
      </c>
      <c r="F350" s="10">
        <f t="shared" si="72"/>
        <v>0.15195010331968867</v>
      </c>
      <c r="G350" s="10">
        <f t="shared" si="72"/>
        <v>0.4882021122293328</v>
      </c>
      <c r="H350" s="11">
        <f t="shared" si="69"/>
        <v>-0.27236439083356206</v>
      </c>
      <c r="I350" s="12">
        <f t="shared" si="70"/>
        <v>1.1847906112670898</v>
      </c>
      <c r="J350" s="28">
        <f t="shared" si="71"/>
        <v>1.4037287925466444</v>
      </c>
      <c r="K350" s="30">
        <f t="shared" si="62"/>
        <v>1.1847906112670898</v>
      </c>
      <c r="L350" s="5"/>
      <c r="M350" s="30">
        <f t="shared" si="63"/>
        <v>-1.1847906112670898</v>
      </c>
      <c r="N350" s="42">
        <f t="shared" si="64"/>
        <v>-1.1847906112670898</v>
      </c>
      <c r="O350" s="43">
        <f t="shared" si="65"/>
        <v>1.4037287925466444</v>
      </c>
      <c r="P350" s="43">
        <f t="shared" si="66"/>
        <v>-0.34013437099999999</v>
      </c>
      <c r="Q350" s="43">
        <f t="shared" si="67"/>
        <v>-0.34013437099999999</v>
      </c>
      <c r="R350" s="43">
        <f t="shared" si="68"/>
        <v>0.11569139033556564</v>
      </c>
    </row>
    <row r="351" spans="1:18" ht="15.75" customHeight="1" x14ac:dyDescent="0.3">
      <c r="A351" s="47">
        <v>38333</v>
      </c>
      <c r="B351" s="48">
        <v>0</v>
      </c>
      <c r="C351" s="50">
        <v>5.9456378221511841E-4</v>
      </c>
      <c r="D351" s="10">
        <f t="shared" si="60"/>
        <v>-0.38980777739764078</v>
      </c>
      <c r="E351" s="10">
        <f t="shared" si="61"/>
        <v>-0.48548143318993042</v>
      </c>
      <c r="F351" s="10">
        <f t="shared" si="72"/>
        <v>0.15195010331968867</v>
      </c>
      <c r="G351" s="10">
        <f t="shared" si="72"/>
        <v>0.23569222197214887</v>
      </c>
      <c r="H351" s="11">
        <f t="shared" si="69"/>
        <v>0.18924443843958802</v>
      </c>
      <c r="I351" s="12">
        <f t="shared" si="70"/>
        <v>5.9456378221511841E-4</v>
      </c>
      <c r="J351" s="28">
        <f t="shared" si="71"/>
        <v>3.5350609112194675E-7</v>
      </c>
      <c r="K351" s="30">
        <f t="shared" si="62"/>
        <v>5.9456378221511841E-4</v>
      </c>
      <c r="L351" s="5"/>
      <c r="M351" s="30">
        <f t="shared" si="63"/>
        <v>-5.9456378221511841E-4</v>
      </c>
      <c r="N351" s="42">
        <f t="shared" si="64"/>
        <v>-5.9456378221511841E-4</v>
      </c>
      <c r="O351" s="43">
        <f t="shared" si="65"/>
        <v>3.5350609112194675E-7</v>
      </c>
      <c r="P351" s="43">
        <f t="shared" si="66"/>
        <v>-0.34013437099999999</v>
      </c>
      <c r="Q351" s="43">
        <f t="shared" si="67"/>
        <v>-0.34013437099999999</v>
      </c>
      <c r="R351" s="43">
        <f t="shared" si="68"/>
        <v>0.11569139033556564</v>
      </c>
    </row>
    <row r="352" spans="1:18" ht="15.75" customHeight="1" x14ac:dyDescent="0.3">
      <c r="A352" s="47">
        <v>38334</v>
      </c>
      <c r="B352" s="48">
        <v>0</v>
      </c>
      <c r="C352" s="50">
        <v>5.4435804486274719E-7</v>
      </c>
      <c r="D352" s="10">
        <f t="shared" si="60"/>
        <v>-0.38980777739764078</v>
      </c>
      <c r="E352" s="10">
        <f t="shared" si="61"/>
        <v>-0.48607545261410068</v>
      </c>
      <c r="F352" s="10">
        <f t="shared" si="72"/>
        <v>0.15195010331968867</v>
      </c>
      <c r="G352" s="10">
        <f t="shared" si="72"/>
        <v>0.23626934563400284</v>
      </c>
      <c r="H352" s="11">
        <f t="shared" si="69"/>
        <v>0.18947599183105485</v>
      </c>
      <c r="I352" s="12">
        <f t="shared" si="70"/>
        <v>5.4435804486274719E-7</v>
      </c>
      <c r="J352" s="28">
        <f t="shared" si="71"/>
        <v>2.9632568100679268E-13</v>
      </c>
      <c r="K352" s="30">
        <f t="shared" si="62"/>
        <v>5.4435804486274719E-7</v>
      </c>
      <c r="L352" s="5"/>
      <c r="M352" s="30">
        <f t="shared" si="63"/>
        <v>-5.4435804486274719E-7</v>
      </c>
      <c r="N352" s="42">
        <f t="shared" si="64"/>
        <v>-5.4435804486274719E-7</v>
      </c>
      <c r="O352" s="43">
        <f t="shared" si="65"/>
        <v>2.9632568100679268E-13</v>
      </c>
      <c r="P352" s="43">
        <f t="shared" si="66"/>
        <v>-0.34013437099999999</v>
      </c>
      <c r="Q352" s="43">
        <f t="shared" si="67"/>
        <v>-0.34013437099999999</v>
      </c>
      <c r="R352" s="43">
        <f t="shared" si="68"/>
        <v>0.11569139033556564</v>
      </c>
    </row>
    <row r="353" spans="1:18" ht="15.75" customHeight="1" x14ac:dyDescent="0.3">
      <c r="A353" s="47">
        <v>38335</v>
      </c>
      <c r="B353" s="48">
        <v>2.2445321083068848</v>
      </c>
      <c r="C353" s="50">
        <v>4.6545974910259247E-2</v>
      </c>
      <c r="D353" s="10">
        <f t="shared" si="60"/>
        <v>1.854724330909244</v>
      </c>
      <c r="E353" s="10">
        <f t="shared" si="61"/>
        <v>-0.43953002206188629</v>
      </c>
      <c r="F353" s="10">
        <f t="shared" si="72"/>
        <v>3.4400023436667428</v>
      </c>
      <c r="G353" s="10">
        <f t="shared" si="72"/>
        <v>0.19318664029372226</v>
      </c>
      <c r="H353" s="11">
        <f t="shared" si="69"/>
        <v>-0.81520702608325735</v>
      </c>
      <c r="I353" s="12">
        <f t="shared" si="70"/>
        <v>2.1979861333966255</v>
      </c>
      <c r="J353" s="28">
        <f t="shared" si="71"/>
        <v>4.8311430426038484</v>
      </c>
      <c r="K353" s="30">
        <f t="shared" si="62"/>
        <v>-2.1979861333966255</v>
      </c>
      <c r="L353" s="5"/>
      <c r="M353" s="30">
        <f t="shared" si="63"/>
        <v>2.1979861333966255</v>
      </c>
      <c r="N353" s="42">
        <f t="shared" si="64"/>
        <v>2.1979861333966255</v>
      </c>
      <c r="O353" s="43">
        <f t="shared" si="65"/>
        <v>4.8311430426038484</v>
      </c>
      <c r="P353" s="43">
        <f t="shared" si="66"/>
        <v>1.9043977373068848</v>
      </c>
      <c r="Q353" s="43">
        <f t="shared" si="67"/>
        <v>1.9043977373068848</v>
      </c>
      <c r="R353" s="43">
        <f t="shared" si="68"/>
        <v>3.6267307418595824</v>
      </c>
    </row>
    <row r="354" spans="1:18" ht="15.75" customHeight="1" x14ac:dyDescent="0.3">
      <c r="A354" s="47">
        <v>38336</v>
      </c>
      <c r="B354" s="48">
        <v>2.2093386650085449</v>
      </c>
      <c r="C354" s="50">
        <v>0</v>
      </c>
      <c r="D354" s="10">
        <f t="shared" si="60"/>
        <v>1.8195308876109042</v>
      </c>
      <c r="E354" s="10">
        <f t="shared" si="61"/>
        <v>-0.48607599697214554</v>
      </c>
      <c r="F354" s="10">
        <f t="shared" si="72"/>
        <v>3.3106926509701249</v>
      </c>
      <c r="G354" s="10">
        <f t="shared" si="72"/>
        <v>0.23626987483246525</v>
      </c>
      <c r="H354" s="11">
        <f t="shared" si="69"/>
        <v>-0.88443029021708319</v>
      </c>
      <c r="I354" s="12">
        <f t="shared" si="70"/>
        <v>2.2093386650085449</v>
      </c>
      <c r="J354" s="28">
        <f t="shared" si="71"/>
        <v>4.8811773367017395</v>
      </c>
      <c r="K354" s="30">
        <f t="shared" si="62"/>
        <v>-2.2093386650085449</v>
      </c>
      <c r="L354" s="5"/>
      <c r="M354" s="30">
        <f t="shared" si="63"/>
        <v>2.2093386650085449</v>
      </c>
      <c r="N354" s="42">
        <f t="shared" si="64"/>
        <v>2.2093386650085449</v>
      </c>
      <c r="O354" s="43">
        <f t="shared" si="65"/>
        <v>4.8811773367017395</v>
      </c>
      <c r="P354" s="43">
        <f t="shared" si="66"/>
        <v>1.8692042940085449</v>
      </c>
      <c r="Q354" s="43">
        <f t="shared" si="67"/>
        <v>1.8692042940085449</v>
      </c>
      <c r="R354" s="43">
        <f t="shared" si="68"/>
        <v>3.493924692739983</v>
      </c>
    </row>
    <row r="355" spans="1:18" ht="15.75" customHeight="1" x14ac:dyDescent="0.3">
      <c r="A355" s="47">
        <v>38337</v>
      </c>
      <c r="B355" s="48">
        <v>0.17496626079082489</v>
      </c>
      <c r="C355" s="50">
        <v>2.2991671562194824</v>
      </c>
      <c r="D355" s="10">
        <f t="shared" si="60"/>
        <v>-0.21484151660681589</v>
      </c>
      <c r="E355" s="10">
        <f t="shared" si="61"/>
        <v>1.8130911592473369</v>
      </c>
      <c r="F355" s="10">
        <f t="shared" si="72"/>
        <v>4.6156877257916742E-2</v>
      </c>
      <c r="G355" s="10">
        <f t="shared" si="72"/>
        <v>3.2872995517408521</v>
      </c>
      <c r="H355" s="11">
        <f t="shared" si="69"/>
        <v>-0.38952725439910779</v>
      </c>
      <c r="I355" s="12">
        <f t="shared" si="70"/>
        <v>2.1242008954286575</v>
      </c>
      <c r="J355" s="28">
        <f t="shared" si="71"/>
        <v>4.5122294441399102</v>
      </c>
      <c r="K355" s="30">
        <f t="shared" si="62"/>
        <v>2.1242008954286575</v>
      </c>
      <c r="L355" s="5"/>
      <c r="M355" s="30">
        <f t="shared" si="63"/>
        <v>-2.1242008954286575</v>
      </c>
      <c r="N355" s="42">
        <f t="shared" si="64"/>
        <v>-2.1242008954286575</v>
      </c>
      <c r="O355" s="43">
        <f t="shared" si="65"/>
        <v>4.5122294441399102</v>
      </c>
      <c r="P355" s="43">
        <f t="shared" si="66"/>
        <v>-0.1651681102091751</v>
      </c>
      <c r="Q355" s="43">
        <f t="shared" si="67"/>
        <v>-0.1651681102091751</v>
      </c>
      <c r="R355" s="43">
        <f t="shared" si="68"/>
        <v>2.7280504630070212E-2</v>
      </c>
    </row>
    <row r="356" spans="1:18" ht="15.75" customHeight="1" x14ac:dyDescent="0.3">
      <c r="A356" s="47">
        <v>38338</v>
      </c>
      <c r="B356" s="48">
        <v>0</v>
      </c>
      <c r="C356" s="50">
        <v>0.14281609654426575</v>
      </c>
      <c r="D356" s="10">
        <f t="shared" si="60"/>
        <v>-0.38980777739764078</v>
      </c>
      <c r="E356" s="10">
        <f t="shared" si="61"/>
        <v>-0.34325990042787979</v>
      </c>
      <c r="F356" s="10">
        <f t="shared" si="72"/>
        <v>0.15195010331968867</v>
      </c>
      <c r="G356" s="10">
        <f t="shared" si="72"/>
        <v>0.11782735924175795</v>
      </c>
      <c r="H356" s="11">
        <f t="shared" si="69"/>
        <v>0.13380537885552729</v>
      </c>
      <c r="I356" s="12">
        <f t="shared" si="70"/>
        <v>0.14281609654426575</v>
      </c>
      <c r="J356" s="28">
        <f t="shared" si="71"/>
        <v>2.0396437432141035E-2</v>
      </c>
      <c r="K356" s="30">
        <f t="shared" si="62"/>
        <v>0.14281609654426575</v>
      </c>
      <c r="L356" s="5"/>
      <c r="M356" s="30">
        <f t="shared" si="63"/>
        <v>-0.14281609654426575</v>
      </c>
      <c r="N356" s="42">
        <f t="shared" si="64"/>
        <v>-0.14281609654426575</v>
      </c>
      <c r="O356" s="43">
        <f t="shared" si="65"/>
        <v>2.0396437432141035E-2</v>
      </c>
      <c r="P356" s="43">
        <f t="shared" si="66"/>
        <v>-0.34013437099999999</v>
      </c>
      <c r="Q356" s="43">
        <f t="shared" si="67"/>
        <v>-0.34013437099999999</v>
      </c>
      <c r="R356" s="43">
        <f t="shared" si="68"/>
        <v>0.11569139033556564</v>
      </c>
    </row>
    <row r="357" spans="1:18" ht="15.75" customHeight="1" x14ac:dyDescent="0.3">
      <c r="A357" s="47">
        <v>38339</v>
      </c>
      <c r="B357" s="48">
        <v>0.28072753548622131</v>
      </c>
      <c r="C357" s="50">
        <v>1.0277764797210693</v>
      </c>
      <c r="D357" s="10">
        <f t="shared" si="60"/>
        <v>-0.10908024191141946</v>
      </c>
      <c r="E357" s="10">
        <f t="shared" si="61"/>
        <v>0.5417004827489238</v>
      </c>
      <c r="F357" s="10">
        <f t="shared" si="72"/>
        <v>1.189849917545379E-2</v>
      </c>
      <c r="G357" s="10">
        <f t="shared" si="72"/>
        <v>0.29343941301041709</v>
      </c>
      <c r="H357" s="11">
        <f t="shared" si="69"/>
        <v>-5.9088819701785311E-2</v>
      </c>
      <c r="I357" s="12">
        <f t="shared" si="70"/>
        <v>0.74704894423484802</v>
      </c>
      <c r="J357" s="28">
        <f t="shared" si="71"/>
        <v>0.55808212508240107</v>
      </c>
      <c r="K357" s="30">
        <f t="shared" si="62"/>
        <v>0.74704894423484802</v>
      </c>
      <c r="L357" s="5"/>
      <c r="M357" s="30">
        <f t="shared" si="63"/>
        <v>-0.74704894423484802</v>
      </c>
      <c r="N357" s="42">
        <f t="shared" si="64"/>
        <v>-0.74704894423484802</v>
      </c>
      <c r="O357" s="43">
        <f t="shared" si="65"/>
        <v>0.55808212508240107</v>
      </c>
      <c r="P357" s="43">
        <f t="shared" si="66"/>
        <v>-5.9406835513778677E-2</v>
      </c>
      <c r="Q357" s="43">
        <f>B357-0.340134371</f>
        <v>-5.9406835513778677E-2</v>
      </c>
      <c r="R357" s="43">
        <f t="shared" si="68"/>
        <v>3.5291721057611556E-3</v>
      </c>
    </row>
    <row r="358" spans="1:18" ht="15.75" customHeight="1" x14ac:dyDescent="0.3">
      <c r="A358" s="47">
        <v>38340</v>
      </c>
      <c r="B358" s="48">
        <v>0</v>
      </c>
      <c r="C358" s="50">
        <v>2.2258947137743235E-3</v>
      </c>
      <c r="D358" s="10">
        <f t="shared" si="60"/>
        <v>-0.38980777739764078</v>
      </c>
      <c r="E358" s="10">
        <f t="shared" si="61"/>
        <v>-0.48385010225837122</v>
      </c>
      <c r="F358" s="10">
        <f t="shared" si="72"/>
        <v>0.15195010331968867</v>
      </c>
      <c r="G358" s="10">
        <f t="shared" si="72"/>
        <v>0.23411092145543627</v>
      </c>
      <c r="H358" s="11">
        <f t="shared" si="69"/>
        <v>0.18860853295495689</v>
      </c>
      <c r="I358" s="12">
        <f t="shared" si="70"/>
        <v>2.2258947137743235E-3</v>
      </c>
      <c r="J358" s="28">
        <f t="shared" si="71"/>
        <v>4.9546072768084774E-6</v>
      </c>
      <c r="K358" s="30">
        <f t="shared" si="62"/>
        <v>2.2258947137743235E-3</v>
      </c>
      <c r="L358" s="5"/>
      <c r="M358" s="30">
        <f t="shared" si="63"/>
        <v>-2.2258947137743235E-3</v>
      </c>
      <c r="N358" s="42">
        <f t="shared" si="64"/>
        <v>-2.2258947137743235E-3</v>
      </c>
      <c r="O358" s="43">
        <f t="shared" si="65"/>
        <v>4.9546072768084774E-6</v>
      </c>
      <c r="P358" s="43">
        <f t="shared" si="66"/>
        <v>-0.34013437099999999</v>
      </c>
      <c r="Q358" s="43">
        <f t="shared" si="67"/>
        <v>-0.34013437099999999</v>
      </c>
      <c r="R358" s="43">
        <f t="shared" si="68"/>
        <v>0.11569139033556564</v>
      </c>
    </row>
    <row r="359" spans="1:18" ht="15.75" customHeight="1" x14ac:dyDescent="0.3">
      <c r="A359" s="47">
        <v>38341</v>
      </c>
      <c r="B359" s="48">
        <v>0.37087184190750122</v>
      </c>
      <c r="C359" s="50">
        <v>3.0899359844624996E-3</v>
      </c>
      <c r="D359" s="10">
        <f t="shared" si="60"/>
        <v>-1.8935935490139555E-2</v>
      </c>
      <c r="E359" s="10">
        <f t="shared" si="61"/>
        <v>-0.48298606098768304</v>
      </c>
      <c r="F359" s="10">
        <f t="shared" si="72"/>
        <v>3.5856965288672677E-4</v>
      </c>
      <c r="G359" s="10">
        <f t="shared" si="72"/>
        <v>0.23327553510839788</v>
      </c>
      <c r="H359" s="11">
        <f t="shared" si="69"/>
        <v>9.145792893499375E-3</v>
      </c>
      <c r="I359" s="12">
        <f t="shared" si="70"/>
        <v>0.36778190592303872</v>
      </c>
      <c r="J359" s="28">
        <f t="shared" si="71"/>
        <v>0.1352635303243829</v>
      </c>
      <c r="K359" s="30">
        <f t="shared" si="62"/>
        <v>-0.36778190592303872</v>
      </c>
      <c r="L359" s="5"/>
      <c r="M359" s="30">
        <f t="shared" si="63"/>
        <v>0.36778190592303872</v>
      </c>
      <c r="N359" s="42">
        <f t="shared" si="64"/>
        <v>0.36778190592303872</v>
      </c>
      <c r="O359" s="43">
        <f t="shared" si="65"/>
        <v>0.1352635303243829</v>
      </c>
      <c r="P359" s="43">
        <f t="shared" si="66"/>
        <v>3.073747090750123E-2</v>
      </c>
      <c r="Q359" s="43">
        <f t="shared" si="67"/>
        <v>3.073747090750123E-2</v>
      </c>
      <c r="R359" s="43">
        <f t="shared" si="68"/>
        <v>9.4479211778948451E-4</v>
      </c>
    </row>
    <row r="360" spans="1:18" ht="15.75" customHeight="1" x14ac:dyDescent="0.3">
      <c r="A360" s="47">
        <v>38342</v>
      </c>
      <c r="B360" s="48">
        <v>0</v>
      </c>
      <c r="C360" s="50">
        <v>0</v>
      </c>
      <c r="D360" s="10">
        <f t="shared" si="60"/>
        <v>-0.38980777739764078</v>
      </c>
      <c r="E360" s="10">
        <f t="shared" si="61"/>
        <v>-0.48607599697214554</v>
      </c>
      <c r="F360" s="10">
        <f t="shared" si="72"/>
        <v>0.15195010331968867</v>
      </c>
      <c r="G360" s="10">
        <f t="shared" si="72"/>
        <v>0.23626987483246525</v>
      </c>
      <c r="H360" s="11">
        <f t="shared" si="69"/>
        <v>0.18947620402605442</v>
      </c>
      <c r="I360" s="12">
        <f t="shared" si="70"/>
        <v>0</v>
      </c>
      <c r="J360" s="28">
        <f t="shared" si="71"/>
        <v>0</v>
      </c>
      <c r="K360" s="30">
        <f t="shared" si="62"/>
        <v>0</v>
      </c>
      <c r="L360" s="5"/>
      <c r="M360" s="30">
        <f t="shared" si="63"/>
        <v>0</v>
      </c>
      <c r="N360" s="42">
        <f t="shared" si="64"/>
        <v>0</v>
      </c>
      <c r="O360" s="43">
        <f t="shared" si="65"/>
        <v>0</v>
      </c>
      <c r="P360" s="43">
        <f t="shared" si="66"/>
        <v>-0.34013437099999999</v>
      </c>
      <c r="Q360" s="43">
        <f t="shared" si="67"/>
        <v>-0.34013437099999999</v>
      </c>
      <c r="R360" s="43">
        <f t="shared" si="68"/>
        <v>0.11569139033556564</v>
      </c>
    </row>
    <row r="361" spans="1:18" ht="15.75" customHeight="1" x14ac:dyDescent="0.3">
      <c r="A361" s="47">
        <v>38343</v>
      </c>
      <c r="B361" s="48">
        <v>0</v>
      </c>
      <c r="C361" s="50">
        <v>0</v>
      </c>
      <c r="D361" s="10">
        <f t="shared" si="60"/>
        <v>-0.38980777739764078</v>
      </c>
      <c r="E361" s="10">
        <f t="shared" si="61"/>
        <v>-0.48607599697214554</v>
      </c>
      <c r="F361" s="10">
        <f t="shared" si="72"/>
        <v>0.15195010331968867</v>
      </c>
      <c r="G361" s="10">
        <f t="shared" si="72"/>
        <v>0.23626987483246525</v>
      </c>
      <c r="H361" s="11">
        <f t="shared" si="69"/>
        <v>0.18947620402605442</v>
      </c>
      <c r="I361" s="12">
        <f t="shared" si="70"/>
        <v>0</v>
      </c>
      <c r="J361" s="28">
        <f t="shared" si="71"/>
        <v>0</v>
      </c>
      <c r="K361" s="30">
        <f t="shared" si="62"/>
        <v>0</v>
      </c>
      <c r="L361" s="5"/>
      <c r="M361" s="30">
        <f t="shared" si="63"/>
        <v>0</v>
      </c>
      <c r="N361" s="42">
        <f t="shared" si="64"/>
        <v>0</v>
      </c>
      <c r="O361" s="43">
        <f t="shared" si="65"/>
        <v>0</v>
      </c>
      <c r="P361" s="43">
        <f t="shared" si="66"/>
        <v>-0.34013437099999999</v>
      </c>
      <c r="Q361" s="43">
        <f t="shared" si="67"/>
        <v>-0.34013437099999999</v>
      </c>
      <c r="R361" s="43">
        <f t="shared" si="68"/>
        <v>0.11569139033556564</v>
      </c>
    </row>
    <row r="362" spans="1:18" ht="15.75" customHeight="1" x14ac:dyDescent="0.3">
      <c r="A362" s="47">
        <v>38344</v>
      </c>
      <c r="B362" s="48">
        <v>7.6718888282775879</v>
      </c>
      <c r="C362" s="50">
        <v>3.9644155502319336</v>
      </c>
      <c r="D362" s="10">
        <f t="shared" si="60"/>
        <v>7.2820810508799472</v>
      </c>
      <c r="E362" s="10">
        <f t="shared" si="61"/>
        <v>3.4783395532597883</v>
      </c>
      <c r="F362" s="10">
        <f t="shared" si="72"/>
        <v>53.028704431584792</v>
      </c>
      <c r="G362" s="10">
        <f t="shared" si="72"/>
        <v>12.098846047771504</v>
      </c>
      <c r="H362" s="11">
        <f t="shared" si="69"/>
        <v>25.329550549319325</v>
      </c>
      <c r="I362" s="12">
        <f t="shared" si="70"/>
        <v>3.7074732780456543</v>
      </c>
      <c r="J362" s="28">
        <f t="shared" si="71"/>
        <v>13.745358107422589</v>
      </c>
      <c r="K362" s="30">
        <f t="shared" si="62"/>
        <v>-3.7074732780456543</v>
      </c>
      <c r="L362" s="5"/>
      <c r="M362" s="30">
        <f t="shared" si="63"/>
        <v>3.7074732780456543</v>
      </c>
      <c r="N362" s="42">
        <f t="shared" si="64"/>
        <v>3.7074732780456543</v>
      </c>
      <c r="O362" s="43">
        <f t="shared" si="65"/>
        <v>13.745358107422589</v>
      </c>
      <c r="P362" s="43">
        <f t="shared" si="66"/>
        <v>7.3317544572775883</v>
      </c>
      <c r="Q362" s="43">
        <f t="shared" si="67"/>
        <v>7.3317544572775883</v>
      </c>
      <c r="R362" s="43">
        <f t="shared" si="68"/>
        <v>53.754623421809782</v>
      </c>
    </row>
    <row r="363" spans="1:18" ht="15.75" customHeight="1" x14ac:dyDescent="0.3">
      <c r="A363" s="47">
        <v>38345</v>
      </c>
      <c r="B363" s="48">
        <v>10.013022422790527</v>
      </c>
      <c r="C363" s="50">
        <v>20.860191345214844</v>
      </c>
      <c r="D363" s="10">
        <f t="shared" si="60"/>
        <v>9.6232146453928866</v>
      </c>
      <c r="E363" s="10">
        <f t="shared" si="61"/>
        <v>20.374115348242697</v>
      </c>
      <c r="F363" s="10">
        <f t="shared" si="72"/>
        <v>92.606260111304138</v>
      </c>
      <c r="G363" s="10">
        <f t="shared" si="72"/>
        <v>415.10457622349861</v>
      </c>
      <c r="H363" s="11">
        <f t="shared" si="69"/>
        <v>196.0644852061331</v>
      </c>
      <c r="I363" s="12">
        <f t="shared" si="70"/>
        <v>10.847168922424316</v>
      </c>
      <c r="J363" s="28">
        <f t="shared" si="71"/>
        <v>117.66107363160791</v>
      </c>
      <c r="K363" s="30">
        <f t="shared" si="62"/>
        <v>10.847168922424316</v>
      </c>
      <c r="L363" s="5"/>
      <c r="M363" s="30">
        <f t="shared" si="63"/>
        <v>-10.847168922424316</v>
      </c>
      <c r="N363" s="42">
        <f t="shared" si="64"/>
        <v>-10.847168922424316</v>
      </c>
      <c r="O363" s="43">
        <f t="shared" si="65"/>
        <v>117.66107363160791</v>
      </c>
      <c r="P363" s="43">
        <f t="shared" si="66"/>
        <v>9.6728880517905278</v>
      </c>
      <c r="Q363" s="43">
        <f>B363-0.340134371</f>
        <v>9.6728880517905278</v>
      </c>
      <c r="R363" s="43">
        <f t="shared" si="68"/>
        <v>93.564763262471956</v>
      </c>
    </row>
    <row r="364" spans="1:18" ht="15.75" customHeight="1" x14ac:dyDescent="0.3">
      <c r="A364" s="47">
        <v>38346</v>
      </c>
      <c r="B364" s="48">
        <v>0.660300612449646</v>
      </c>
      <c r="C364" s="50">
        <v>3.9041042327880859E-6</v>
      </c>
      <c r="D364" s="10">
        <f t="shared" si="60"/>
        <v>0.27049283505200522</v>
      </c>
      <c r="E364" s="10">
        <f t="shared" si="61"/>
        <v>-0.48607209286791275</v>
      </c>
      <c r="F364" s="10">
        <f t="shared" si="72"/>
        <v>7.3166373814471303E-2</v>
      </c>
      <c r="G364" s="10">
        <f t="shared" si="72"/>
        <v>0.23626607946499281</v>
      </c>
      <c r="H364" s="11">
        <f t="shared" si="69"/>
        <v>-0.1314790184395033</v>
      </c>
      <c r="I364" s="12">
        <f t="shared" si="70"/>
        <v>0.66029670834541321</v>
      </c>
      <c r="J364" s="28">
        <f t="shared" si="71"/>
        <v>0.43599174305178767</v>
      </c>
      <c r="K364" s="30">
        <f t="shared" si="62"/>
        <v>-0.66029670834541321</v>
      </c>
      <c r="L364" s="5"/>
      <c r="M364" s="30">
        <f t="shared" si="63"/>
        <v>0.66029670834541321</v>
      </c>
      <c r="N364" s="42">
        <f t="shared" si="64"/>
        <v>0.66029670834541321</v>
      </c>
      <c r="O364" s="43">
        <f t="shared" si="65"/>
        <v>0.43599174305178767</v>
      </c>
      <c r="P364" s="43">
        <f t="shared" si="66"/>
        <v>0.32016624144964601</v>
      </c>
      <c r="Q364" s="43">
        <f t="shared" si="67"/>
        <v>0.32016624144964601</v>
      </c>
      <c r="R364" s="43">
        <f t="shared" si="68"/>
        <v>0.10250642216399303</v>
      </c>
    </row>
    <row r="365" spans="1:18" ht="15.75" customHeight="1" x14ac:dyDescent="0.3">
      <c r="A365" s="47">
        <v>38347</v>
      </c>
      <c r="B365" s="48">
        <v>0</v>
      </c>
      <c r="C365" s="50">
        <v>0</v>
      </c>
      <c r="D365" s="10">
        <f t="shared" si="60"/>
        <v>-0.38980777739764078</v>
      </c>
      <c r="E365" s="10">
        <f t="shared" si="61"/>
        <v>-0.48607599697214554</v>
      </c>
      <c r="F365" s="10">
        <f t="shared" si="72"/>
        <v>0.15195010331968867</v>
      </c>
      <c r="G365" s="10">
        <f t="shared" si="72"/>
        <v>0.23626987483246525</v>
      </c>
      <c r="H365" s="11">
        <f t="shared" si="69"/>
        <v>0.18947620402605442</v>
      </c>
      <c r="I365" s="12">
        <f t="shared" si="70"/>
        <v>0</v>
      </c>
      <c r="J365" s="28">
        <f t="shared" si="71"/>
        <v>0</v>
      </c>
      <c r="K365" s="30">
        <f t="shared" si="62"/>
        <v>0</v>
      </c>
      <c r="L365" s="5"/>
      <c r="M365" s="30">
        <f t="shared" si="63"/>
        <v>0</v>
      </c>
      <c r="N365" s="42">
        <f t="shared" si="64"/>
        <v>0</v>
      </c>
      <c r="O365" s="43">
        <f t="shared" si="65"/>
        <v>0</v>
      </c>
      <c r="P365" s="43">
        <f t="shared" si="66"/>
        <v>-0.34013437099999999</v>
      </c>
      <c r="Q365" s="43">
        <f t="shared" si="67"/>
        <v>-0.34013437099999999</v>
      </c>
      <c r="R365" s="43">
        <f t="shared" si="68"/>
        <v>0.11569139033556564</v>
      </c>
    </row>
    <row r="366" spans="1:18" ht="15.75" customHeight="1" x14ac:dyDescent="0.3">
      <c r="A366" s="47">
        <v>38348</v>
      </c>
      <c r="B366" s="48">
        <v>0</v>
      </c>
      <c r="C366" s="50">
        <v>0</v>
      </c>
      <c r="D366" s="10">
        <f t="shared" si="60"/>
        <v>-0.38980777739764078</v>
      </c>
      <c r="E366" s="10">
        <f t="shared" si="61"/>
        <v>-0.48607599697214554</v>
      </c>
      <c r="F366" s="10">
        <f t="shared" si="72"/>
        <v>0.15195010331968867</v>
      </c>
      <c r="G366" s="10">
        <f t="shared" si="72"/>
        <v>0.23626987483246525</v>
      </c>
      <c r="H366" s="11">
        <f t="shared" si="69"/>
        <v>0.18947620402605442</v>
      </c>
      <c r="I366" s="12">
        <f t="shared" si="70"/>
        <v>0</v>
      </c>
      <c r="J366" s="28">
        <f t="shared" si="71"/>
        <v>0</v>
      </c>
      <c r="K366" s="30">
        <f t="shared" si="62"/>
        <v>0</v>
      </c>
      <c r="L366" s="5"/>
      <c r="M366" s="30">
        <f t="shared" si="63"/>
        <v>0</v>
      </c>
      <c r="N366" s="42">
        <f t="shared" si="64"/>
        <v>0</v>
      </c>
      <c r="O366" s="43">
        <f t="shared" si="65"/>
        <v>0</v>
      </c>
      <c r="P366" s="43">
        <f t="shared" si="66"/>
        <v>-0.34013437099999999</v>
      </c>
      <c r="Q366" s="43">
        <f t="shared" si="67"/>
        <v>-0.34013437099999999</v>
      </c>
      <c r="R366" s="43">
        <f t="shared" si="68"/>
        <v>0.11569139033556564</v>
      </c>
    </row>
    <row r="367" spans="1:18" ht="15.75" customHeight="1" x14ac:dyDescent="0.3">
      <c r="A367" s="47">
        <v>38349</v>
      </c>
      <c r="B367" s="48">
        <v>0</v>
      </c>
      <c r="C367" s="50">
        <v>0.10162153095006943</v>
      </c>
      <c r="D367" s="10">
        <f t="shared" si="60"/>
        <v>-0.38980777739764078</v>
      </c>
      <c r="E367" s="10">
        <f t="shared" si="61"/>
        <v>-0.38445446602207611</v>
      </c>
      <c r="F367" s="10">
        <f t="shared" si="72"/>
        <v>0.15195010331968867</v>
      </c>
      <c r="G367" s="10">
        <f t="shared" si="72"/>
        <v>0.14780523644431967</v>
      </c>
      <c r="H367" s="11">
        <f t="shared" si="69"/>
        <v>0.14986334091066231</v>
      </c>
      <c r="I367" s="12">
        <f t="shared" si="70"/>
        <v>0.10162153095006943</v>
      </c>
      <c r="J367" s="28">
        <f t="shared" si="71"/>
        <v>1.0326935552635919E-2</v>
      </c>
      <c r="K367" s="30">
        <f t="shared" si="62"/>
        <v>0.10162153095006943</v>
      </c>
      <c r="L367" s="5"/>
      <c r="M367" s="30">
        <f t="shared" si="63"/>
        <v>-0.10162153095006943</v>
      </c>
      <c r="N367" s="42">
        <f t="shared" si="64"/>
        <v>-0.10162153095006943</v>
      </c>
      <c r="O367" s="43">
        <f t="shared" si="65"/>
        <v>1.0326935552635919E-2</v>
      </c>
      <c r="P367" s="43">
        <f t="shared" si="66"/>
        <v>-0.34013437099999999</v>
      </c>
      <c r="Q367" s="43">
        <f t="shared" si="67"/>
        <v>-0.34013437099999999</v>
      </c>
      <c r="R367" s="43">
        <f t="shared" si="68"/>
        <v>0.11569139033556564</v>
      </c>
    </row>
    <row r="368" spans="1:18" ht="15.75" customHeight="1" x14ac:dyDescent="0.3">
      <c r="A368" s="47">
        <v>38350</v>
      </c>
      <c r="B368" s="48">
        <v>0</v>
      </c>
      <c r="C368" s="50">
        <v>0.38466376066207886</v>
      </c>
      <c r="D368" s="10">
        <f t="shared" si="60"/>
        <v>-0.38980777739764078</v>
      </c>
      <c r="E368" s="10">
        <f t="shared" si="61"/>
        <v>-0.10141223631006668</v>
      </c>
      <c r="F368" s="10">
        <f t="shared" si="72"/>
        <v>0.15195010331968867</v>
      </c>
      <c r="G368" s="10">
        <f t="shared" si="72"/>
        <v>1.0284441673408808E-2</v>
      </c>
      <c r="H368" s="11">
        <f t="shared" si="69"/>
        <v>3.9531278436951416E-2</v>
      </c>
      <c r="I368" s="12">
        <f t="shared" si="70"/>
        <v>0.38466376066207886</v>
      </c>
      <c r="J368" s="28">
        <f t="shared" si="71"/>
        <v>0.14796620876669309</v>
      </c>
      <c r="K368" s="30">
        <f t="shared" si="62"/>
        <v>0.38466376066207886</v>
      </c>
      <c r="L368" s="5"/>
      <c r="M368" s="30">
        <f t="shared" si="63"/>
        <v>-0.38466376066207886</v>
      </c>
      <c r="N368" s="42">
        <f t="shared" si="64"/>
        <v>-0.38466376066207886</v>
      </c>
      <c r="O368" s="43">
        <f t="shared" si="65"/>
        <v>0.14796620876669309</v>
      </c>
      <c r="P368" s="43">
        <f t="shared" si="66"/>
        <v>-0.34013437099999999</v>
      </c>
      <c r="Q368" s="43">
        <f t="shared" si="67"/>
        <v>-0.34013437099999999</v>
      </c>
      <c r="R368" s="43">
        <f t="shared" si="68"/>
        <v>0.11569139033556564</v>
      </c>
    </row>
    <row r="369" spans="1:18" ht="15.75" customHeight="1" x14ac:dyDescent="0.3">
      <c r="A369" s="47">
        <v>38351</v>
      </c>
      <c r="B369" s="48">
        <v>0</v>
      </c>
      <c r="C369" s="50">
        <v>2.9240306466817856E-3</v>
      </c>
      <c r="D369" s="10">
        <f t="shared" si="60"/>
        <v>-0.38980777739764078</v>
      </c>
      <c r="E369" s="10">
        <f t="shared" si="61"/>
        <v>-0.48315196632546376</v>
      </c>
      <c r="F369" s="10">
        <f t="shared" si="72"/>
        <v>0.15195010331968867</v>
      </c>
      <c r="G369" s="10">
        <f t="shared" si="72"/>
        <v>0.23343582256416207</v>
      </c>
      <c r="H369" s="11">
        <f t="shared" si="69"/>
        <v>0.18833639413862882</v>
      </c>
      <c r="I369" s="12">
        <f t="shared" si="70"/>
        <v>2.9240306466817856E-3</v>
      </c>
      <c r="J369" s="28">
        <f t="shared" si="71"/>
        <v>8.5499552227343012E-6</v>
      </c>
      <c r="K369" s="30">
        <f t="shared" si="62"/>
        <v>2.9240306466817856E-3</v>
      </c>
      <c r="L369" s="5"/>
      <c r="M369" s="30">
        <f t="shared" si="63"/>
        <v>-2.9240306466817856E-3</v>
      </c>
      <c r="N369" s="42">
        <f t="shared" si="64"/>
        <v>-2.9240306466817856E-3</v>
      </c>
      <c r="O369" s="43">
        <f t="shared" si="65"/>
        <v>8.5499552227343012E-6</v>
      </c>
      <c r="P369" s="43">
        <f t="shared" si="66"/>
        <v>-0.34013437099999999</v>
      </c>
      <c r="Q369" s="43">
        <f t="shared" si="67"/>
        <v>-0.34013437099999999</v>
      </c>
      <c r="R369" s="43">
        <f t="shared" si="68"/>
        <v>0.11569139033556564</v>
      </c>
    </row>
    <row r="370" spans="1:18" ht="15.75" customHeight="1" x14ac:dyDescent="0.3">
      <c r="A370" s="47">
        <v>38352</v>
      </c>
      <c r="B370" s="48">
        <v>0</v>
      </c>
      <c r="C370" s="50">
        <v>0.45516705513000488</v>
      </c>
      <c r="D370" s="10">
        <f t="shared" si="60"/>
        <v>-0.38980777739764078</v>
      </c>
      <c r="E370" s="35">
        <f t="shared" si="61"/>
        <v>-3.0908941842140658E-2</v>
      </c>
      <c r="F370" s="10">
        <f t="shared" si="72"/>
        <v>0.15195010331968867</v>
      </c>
      <c r="G370" s="10">
        <f t="shared" si="72"/>
        <v>9.5536268580083351E-4</v>
      </c>
      <c r="H370" s="11">
        <f t="shared" si="69"/>
        <v>1.2048545921197791E-2</v>
      </c>
      <c r="I370" s="12">
        <f t="shared" si="70"/>
        <v>0.45516705513000488</v>
      </c>
      <c r="J370" s="28">
        <f t="shared" si="71"/>
        <v>0.2071770480757209</v>
      </c>
      <c r="K370" s="30">
        <f t="shared" si="62"/>
        <v>0.45516705513000488</v>
      </c>
      <c r="L370" s="41" t="s">
        <v>28</v>
      </c>
      <c r="M370" s="30">
        <f t="shared" si="63"/>
        <v>-0.45516705513000488</v>
      </c>
      <c r="N370" s="42">
        <f t="shared" si="64"/>
        <v>-0.45516705513000488</v>
      </c>
      <c r="O370" s="43">
        <f t="shared" si="65"/>
        <v>0.2071770480757209</v>
      </c>
      <c r="P370" s="43">
        <f t="shared" si="66"/>
        <v>-0.34013437099999999</v>
      </c>
      <c r="Q370" s="43">
        <f>B370-0.340134371</f>
        <v>-0.34013437099999999</v>
      </c>
      <c r="R370" s="43">
        <f t="shared" si="68"/>
        <v>0.11569139033556564</v>
      </c>
    </row>
    <row r="371" spans="1:18" ht="15.75" customHeight="1" x14ac:dyDescent="0.3">
      <c r="A371" s="4"/>
      <c r="B371" s="5"/>
      <c r="D371" s="13"/>
      <c r="E371" s="36" t="s">
        <v>7</v>
      </c>
      <c r="F371" s="34">
        <f>SUM(F5:F370)</f>
        <v>967.56014811576813</v>
      </c>
      <c r="G371" s="23">
        <f>SUM(G5:G370)</f>
        <v>1902.4898972231645</v>
      </c>
      <c r="H371" s="23">
        <f>SUM(H5:H370)</f>
        <v>890.28013630144972</v>
      </c>
      <c r="I371" s="14" t="s">
        <v>7</v>
      </c>
      <c r="J371" s="29">
        <f>SUM(J5:J370)</f>
        <v>1092.9567555940598</v>
      </c>
      <c r="K371" s="30">
        <f>SUM(K5:K370)</f>
        <v>35.62397614166639</v>
      </c>
      <c r="L371" s="26">
        <f>SUM(B5:B370)</f>
        <v>142.27983875013888</v>
      </c>
      <c r="M371" s="24"/>
      <c r="N371" s="44" t="s">
        <v>31</v>
      </c>
      <c r="O371" s="43">
        <f>SUM(O5:O370)</f>
        <v>1092.9567555940598</v>
      </c>
      <c r="P371" s="38"/>
      <c r="Q371" s="45" t="s">
        <v>34</v>
      </c>
      <c r="R371" s="43">
        <f>SUM(R5:R370)</f>
        <v>968.4245076684283</v>
      </c>
    </row>
    <row r="372" spans="1:18" ht="15.75" customHeight="1" x14ac:dyDescent="0.3">
      <c r="A372" s="4"/>
      <c r="B372" s="24" t="s">
        <v>8</v>
      </c>
      <c r="C372" s="5"/>
      <c r="D372" s="5"/>
      <c r="E372" s="5"/>
      <c r="F372" s="5"/>
      <c r="G372" s="5"/>
      <c r="H372" s="5"/>
      <c r="I372" s="33" t="s">
        <v>9</v>
      </c>
      <c r="J372" s="33">
        <v>366</v>
      </c>
      <c r="K372" s="13"/>
      <c r="L372" s="5"/>
      <c r="M372" s="24"/>
      <c r="N372" s="44" t="s">
        <v>32</v>
      </c>
      <c r="O372" s="43">
        <f>AVERAGE(B5:B370)</f>
        <v>0.38980777739764078</v>
      </c>
      <c r="P372" s="39"/>
      <c r="Q372" s="39"/>
      <c r="R372" s="39"/>
    </row>
    <row r="373" spans="1:18" ht="15.75" customHeight="1" x14ac:dyDescent="0.3">
      <c r="A373" s="4"/>
      <c r="B373" s="5"/>
      <c r="C373" s="5"/>
      <c r="D373" s="5"/>
      <c r="E373" s="5"/>
      <c r="F373" s="5"/>
      <c r="G373" s="5"/>
      <c r="H373" s="5"/>
      <c r="I373" s="15" t="s">
        <v>10</v>
      </c>
      <c r="J373" s="16">
        <f>SQRT(J371/J372)</f>
        <v>1.7280684719361143</v>
      </c>
      <c r="K373" s="5"/>
      <c r="L373" s="5"/>
      <c r="M373" s="40"/>
      <c r="N373" s="38"/>
      <c r="O373" s="39"/>
      <c r="P373" s="39"/>
      <c r="Q373" s="39"/>
      <c r="R373" s="39"/>
    </row>
    <row r="374" spans="1:18" ht="15.75" customHeight="1" x14ac:dyDescent="0.35">
      <c r="A374" s="4"/>
      <c r="B374" s="5"/>
      <c r="C374" s="8" t="s">
        <v>11</v>
      </c>
      <c r="D374" s="8" t="s">
        <v>12</v>
      </c>
      <c r="E374" s="5"/>
      <c r="F374" s="5"/>
      <c r="G374" s="5"/>
      <c r="H374" s="5"/>
      <c r="I374" s="15" t="s">
        <v>13</v>
      </c>
      <c r="J374" s="22">
        <f>SUM(I5:I370)/J372</f>
        <v>0.41708815163837409</v>
      </c>
      <c r="K374" s="5"/>
      <c r="L374" s="5"/>
      <c r="M374" s="40"/>
      <c r="N374" s="39"/>
      <c r="O374" s="44" t="s">
        <v>35</v>
      </c>
      <c r="P374" s="43">
        <f>O371/R371</f>
        <v>1.1285926233170764</v>
      </c>
      <c r="Q374" s="39"/>
      <c r="R374" s="39"/>
    </row>
    <row r="375" spans="1:18" ht="15.75" customHeight="1" x14ac:dyDescent="0.3">
      <c r="A375" s="4"/>
      <c r="B375" s="32" t="s">
        <v>14</v>
      </c>
      <c r="C375" s="17">
        <f>AVERAGE(B5:B370)</f>
        <v>0.38980777739764078</v>
      </c>
      <c r="D375" s="17">
        <f>AVERAGE(C5:C370)</f>
        <v>0.48607599697214554</v>
      </c>
      <c r="E375" s="5"/>
      <c r="F375" s="5"/>
      <c r="G375" s="5"/>
      <c r="H375" s="5"/>
      <c r="I375" s="25" t="s">
        <v>15</v>
      </c>
      <c r="J375" s="25">
        <f>1/J372*J371</f>
        <v>2.986220643699617</v>
      </c>
      <c r="K375" s="5"/>
      <c r="L375" s="5"/>
      <c r="M375" s="6"/>
    </row>
    <row r="376" spans="1:18" ht="15.75" customHeight="1" x14ac:dyDescent="0.3">
      <c r="A376" s="4"/>
      <c r="B376" s="5"/>
      <c r="C376" s="5"/>
      <c r="D376" s="5"/>
      <c r="E376" s="5"/>
      <c r="F376" s="5"/>
      <c r="G376" s="5"/>
      <c r="H376" s="5"/>
      <c r="I376" s="26" t="s">
        <v>27</v>
      </c>
      <c r="J376" s="26">
        <f>K371/L371</f>
        <v>0.25037964939099017</v>
      </c>
      <c r="K376" s="5"/>
      <c r="L376" s="5"/>
      <c r="M376" s="6"/>
    </row>
    <row r="377" spans="1:18" ht="15.75" customHeight="1" x14ac:dyDescent="0.3">
      <c r="A377" s="4"/>
      <c r="B377" s="5" t="s">
        <v>16</v>
      </c>
      <c r="C377" s="5"/>
      <c r="D377" s="5"/>
      <c r="E377" s="5"/>
      <c r="F377" s="5"/>
      <c r="G377" s="5"/>
      <c r="H377" s="5"/>
      <c r="I377" s="37" t="s">
        <v>36</v>
      </c>
      <c r="J377" s="26">
        <f>1-P374</f>
        <v>-0.12859262331707644</v>
      </c>
      <c r="K377" s="5"/>
      <c r="L377" s="5"/>
      <c r="M377" s="6"/>
    </row>
    <row r="378" spans="1:18" ht="15.75" customHeight="1" x14ac:dyDescent="0.35">
      <c r="A378" s="4"/>
      <c r="B378" s="5" t="s">
        <v>17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"/>
    </row>
    <row r="379" spans="1:18" ht="15.75" customHeight="1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</row>
    <row r="380" spans="1:18" ht="15.75" customHeight="1" x14ac:dyDescent="0.3">
      <c r="A380" s="4"/>
      <c r="B380" s="57" t="s">
        <v>18</v>
      </c>
      <c r="C380" s="58"/>
      <c r="D380" s="59">
        <f>H371/SQRT((G371*F371))</f>
        <v>0.65618533149000258</v>
      </c>
      <c r="E380" s="60"/>
      <c r="F380" s="60"/>
      <c r="G380" s="60"/>
      <c r="H380" s="61"/>
      <c r="I380" s="5"/>
      <c r="J380" s="5"/>
      <c r="K380" s="5"/>
      <c r="L380" s="5"/>
      <c r="M380" s="6"/>
    </row>
    <row r="381" spans="1:18" ht="15.75" customHeight="1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</row>
    <row r="382" spans="1:18" ht="15.75" customHeight="1" x14ac:dyDescent="0.3">
      <c r="A382" s="4"/>
      <c r="B382" s="5" t="s">
        <v>19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"/>
    </row>
    <row r="383" spans="1:18" ht="15.75" customHeight="1" x14ac:dyDescent="0.3">
      <c r="A383" s="4"/>
      <c r="B383" s="5" t="s">
        <v>20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</row>
    <row r="384" spans="1:18" ht="15.75" customHeight="1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"/>
    </row>
    <row r="385" spans="1:13" ht="15.75" customHeight="1" x14ac:dyDescent="0.3">
      <c r="A385" s="4"/>
      <c r="B385" s="57" t="s">
        <v>21</v>
      </c>
      <c r="C385" s="58"/>
      <c r="D385" s="18">
        <f>D380^2</f>
        <v>0.43057918926264455</v>
      </c>
      <c r="E385" s="5"/>
      <c r="F385" s="5"/>
      <c r="G385" s="5"/>
      <c r="H385" s="5"/>
      <c r="I385" s="5"/>
      <c r="J385" s="5"/>
      <c r="K385" s="5"/>
      <c r="L385" s="5"/>
      <c r="M385" s="6"/>
    </row>
    <row r="386" spans="1:13" ht="15.75" customHeight="1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"/>
    </row>
    <row r="387" spans="1:13" ht="15.75" customHeight="1" thickBot="1" x14ac:dyDescent="0.35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</row>
    <row r="388" spans="1:13" ht="15.75" customHeight="1" x14ac:dyDescent="0.3"/>
    <row r="389" spans="1:13" ht="15.75" customHeight="1" x14ac:dyDescent="0.3"/>
    <row r="390" spans="1:13" ht="15.75" customHeight="1" x14ac:dyDescent="0.3"/>
    <row r="391" spans="1:13" ht="15.75" customHeight="1" x14ac:dyDescent="0.3"/>
    <row r="392" spans="1:13" ht="15.75" customHeight="1" x14ac:dyDescent="0.3"/>
    <row r="393" spans="1:13" ht="15.75" customHeight="1" x14ac:dyDescent="0.3"/>
    <row r="394" spans="1:13" ht="15.75" customHeight="1" x14ac:dyDescent="0.3"/>
    <row r="395" spans="1:13" ht="15.75" customHeight="1" x14ac:dyDescent="0.3"/>
    <row r="396" spans="1:13" ht="15.75" customHeight="1" x14ac:dyDescent="0.3"/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</sheetData>
  <mergeCells count="4">
    <mergeCell ref="D1:I2"/>
    <mergeCell ref="B380:C380"/>
    <mergeCell ref="D380:H380"/>
    <mergeCell ref="B385:C3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PERSIANN-CDR</vt:lpstr>
      <vt:lpstr>ERA5</vt:lpstr>
      <vt:lpstr>CHIRPS</vt:lpstr>
      <vt:lpstr>IMERG-F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Romysaa</dc:creator>
  <cp:lastModifiedBy>ايمن معتز محمد على بقشيش</cp:lastModifiedBy>
  <dcterms:created xsi:type="dcterms:W3CDTF">2023-12-04T07:40:36Z</dcterms:created>
  <dcterms:modified xsi:type="dcterms:W3CDTF">2025-12-25T16:41:18Z</dcterms:modified>
</cp:coreProperties>
</file>